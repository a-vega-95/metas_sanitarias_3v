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ol.figueroa\Documents\REM 2025\COLLIMALLIN\JUNIO\"/>
    </mc:Choice>
  </mc:AlternateContent>
  <xr:revisionPtr revIDLastSave="0" documentId="13_ncr:1_{C0E843E7-B8CA-4E8E-9E5A-2E75262E90D1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activeTab="7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32" i="5" l="1"/>
  <c r="DD33" i="5" l="1"/>
  <c r="D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S134" i="17"/>
  <c r="DP132" i="17"/>
  <c r="DQ132" i="17"/>
  <c r="DR132" i="17"/>
  <c r="DS132" i="17"/>
  <c r="DT132" i="17"/>
  <c r="DU132" i="17"/>
  <c r="DP133" i="17"/>
  <c r="DQ133" i="17"/>
  <c r="DR133" i="17"/>
  <c r="DS133" i="17"/>
  <c r="DT133" i="17"/>
  <c r="DU133" i="17"/>
  <c r="DP134" i="17"/>
  <c r="DQ134" i="17"/>
  <c r="DR134" i="17"/>
  <c r="DT134" i="17"/>
  <c r="DU134" i="17"/>
  <c r="DT131" i="17"/>
  <c r="DU131" i="17"/>
  <c r="DS131" i="17"/>
  <c r="DR131" i="17"/>
  <c r="DQ131" i="17"/>
  <c r="DP131" i="17"/>
  <c r="CE134" i="17"/>
  <c r="CA132" i="17"/>
  <c r="CB132" i="17"/>
  <c r="CC132" i="17"/>
  <c r="CD132" i="17"/>
  <c r="CE132" i="17"/>
  <c r="CF132" i="17"/>
  <c r="CA133" i="17"/>
  <c r="CB133" i="17"/>
  <c r="CC133" i="17"/>
  <c r="CD133" i="17"/>
  <c r="CE133" i="17"/>
  <c r="CF133" i="17"/>
  <c r="CA134" i="17"/>
  <c r="CB134" i="17"/>
  <c r="CF134" i="17"/>
  <c r="CE131" i="17"/>
  <c r="CF131" i="17"/>
  <c r="CD131" i="17"/>
  <c r="CC131" i="17"/>
  <c r="CB131" i="17"/>
  <c r="CA131" i="17"/>
  <c r="DP79" i="17"/>
  <c r="CB84" i="17"/>
  <c r="CB83" i="17"/>
  <c r="CB80" i="17"/>
  <c r="CB79" i="17"/>
  <c r="CB78" i="17"/>
  <c r="CB81" i="17"/>
  <c r="CB82" i="17"/>
  <c r="CA82" i="17"/>
  <c r="CA78" i="17"/>
  <c r="E12" i="17"/>
  <c r="DJ12" i="17" s="1"/>
  <c r="D12" i="17"/>
  <c r="DI12" i="17" s="1"/>
  <c r="CC35" i="2"/>
  <c r="CB35" i="2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P90" i="2" l="1"/>
  <c r="CP89" i="2"/>
  <c r="C58" i="2"/>
  <c r="CA58" i="2" s="1"/>
  <c r="D82" i="16" l="1"/>
  <c r="E86" i="16"/>
  <c r="E85" i="16"/>
  <c r="E84" i="16"/>
  <c r="E83" i="16"/>
  <c r="E82" i="16"/>
  <c r="D86" i="16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86" i="16" l="1"/>
  <c r="CE23" i="4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DE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37" i="5"/>
  <c r="DF34" i="5"/>
  <c r="DF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F41" i="5"/>
  <c r="CE41" i="5"/>
  <c r="CE40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DQ35" i="5"/>
  <c r="DQ34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CE35" i="5"/>
  <c r="DF38" i="5" l="1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CE38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CF37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DF35" i="5" l="1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H35" i="5"/>
  <c r="CF35" i="5"/>
  <c r="CG35" i="5"/>
  <c r="D21" i="5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B89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D89" i="2"/>
  <c r="CE86" i="2"/>
  <c r="CD86" i="2"/>
  <c r="CE85" i="2"/>
  <c r="CD88" i="2"/>
  <c r="CD87" i="2"/>
  <c r="CD85" i="2"/>
  <c r="CC91" i="2"/>
  <c r="CC87" i="2"/>
  <c r="CC86" i="2"/>
  <c r="CC85" i="2"/>
  <c r="CP84" i="2"/>
  <c r="C60" i="2"/>
  <c r="CA60" i="2" s="1"/>
  <c r="C24" i="2"/>
  <c r="CC24" i="2" l="1"/>
  <c r="CB24" i="2"/>
  <c r="CQ24" i="2"/>
  <c r="CP24" i="2"/>
  <c r="CH24" i="2"/>
  <c r="CE24" i="2"/>
  <c r="CA24" i="2"/>
  <c r="CD24" i="2"/>
  <c r="CN60" i="2"/>
  <c r="CG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CD139" i="17"/>
  <c r="CD140" i="17"/>
  <c r="B25" i="18"/>
  <c r="CM22" i="10"/>
  <c r="CL22" i="10"/>
  <c r="CN16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CJ52" i="4"/>
  <c r="CH52" i="4"/>
  <c r="CI52" i="4"/>
  <c r="B52" i="4"/>
  <c r="CA52" i="4" s="1"/>
  <c r="L112" i="17"/>
  <c r="CA139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9" i="2"/>
  <c r="CO88" i="2"/>
  <c r="CO85" i="2"/>
  <c r="CN85" i="2"/>
  <c r="CN89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W17" i="7" l="1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G52" i="4"/>
  <c r="CM52" i="4"/>
  <c r="CT52" i="4"/>
  <c r="CS52" i="4"/>
  <c r="CD52" i="4"/>
  <c r="CR52" i="4"/>
  <c r="CF52" i="4"/>
  <c r="CU52" i="4"/>
  <c r="CV52" i="4"/>
  <c r="CB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B60" i="2"/>
  <c r="E60" i="2" s="1"/>
  <c r="CO60" i="2"/>
  <c r="CO58" i="2"/>
  <c r="CO59" i="2"/>
  <c r="CB58" i="2"/>
  <c r="CB59" i="2"/>
  <c r="D61" i="2"/>
  <c r="C57" i="2"/>
  <c r="CA57" i="2" s="1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CH79" i="7" l="1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CN58" i="2"/>
  <c r="CN57" i="2"/>
  <c r="L52" i="2"/>
  <c r="G87" i="2"/>
  <c r="L50" i="2"/>
  <c r="G90" i="2"/>
  <c r="G88" i="2"/>
  <c r="G85" i="2"/>
  <c r="G86" i="2"/>
  <c r="G84" i="2"/>
  <c r="O52" i="4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O24" i="2" l="1"/>
  <c r="CR24" i="2"/>
  <c r="CS24" i="2"/>
  <c r="CT24" i="2"/>
  <c r="CU24" i="2"/>
  <c r="CV24" i="2"/>
  <c r="CF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E40" i="5"/>
  <c r="D40" i="5"/>
  <c r="E39" i="5"/>
  <c r="D39" i="5"/>
  <c r="E38" i="5"/>
  <c r="D38" i="5"/>
  <c r="E37" i="5"/>
  <c r="B28" i="18" l="1"/>
  <c r="BL28" i="18" s="1"/>
  <c r="C41" i="5"/>
  <c r="C38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C89" i="5"/>
  <c r="DK23" i="5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BJ28" i="18" l="1"/>
  <c r="BB28" i="18"/>
  <c r="BC28" i="18"/>
  <c r="BA28" i="18"/>
  <c r="BD28" i="18"/>
  <c r="BI28" i="18"/>
  <c r="AL89" i="5"/>
  <c r="AL23" i="5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U28" i="18" l="1"/>
  <c r="E27" i="4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K53" i="2"/>
  <c r="J53" i="2"/>
  <c r="I53" i="2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D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DQ85" i="17" l="1"/>
  <c r="DP85" i="17"/>
  <c r="DQ84" i="17"/>
  <c r="DP84" i="17"/>
  <c r="DQ83" i="17"/>
  <c r="DP83" i="17"/>
  <c r="DQ82" i="17"/>
  <c r="DP82" i="17"/>
  <c r="DQ81" i="17"/>
  <c r="DP81" i="17"/>
  <c r="DQ80" i="17"/>
  <c r="DP80" i="17"/>
  <c r="DQ79" i="17"/>
  <c r="CA83" i="17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DT84" i="17" s="1"/>
  <c r="CA81" i="17"/>
  <c r="CA79" i="17"/>
  <c r="CA80" i="17"/>
  <c r="P73" i="17"/>
  <c r="CO45" i="17" l="1"/>
  <c r="ED45" i="17"/>
  <c r="CD97" i="17"/>
  <c r="CC90" i="17"/>
  <c r="DR91" i="17"/>
  <c r="DU98" i="17"/>
  <c r="DT98" i="17"/>
  <c r="CD103" i="17"/>
  <c r="H103" i="17" s="1"/>
  <c r="DR105" i="17"/>
  <c r="CC83" i="17"/>
  <c r="DT105" i="17"/>
  <c r="DS84" i="17"/>
  <c r="DR84" i="17"/>
  <c r="CC104" i="17"/>
  <c r="DS91" i="17"/>
  <c r="CC97" i="17"/>
  <c r="DS98" i="17"/>
  <c r="DU84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CC134" i="17" s="1"/>
  <c r="AI15" i="17"/>
  <c r="F15" i="17"/>
  <c r="C78" i="17" l="1"/>
  <c r="CD78" i="17" l="1"/>
  <c r="DS79" i="17"/>
  <c r="DU79" i="17"/>
  <c r="CC78" i="17"/>
  <c r="DT79" i="17"/>
  <c r="DR79" i="17"/>
  <c r="C31" i="2"/>
  <c r="H12" i="18"/>
  <c r="G12" i="18"/>
  <c r="F12" i="18"/>
  <c r="H78" i="17" l="1"/>
  <c r="CC31" i="2"/>
  <c r="CB31" i="2"/>
  <c r="CE31" i="2"/>
  <c r="CG31" i="2"/>
  <c r="CH31" i="2"/>
  <c r="CD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S14" i="18" l="1"/>
  <c r="DJ13" i="17"/>
  <c r="ES13" i="17"/>
  <c r="EU13" i="17"/>
  <c r="DG13" i="17"/>
  <c r="ET13" i="17"/>
  <c r="ER13" i="17"/>
  <c r="CW12" i="17"/>
  <c r="EL12" i="17"/>
  <c r="CX12" i="17"/>
  <c r="EM12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CE140" i="17" l="1"/>
  <c r="CE139" i="17"/>
  <c r="CC140" i="17"/>
  <c r="CC139" i="17"/>
  <c r="CB140" i="17"/>
  <c r="CB139" i="17"/>
  <c r="CA140" i="17"/>
  <c r="DU139" i="17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B61" i="2"/>
  <c r="C59" i="2"/>
  <c r="CA59" i="2" s="1"/>
  <c r="C96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E20" i="4" l="1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11" i="2"/>
  <c r="CC11" i="2"/>
  <c r="CB11" i="2"/>
  <c r="CB20" i="2"/>
  <c r="CC20" i="2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20" i="2"/>
  <c r="CQ20" i="2"/>
  <c r="CP11" i="2"/>
  <c r="CO11" i="2"/>
  <c r="CG20" i="2"/>
  <c r="CD20" i="2"/>
  <c r="CA20" i="2"/>
  <c r="CE20" i="2"/>
  <c r="CH20" i="2"/>
  <c r="CA11" i="2"/>
  <c r="CH11" i="2"/>
  <c r="CD11" i="2"/>
  <c r="CN96" i="2"/>
  <c r="CB96" i="2"/>
  <c r="CA96" i="2"/>
  <c r="CA69" i="2"/>
  <c r="CN69" i="2"/>
  <c r="CN59" i="2"/>
  <c r="E59" i="2"/>
  <c r="DM28" i="5"/>
  <c r="CO96" i="2"/>
  <c r="CG11" i="2"/>
  <c r="CP76" i="4"/>
  <c r="CN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U11" i="2"/>
  <c r="CE11" i="2"/>
  <c r="CR11" i="2"/>
  <c r="CS11" i="2"/>
  <c r="CV11" i="2"/>
  <c r="CU20" i="2"/>
  <c r="CV20" i="2"/>
  <c r="CO20" i="2"/>
  <c r="CR20" i="2"/>
  <c r="CS20" i="2"/>
  <c r="C61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AS20" i="4" l="1"/>
  <c r="AS23" i="4"/>
  <c r="CM12" i="4"/>
  <c r="CA12" i="4"/>
  <c r="AL19" i="5"/>
  <c r="AR79" i="4"/>
  <c r="AR69" i="4"/>
  <c r="AB53" i="6"/>
  <c r="AB34" i="6"/>
  <c r="AB26" i="6"/>
  <c r="AB12" i="6"/>
  <c r="AR57" i="4"/>
  <c r="Y20" i="2"/>
  <c r="Y11" i="2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S12" i="4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N17" i="10"/>
  <c r="CO17" i="10"/>
  <c r="CP17" i="10"/>
  <c r="CQ17" i="10"/>
  <c r="CC17" i="10"/>
  <c r="CD17" i="10"/>
  <c r="CE17" i="10"/>
  <c r="CF17" i="10"/>
  <c r="CN13" i="10"/>
  <c r="CO13" i="10"/>
  <c r="CP13" i="10"/>
  <c r="CQ13" i="10"/>
  <c r="CC13" i="10"/>
  <c r="CD13" i="10"/>
  <c r="CE13" i="10"/>
  <c r="CF13" i="10"/>
  <c r="CN15" i="10"/>
  <c r="CO15" i="10"/>
  <c r="CP15" i="10"/>
  <c r="CQ15" i="10"/>
  <c r="CC15" i="10"/>
  <c r="CD15" i="10"/>
  <c r="CE15" i="10"/>
  <c r="CF15" i="10"/>
  <c r="CN14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N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CD134" i="17" s="1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CB42" i="4" l="1"/>
  <c r="CD42" i="4"/>
  <c r="CP42" i="4"/>
  <c r="CN42" i="4"/>
  <c r="CE42" i="4"/>
  <c r="CC42" i="4"/>
  <c r="CQ42" i="4"/>
  <c r="CO42" i="4"/>
  <c r="DE12" i="17"/>
  <c r="EU12" i="17"/>
  <c r="CZ12" i="17"/>
  <c r="EO12" i="17"/>
  <c r="CV12" i="17"/>
  <c r="EK12" i="17"/>
  <c r="CN12" i="17"/>
  <c r="EC12" i="17"/>
  <c r="CF12" i="17"/>
  <c r="DU12" i="17"/>
  <c r="CT12" i="17"/>
  <c r="EI12" i="17"/>
  <c r="CL12" i="17"/>
  <c r="EA12" i="17"/>
  <c r="CD12" i="17"/>
  <c r="DS12" i="17"/>
  <c r="CG12" i="17"/>
  <c r="DV12" i="17"/>
  <c r="CC12" i="17"/>
  <c r="DR12" i="17"/>
  <c r="CY12" i="17"/>
  <c r="EN12" i="17"/>
  <c r="CO12" i="17"/>
  <c r="ED12" i="17"/>
  <c r="CU12" i="17"/>
  <c r="EJ12" i="17"/>
  <c r="CM12" i="17"/>
  <c r="EB12" i="17"/>
  <c r="CK12" i="17"/>
  <c r="DZ12" i="17"/>
  <c r="CR12" i="17"/>
  <c r="EG12" i="17"/>
  <c r="CJ12" i="17"/>
  <c r="DY12" i="17"/>
  <c r="CB12" i="17"/>
  <c r="DQ12" i="17"/>
  <c r="CS12" i="17"/>
  <c r="EH12" i="17"/>
  <c r="CQ12" i="17"/>
  <c r="EF12" i="17"/>
  <c r="CI12" i="17"/>
  <c r="DX12" i="17"/>
  <c r="CE12" i="17"/>
  <c r="DT12" i="17"/>
  <c r="CP12" i="17"/>
  <c r="EE12" i="17"/>
  <c r="CH12" i="17"/>
  <c r="DW12" i="17"/>
  <c r="CA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C27" i="2" l="1"/>
  <c r="CB27" i="2"/>
  <c r="CC19" i="2"/>
  <c r="CB19" i="2"/>
  <c r="CC29" i="2"/>
  <c r="CB29" i="2"/>
  <c r="CC30" i="2"/>
  <c r="CB30" i="2"/>
  <c r="CB28" i="2"/>
  <c r="CC28" i="2"/>
  <c r="CA27" i="2"/>
  <c r="CQ27" i="2"/>
  <c r="CD27" i="2"/>
  <c r="CP27" i="2"/>
  <c r="CE27" i="2"/>
  <c r="CP19" i="2"/>
  <c r="CQ19" i="2"/>
  <c r="CP29" i="2"/>
  <c r="CE29" i="2"/>
  <c r="CQ29" i="2"/>
  <c r="CA29" i="2"/>
  <c r="CD29" i="2"/>
  <c r="CP30" i="2"/>
  <c r="CA30" i="2"/>
  <c r="CE30" i="2"/>
  <c r="CD30" i="2"/>
  <c r="CQ30" i="2"/>
  <c r="CA28" i="2"/>
  <c r="CD28" i="2"/>
  <c r="CE28" i="2"/>
  <c r="CP28" i="2"/>
  <c r="CQ28" i="2"/>
  <c r="CG30" i="2"/>
  <c r="CH30" i="2"/>
  <c r="CG19" i="2"/>
  <c r="CA19" i="2"/>
  <c r="CD19" i="2"/>
  <c r="CH19" i="2"/>
  <c r="CE19" i="2"/>
  <c r="CG29" i="2"/>
  <c r="CH29" i="2"/>
  <c r="CG27" i="2"/>
  <c r="CH27" i="2"/>
  <c r="CG28" i="2"/>
  <c r="CH28" i="2"/>
  <c r="CU19" i="2"/>
  <c r="CS19" i="2"/>
  <c r="CV19" i="2"/>
  <c r="CO19" i="2"/>
  <c r="CR19" i="2"/>
  <c r="CV29" i="2"/>
  <c r="CO29" i="2"/>
  <c r="CU29" i="2"/>
  <c r="CR29" i="2"/>
  <c r="CS29" i="2"/>
  <c r="CS27" i="2"/>
  <c r="CU27" i="2"/>
  <c r="CV27" i="2"/>
  <c r="CR27" i="2"/>
  <c r="CO27" i="2"/>
  <c r="CO30" i="2"/>
  <c r="CV30" i="2"/>
  <c r="CR30" i="2"/>
  <c r="CS30" i="2"/>
  <c r="CU30" i="2"/>
  <c r="CU28" i="2"/>
  <c r="CV28" i="2"/>
  <c r="CO28" i="2"/>
  <c r="CR28" i="2"/>
  <c r="CS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CB26" i="2" l="1"/>
  <c r="CC26" i="2"/>
  <c r="Y29" i="2"/>
  <c r="Y30" i="2"/>
  <c r="CA26" i="2"/>
  <c r="CQ26" i="2"/>
  <c r="CP26" i="2"/>
  <c r="Y19" i="2"/>
  <c r="Y28" i="2"/>
  <c r="Y27" i="2"/>
  <c r="CG26" i="2"/>
  <c r="CH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D26" i="2"/>
  <c r="CR26" i="2"/>
  <c r="CS26" i="2"/>
  <c r="CE26" i="2"/>
  <c r="CU26" i="2"/>
  <c r="CV26" i="2"/>
  <c r="CO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Y26" i="2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A35" i="2" s="1"/>
  <c r="C40" i="2"/>
  <c r="C23" i="2"/>
  <c r="C22" i="2"/>
  <c r="C21" i="2"/>
  <c r="C18" i="2"/>
  <c r="C17" i="2"/>
  <c r="C16" i="2"/>
  <c r="C15" i="2"/>
  <c r="C14" i="2"/>
  <c r="C13" i="2"/>
  <c r="C12" i="2"/>
  <c r="CG36" i="2" l="1"/>
  <c r="CP36" i="2"/>
  <c r="CQ36" i="2"/>
  <c r="CB36" i="2"/>
  <c r="CC36" i="2"/>
  <c r="CG37" i="2"/>
  <c r="CP37" i="2"/>
  <c r="CQ37" i="2"/>
  <c r="CB37" i="2"/>
  <c r="CC37" i="2"/>
  <c r="CC16" i="2"/>
  <c r="CB16" i="2"/>
  <c r="CC17" i="2"/>
  <c r="CB17" i="2"/>
  <c r="CC18" i="2"/>
  <c r="CB18" i="2"/>
  <c r="CG38" i="2"/>
  <c r="CB38" i="2"/>
  <c r="CC38" i="2"/>
  <c r="CP38" i="2"/>
  <c r="CQ38" i="2"/>
  <c r="CG39" i="2"/>
  <c r="CP39" i="2"/>
  <c r="CQ39" i="2"/>
  <c r="CB39" i="2"/>
  <c r="CC39" i="2"/>
  <c r="CB22" i="2"/>
  <c r="CC22" i="2"/>
  <c r="CB23" i="2"/>
  <c r="CC23" i="2"/>
  <c r="CB15" i="2"/>
  <c r="CC15" i="2"/>
  <c r="CB21" i="2"/>
  <c r="CC21" i="2"/>
  <c r="CB12" i="2"/>
  <c r="CC12" i="2"/>
  <c r="CB13" i="2"/>
  <c r="CC13" i="2"/>
  <c r="CB14" i="2"/>
  <c r="CC14" i="2"/>
  <c r="CG40" i="2"/>
  <c r="CP40" i="2"/>
  <c r="CQ40" i="2"/>
  <c r="CB40" i="2"/>
  <c r="CC40" i="2"/>
  <c r="EC45" i="17"/>
  <c r="CN45" i="17"/>
  <c r="EA45" i="17"/>
  <c r="CL45" i="17"/>
  <c r="CA45" i="17"/>
  <c r="DP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R35" i="2"/>
  <c r="CQ35" i="2"/>
  <c r="CP35" i="2"/>
  <c r="CP16" i="2"/>
  <c r="CQ16" i="2"/>
  <c r="CQ15" i="2"/>
  <c r="CP15" i="2"/>
  <c r="CP12" i="2"/>
  <c r="CQ12" i="2"/>
  <c r="CP22" i="2"/>
  <c r="CQ22" i="2"/>
  <c r="CQ17" i="2"/>
  <c r="CP17" i="2"/>
  <c r="CP18" i="2"/>
  <c r="CQ18" i="2"/>
  <c r="CQ13" i="2"/>
  <c r="CP13" i="2"/>
  <c r="CQ23" i="2"/>
  <c r="CP23" i="2"/>
  <c r="CQ14" i="2"/>
  <c r="CP14" i="2"/>
  <c r="CP21" i="2"/>
  <c r="CR21" i="2"/>
  <c r="CQ21" i="2"/>
  <c r="CG17" i="2"/>
  <c r="CA17" i="2"/>
  <c r="CD17" i="2"/>
  <c r="CH17" i="2"/>
  <c r="CE17" i="2"/>
  <c r="CH12" i="2"/>
  <c r="CA12" i="2"/>
  <c r="CD12" i="2"/>
  <c r="CE12" i="2"/>
  <c r="CG22" i="2"/>
  <c r="CD22" i="2"/>
  <c r="CE22" i="2"/>
  <c r="CA22" i="2"/>
  <c r="CH22" i="2"/>
  <c r="CG13" i="2"/>
  <c r="CA13" i="2"/>
  <c r="CD13" i="2"/>
  <c r="CE13" i="2"/>
  <c r="CH13" i="2"/>
  <c r="CD23" i="2"/>
  <c r="CA23" i="2"/>
  <c r="CH23" i="2"/>
  <c r="CG16" i="2"/>
  <c r="CA16" i="2"/>
  <c r="CH16" i="2"/>
  <c r="CD16" i="2"/>
  <c r="CE16" i="2"/>
  <c r="CG18" i="2"/>
  <c r="CH18" i="2"/>
  <c r="CD18" i="2"/>
  <c r="CE18" i="2"/>
  <c r="CA18" i="2"/>
  <c r="CG14" i="2"/>
  <c r="CA14" i="2"/>
  <c r="CD14" i="2"/>
  <c r="CE14" i="2"/>
  <c r="CH14" i="2"/>
  <c r="CG15" i="2"/>
  <c r="CA15" i="2"/>
  <c r="CH15" i="2"/>
  <c r="CD15" i="2"/>
  <c r="CE15" i="2"/>
  <c r="CF21" i="2"/>
  <c r="CD21" i="2"/>
  <c r="CH21" i="2"/>
  <c r="CA21" i="2"/>
  <c r="CG12" i="2"/>
  <c r="CG21" i="2"/>
  <c r="CG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O15" i="2"/>
  <c r="CR15" i="2"/>
  <c r="CS15" i="2"/>
  <c r="CU15" i="2"/>
  <c r="CV15" i="2"/>
  <c r="CO14" i="2"/>
  <c r="CR14" i="2"/>
  <c r="CS14" i="2"/>
  <c r="CU14" i="2"/>
  <c r="CV14" i="2"/>
  <c r="CR16" i="2"/>
  <c r="CS16" i="2"/>
  <c r="CU16" i="2"/>
  <c r="CO16" i="2"/>
  <c r="CV16" i="2"/>
  <c r="CR17" i="2"/>
  <c r="CS17" i="2"/>
  <c r="CU17" i="2"/>
  <c r="CV17" i="2"/>
  <c r="CO17" i="2"/>
  <c r="CS18" i="2"/>
  <c r="CU18" i="2"/>
  <c r="CV18" i="2"/>
  <c r="CO18" i="2"/>
  <c r="CR18" i="2"/>
  <c r="CV21" i="2"/>
  <c r="CO21" i="2"/>
  <c r="CT21" i="2"/>
  <c r="CU21" i="2"/>
  <c r="CO22" i="2"/>
  <c r="CR22" i="2"/>
  <c r="CS22" i="2"/>
  <c r="CV22" i="2"/>
  <c r="CU22" i="2"/>
  <c r="CU12" i="2"/>
  <c r="CV12" i="2"/>
  <c r="CO12" i="2"/>
  <c r="CR12" i="2"/>
  <c r="CS12" i="2"/>
  <c r="CV13" i="2"/>
  <c r="CO13" i="2"/>
  <c r="CU13" i="2"/>
  <c r="CR13" i="2"/>
  <c r="CS13" i="2"/>
  <c r="CO23" i="2"/>
  <c r="CF23" i="2"/>
  <c r="CR23" i="2"/>
  <c r="CT23" i="2"/>
  <c r="CU23" i="2"/>
  <c r="CV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82" i="17"/>
  <c r="DU82" i="17"/>
  <c r="DT82" i="17"/>
  <c r="DS82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T80" i="17"/>
  <c r="DS80" i="17"/>
  <c r="DR80" i="17"/>
  <c r="DU80" i="17"/>
  <c r="DT81" i="17"/>
  <c r="DU81" i="17"/>
  <c r="DS81" i="17"/>
  <c r="DR81" i="17"/>
  <c r="DR96" i="17"/>
  <c r="DU96" i="17"/>
  <c r="DT96" i="17"/>
  <c r="DS96" i="17"/>
  <c r="DT103" i="17"/>
  <c r="DR103" i="17"/>
  <c r="DS103" i="17"/>
  <c r="DU103" i="17"/>
  <c r="DT83" i="17"/>
  <c r="DS83" i="17"/>
  <c r="DR83" i="17"/>
  <c r="DU83" i="17"/>
  <c r="DT92" i="17"/>
  <c r="DS92" i="17"/>
  <c r="DR92" i="17"/>
  <c r="DU92" i="17"/>
  <c r="DU99" i="17"/>
  <c r="DT99" i="17"/>
  <c r="DS99" i="17"/>
  <c r="DR99" i="17"/>
  <c r="DT110" i="17"/>
  <c r="DS110" i="17"/>
  <c r="DR110" i="17"/>
  <c r="DT85" i="17"/>
  <c r="DU85" i="17"/>
  <c r="DS85" i="17"/>
  <c r="DR85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H93" i="17" l="1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14" i="2"/>
  <c r="Y35" i="2"/>
  <c r="Y23" i="2"/>
  <c r="Y21" i="2"/>
  <c r="Y15" i="2"/>
  <c r="Y18" i="2"/>
  <c r="Y22" i="2"/>
  <c r="Y16" i="2"/>
  <c r="Y12" i="2"/>
  <c r="Y13" i="2"/>
  <c r="Y17" i="2"/>
  <c r="Y36" i="2"/>
  <c r="Y39" i="2"/>
  <c r="Y40" i="2"/>
  <c r="Y37" i="2"/>
  <c r="Y38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S43" i="4" s="1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F48" i="7"/>
  <c r="CD48" i="7"/>
  <c r="CU100" i="7"/>
  <c r="CT100" i="7"/>
  <c r="CI100" i="7"/>
  <c r="CV100" i="7"/>
  <c r="CI95" i="7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AY95" i="7" l="1"/>
  <c r="AS21" i="4"/>
  <c r="CG33" i="7"/>
  <c r="CH33" i="7"/>
  <c r="CB33" i="7"/>
  <c r="CH32" i="7"/>
  <c r="CG32" i="7"/>
  <c r="CB32" i="7"/>
  <c r="CG48" i="7"/>
  <c r="CH48" i="7"/>
  <c r="CB48" i="7"/>
  <c r="CG43" i="4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F45" i="17" l="1"/>
  <c r="DU45" i="17"/>
  <c r="CG45" i="17"/>
  <c r="DV45" i="17"/>
  <c r="CH45" i="17"/>
  <c r="DW45" i="17"/>
  <c r="CC45" i="17"/>
  <c r="DR45" i="17"/>
  <c r="CE45" i="17"/>
  <c r="DT45" i="17"/>
  <c r="CD45" i="17"/>
  <c r="DS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80" i="4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0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3" i="4" l="1"/>
  <c r="AR84" i="4"/>
  <c r="AR82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G90" i="7" l="1"/>
  <c r="CH90" i="7"/>
  <c r="CR47" i="4"/>
  <c r="CF47" i="4"/>
  <c r="AS47" i="4" s="1"/>
  <c r="CR45" i="4"/>
  <c r="CF45" i="4"/>
  <c r="AS45" i="4" s="1"/>
  <c r="CR46" i="4"/>
  <c r="CF46" i="4"/>
  <c r="AS46" i="4" s="1"/>
  <c r="CA82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R43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26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F140" i="17"/>
  <c r="CF139" i="17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DQ45" i="17" s="1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E28" i="4" l="1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I45" i="17"/>
  <c r="DX45" i="17"/>
  <c r="CE110" i="17"/>
  <c r="CB110" i="17"/>
  <c r="CF110" i="17"/>
  <c r="DY45" i="17"/>
  <c r="CJ45" i="17"/>
  <c r="CP45" i="17"/>
  <c r="EE45" i="17"/>
  <c r="CQ45" i="17"/>
  <c r="EF45" i="17"/>
  <c r="CR45" i="17"/>
  <c r="EG45" i="17"/>
  <c r="CB45" i="17"/>
  <c r="A172" i="2"/>
  <c r="CG69" i="2"/>
  <c r="CT69" i="2"/>
  <c r="CQ69" i="2"/>
  <c r="CO69" i="2"/>
  <c r="CD67" i="4"/>
  <c r="CB67" i="4"/>
  <c r="CP67" i="4"/>
  <c r="CN67" i="4"/>
  <c r="CM71" i="4"/>
  <c r="CA71" i="4"/>
  <c r="AR71" i="4" s="1"/>
  <c r="CC68" i="4"/>
  <c r="CQ68" i="4"/>
  <c r="CO68" i="4"/>
  <c r="C36" i="4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S24" i="4" l="1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CF37" i="4"/>
  <c r="AS37" i="4" s="1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76" i="4"/>
  <c r="CA76" i="4"/>
  <c r="AR76" i="4" s="1"/>
  <c r="CM65" i="4"/>
  <c r="CA65" i="4"/>
  <c r="AR65" i="4" s="1"/>
  <c r="A93" i="4"/>
  <c r="E7" i="12" s="1"/>
  <c r="A173" i="2"/>
  <c r="D5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G39" i="4"/>
  <c r="CF39" i="4"/>
  <c r="CS39" i="4"/>
  <c r="CR39" i="4"/>
  <c r="CA16" i="4"/>
  <c r="AS16" i="4" s="1"/>
  <c r="CM16" i="4"/>
  <c r="CF38" i="4"/>
  <c r="AS38" i="4" s="1"/>
  <c r="CG40" i="4"/>
  <c r="AS40" i="4" s="1"/>
  <c r="CS40" i="4"/>
  <c r="CA17" i="4"/>
  <c r="AS17" i="4" s="1"/>
  <c r="CM17" i="4"/>
  <c r="CR37" i="4"/>
  <c r="CR38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tc={C3C75543-141E-413D-B06F-E7AC3FB22A75}</author>
  </authors>
  <commentList>
    <comment ref="C96" authorId="0" shapeId="0" xr:uid="{C3C75543-141E-413D-B06F-E7AC3FB22A7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ESTOS DATOS DEBEN SER IGUAL A FILA 12 POR EDAD Y SEXO</t>
      </text>
    </comment>
  </commentList>
</comments>
</file>

<file path=xl/sharedStrings.xml><?xml version="1.0" encoding="utf-8"?>
<sst xmlns="http://schemas.openxmlformats.org/spreadsheetml/2006/main" count="2869" uniqueCount="916">
  <si>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</si>
  <si>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</si>
  <si>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</si>
  <si>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</si>
  <si>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</si>
  <si>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</si>
  <si>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</si>
  <si>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JUNIO</t>
  </si>
  <si>
    <t>AÑO:</t>
  </si>
  <si>
    <t>Versión 1.2: Junio 2025</t>
  </si>
  <si>
    <t>Director/a Servicio de Salud o Director/a Establecimiento</t>
  </si>
  <si>
    <t>SR. CRISTIAN JARA ORELLANA</t>
  </si>
  <si>
    <t>Establecimiento de Mayor Complejidad (EMAYC)</t>
  </si>
  <si>
    <t>SERVICIO DE SALUD</t>
  </si>
  <si>
    <t>Jefe/a de Estadísticas</t>
  </si>
  <si>
    <t>SRA. EVELYN SOTO SAAVEDRA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</si>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</sst>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4" applyNumberFormat="0">
      <protection locked="0"/>
    </xf>
    <xf numFmtId="0" fontId="8" fillId="13" borderId="144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16" fillId="0" borderId="147" applyNumberFormat="0" applyBorder="0">
      <protection hidden="1"/>
    </xf>
    <xf numFmtId="0" fontId="16" fillId="0" borderId="147" applyNumberFormat="0" applyBorder="0">
      <protection hidden="1"/>
    </xf>
    <xf numFmtId="0" fontId="16" fillId="0" borderId="147" applyNumberFormat="0" applyBorder="0" applyAlignment="0">
      <protection hidden="1"/>
    </xf>
    <xf numFmtId="0" fontId="8" fillId="5" borderId="157" applyNumberFormat="0" applyFont="0" applyAlignment="0" applyProtection="0"/>
    <xf numFmtId="0" fontId="8" fillId="5" borderId="157" applyNumberFormat="0" applyFont="0" applyAlignment="0" applyProtection="0"/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16" fillId="0" borderId="163" applyNumberFormat="0" applyBorder="0">
      <protection hidden="1"/>
    </xf>
    <xf numFmtId="0" fontId="16" fillId="0" borderId="163" applyNumberFormat="0" applyBorder="0">
      <protection hidden="1"/>
    </xf>
    <xf numFmtId="0" fontId="16" fillId="0" borderId="163" applyNumberFormat="0" applyBorder="0" applyAlignment="0">
      <protection hidden="1"/>
    </xf>
    <xf numFmtId="0" fontId="8" fillId="13" borderId="166" applyNumberFormat="0">
      <protection locked="0"/>
    </xf>
    <xf numFmtId="0" fontId="8" fillId="13" borderId="166" applyNumberFormat="0">
      <protection locked="0"/>
    </xf>
    <xf numFmtId="0" fontId="1" fillId="30" borderId="169" applyNumberFormat="0" applyFont="0" applyAlignment="0" applyProtection="0"/>
    <xf numFmtId="0" fontId="8" fillId="13" borderId="2" applyNumberFormat="0">
      <protection locked="0"/>
    </xf>
    <xf numFmtId="0" fontId="8" fillId="13" borderId="171" applyBorder="0">
      <protection locked="0"/>
    </xf>
    <xf numFmtId="0" fontId="8" fillId="13" borderId="172" applyNumberFormat="0">
      <protection locked="0"/>
    </xf>
    <xf numFmtId="0" fontId="8" fillId="13" borderId="172" applyNumberFormat="0">
      <protection locked="0"/>
    </xf>
    <xf numFmtId="0" fontId="8" fillId="13" borderId="173" applyNumberFormat="0">
      <protection locked="0"/>
    </xf>
    <xf numFmtId="0" fontId="8" fillId="13" borderId="163" applyBorder="0">
      <protection locked="0"/>
    </xf>
  </cellStyleXfs>
  <cellXfs count="2274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5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1" xfId="0" applyNumberFormat="1" applyFont="1" applyBorder="1" applyAlignment="1" applyProtection="1">
      <alignment horizontal="left"/>
      <protection hidden="1"/>
    </xf>
    <xf numFmtId="1" fontId="6" fillId="0" borderId="50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45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0" xfId="0" applyNumberFormat="1" applyFont="1" applyBorder="1" applyAlignment="1">
      <alignment wrapText="1"/>
    </xf>
    <xf numFmtId="1" fontId="6" fillId="0" borderId="53" xfId="0" applyNumberFormat="1" applyFont="1" applyBorder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4" applyNumberFormat="1" applyFont="1" applyBorder="1"/>
    <xf numFmtId="1" fontId="6" fillId="0" borderId="64" xfId="124" applyNumberFormat="1" applyFont="1" applyBorder="1"/>
    <xf numFmtId="1" fontId="6" fillId="0" borderId="31" xfId="124" applyNumberFormat="1" applyFont="1" applyBorder="1"/>
    <xf numFmtId="1" fontId="6" fillId="0" borderId="52" xfId="124" applyNumberFormat="1" applyFont="1" applyBorder="1"/>
    <xf numFmtId="1" fontId="6" fillId="0" borderId="68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30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5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1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9" xfId="124" applyNumberFormat="1" applyFont="1" applyBorder="1" applyAlignment="1">
      <alignment horizontal="left" vertical="center"/>
    </xf>
    <xf numFmtId="1" fontId="6" fillId="0" borderId="90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5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5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1" xfId="124" quotePrefix="1" applyNumberFormat="1" applyFont="1" applyBorder="1" applyAlignment="1">
      <alignment wrapText="1"/>
    </xf>
    <xf numFmtId="1" fontId="6" fillId="0" borderId="45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4" xfId="124" quotePrefix="1" applyNumberFormat="1" applyFont="1" applyBorder="1"/>
    <xf numFmtId="1" fontId="6" fillId="0" borderId="51" xfId="124" applyNumberFormat="1" applyFont="1" applyBorder="1" applyAlignment="1">
      <alignment wrapText="1"/>
    </xf>
    <xf numFmtId="1" fontId="6" fillId="0" borderId="52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5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22" borderId="53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15" borderId="108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88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3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3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5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6" xfId="0" applyNumberFormat="1" applyFont="1" applyFill="1" applyBorder="1" applyAlignment="1">
      <alignment horizontal="right" wrapText="1"/>
    </xf>
    <xf numFmtId="1" fontId="6" fillId="22" borderId="53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7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40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 wrapText="1"/>
    </xf>
    <xf numFmtId="1" fontId="6" fillId="22" borderId="77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7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7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3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66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7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0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77" xfId="125" applyNumberFormat="1" applyFont="1" applyBorder="1" applyAlignment="1" applyProtection="1">
      <alignment horizontal="right" wrapText="1"/>
      <protection hidden="1"/>
    </xf>
    <xf numFmtId="1" fontId="6" fillId="0" borderId="93" xfId="125" applyNumberFormat="1" applyFont="1" applyBorder="1" applyAlignment="1" applyProtection="1">
      <alignment horizontal="right" wrapText="1"/>
      <protection hidden="1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7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2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49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92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20" borderId="107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3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87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0" borderId="31" xfId="0" applyNumberFormat="1" applyFont="1" applyBorder="1" applyAlignment="1">
      <alignment horizontal="right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23" xfId="0" applyNumberFormat="1" applyFont="1" applyBorder="1" applyAlignment="1">
      <alignment horizontal="right"/>
    </xf>
    <xf numFmtId="1" fontId="6" fillId="15" borderId="33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1" xfId="0" applyNumberFormat="1" applyFont="1" applyFill="1" applyBorder="1" applyAlignment="1">
      <alignment horizontal="right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0" borderId="60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98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31" xfId="124" applyNumberFormat="1" applyFont="1" applyBorder="1" applyAlignment="1">
      <alignment horizontal="right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6" xfId="124" applyNumberFormat="1" applyFont="1" applyBorder="1" applyAlignment="1">
      <alignment horizontal="right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108" xfId="124" applyNumberFormat="1" applyFont="1" applyFill="1" applyBorder="1" applyAlignment="1" applyProtection="1">
      <alignment horizontal="right"/>
      <protection locked="0"/>
    </xf>
    <xf numFmtId="1" fontId="6" fillId="0" borderId="68" xfId="124" applyNumberFormat="1" applyFont="1" applyBorder="1" applyAlignment="1">
      <alignment horizontal="right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0" borderId="52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0" borderId="64" xfId="124" applyNumberFormat="1" applyFont="1" applyBorder="1" applyAlignment="1">
      <alignment horizontal="right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57" xfId="124" applyNumberFormat="1" applyFont="1" applyBorder="1" applyAlignment="1">
      <alignment horizontal="right" wrapText="1"/>
    </xf>
    <xf numFmtId="1" fontId="6" fillId="0" borderId="46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30" xfId="124" applyNumberFormat="1" applyFont="1" applyBorder="1" applyAlignment="1">
      <alignment horizontal="right"/>
    </xf>
    <xf numFmtId="1" fontId="6" fillId="0" borderId="66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40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8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7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75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20" borderId="120" xfId="125" applyNumberFormat="1" applyFont="1" applyFill="1" applyBorder="1" applyAlignment="1">
      <alignment horizontal="right"/>
    </xf>
    <xf numFmtId="1" fontId="6" fillId="0" borderId="84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82" xfId="125" applyNumberFormat="1" applyFont="1" applyFill="1" applyBorder="1" applyAlignment="1" applyProtection="1">
      <alignment horizontal="right"/>
      <protection locked="0"/>
    </xf>
    <xf numFmtId="1" fontId="6" fillId="23" borderId="121" xfId="125" applyNumberFormat="1" applyFont="1" applyFill="1" applyBorder="1" applyAlignment="1" applyProtection="1">
      <alignment horizontal="right"/>
      <protection locked="0"/>
    </xf>
    <xf numFmtId="1" fontId="6" fillId="20" borderId="85" xfId="125" applyNumberFormat="1" applyFont="1" applyFill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>
      <alignment horizontal="right"/>
    </xf>
    <xf numFmtId="1" fontId="6" fillId="20" borderId="61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7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93" xfId="125" applyNumberFormat="1" applyFont="1" applyFill="1" applyBorder="1" applyAlignment="1">
      <alignment horizontal="right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0" borderId="94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93" xfId="0" applyNumberFormat="1" applyFont="1" applyFill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3" borderId="40" xfId="125" applyNumberFormat="1" applyFont="1" applyFill="1" applyBorder="1" applyAlignment="1" applyProtection="1">
      <alignment horizontal="right"/>
      <protection locked="0"/>
    </xf>
    <xf numFmtId="1" fontId="6" fillId="0" borderId="95" xfId="125" applyNumberFormat="1" applyFont="1" applyBorder="1" applyAlignment="1">
      <alignment horizontal="right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61" xfId="126" applyNumberFormat="1" applyFont="1" applyBorder="1" applyAlignment="1">
      <alignment horizontal="right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61" xfId="126" applyNumberFormat="1" applyFont="1" applyFill="1" applyBorder="1" applyAlignment="1" applyProtection="1">
      <alignment horizontal="right"/>
      <protection locked="0"/>
    </xf>
    <xf numFmtId="1" fontId="6" fillId="15" borderId="98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8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69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88" xfId="126" applyNumberFormat="1" applyFont="1" applyFill="1" applyBorder="1" applyAlignment="1" applyProtection="1">
      <alignment horizontal="right"/>
      <protection locked="0"/>
    </xf>
    <xf numFmtId="1" fontId="6" fillId="15" borderId="10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6" xfId="126" applyNumberFormat="1" applyFont="1" applyBorder="1" applyAlignment="1">
      <alignment horizontal="right"/>
    </xf>
    <xf numFmtId="1" fontId="6" fillId="0" borderId="48" xfId="14" applyNumberFormat="1" applyFont="1" applyFill="1" applyBorder="1" applyAlignment="1" applyProtection="1">
      <alignment horizontal="right"/>
    </xf>
    <xf numFmtId="1" fontId="6" fillId="0" borderId="87" xfId="126" applyNumberFormat="1" applyFont="1" applyBorder="1" applyAlignment="1">
      <alignment horizontal="right"/>
    </xf>
    <xf numFmtId="1" fontId="6" fillId="0" borderId="70" xfId="14" applyNumberFormat="1" applyFont="1" applyFill="1" applyBorder="1" applyAlignment="1" applyProtection="1">
      <alignment horizontal="right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88" xfId="14" applyNumberFormat="1" applyFont="1" applyFill="1" applyBorder="1" applyAlignment="1">
      <alignment horizontal="right"/>
      <protection locked="0"/>
    </xf>
    <xf numFmtId="1" fontId="6" fillId="15" borderId="102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15" borderId="98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69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1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5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8" xfId="15" applyNumberFormat="1" applyFont="1" applyFill="1" applyBorder="1" applyAlignment="1" applyProtection="1">
      <alignment horizontal="right"/>
    </xf>
    <xf numFmtId="1" fontId="6" fillId="0" borderId="60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0" borderId="93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100" xfId="125" applyNumberFormat="1" applyFont="1" applyBorder="1" applyAlignment="1">
      <alignment horizontal="right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>
      <alignment horizontal="right"/>
    </xf>
    <xf numFmtId="1" fontId="6" fillId="20" borderId="67" xfId="125" applyNumberFormat="1" applyFont="1" applyFill="1" applyBorder="1" applyAlignment="1">
      <alignment horizontal="right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60" xfId="0" applyFont="1" applyFill="1" applyBorder="1" applyAlignment="1" applyProtection="1">
      <alignment horizontal="right"/>
      <protection locked="0"/>
    </xf>
    <xf numFmtId="0" fontId="29" fillId="24" borderId="96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48" xfId="0" applyFont="1" applyFill="1" applyBorder="1" applyAlignment="1" applyProtection="1">
      <alignment horizontal="right"/>
      <protection locked="0"/>
    </xf>
    <xf numFmtId="0" fontId="29" fillId="24" borderId="58" xfId="0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7" xfId="125" applyNumberFormat="1" applyFont="1" applyFill="1" applyBorder="1" applyAlignment="1">
      <alignment horizontal="right"/>
    </xf>
    <xf numFmtId="1" fontId="6" fillId="20" borderId="58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72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0" borderId="111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7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vertical="center" wrapText="1"/>
    </xf>
    <xf numFmtId="1" fontId="6" fillId="0" borderId="142" xfId="125" applyNumberFormat="1" applyFont="1" applyBorder="1" applyAlignment="1">
      <alignment vertical="center" wrapText="1"/>
    </xf>
    <xf numFmtId="1" fontId="6" fillId="0" borderId="58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0" borderId="93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5" xfId="0" applyNumberFormat="1" applyFont="1" applyBorder="1" applyAlignment="1">
      <alignment horizontal="center" vertical="center"/>
    </xf>
    <xf numFmtId="1" fontId="6" fillId="23" borderId="55" xfId="45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17" borderId="50" xfId="122" applyNumberFormat="1" applyFont="1" applyFill="1" applyBorder="1" applyAlignment="1">
      <alignment horizontal="left" wrapText="1"/>
    </xf>
    <xf numFmtId="1" fontId="6" fillId="17" borderId="61" xfId="108" applyNumberFormat="1" applyFont="1" applyFill="1" applyBorder="1" applyAlignment="1">
      <alignment horizontal="right" wrapText="1"/>
    </xf>
    <xf numFmtId="1" fontId="6" fillId="17" borderId="68" xfId="122" applyNumberFormat="1" applyFont="1" applyFill="1" applyBorder="1" applyAlignment="1">
      <alignment horizontal="left"/>
    </xf>
    <xf numFmtId="1" fontId="6" fillId="17" borderId="58" xfId="108" applyNumberFormat="1" applyFont="1" applyFill="1" applyBorder="1" applyAlignment="1">
      <alignment horizontal="right" wrapText="1"/>
    </xf>
    <xf numFmtId="1" fontId="6" fillId="17" borderId="52" xfId="122" applyNumberFormat="1" applyFont="1" applyFill="1" applyBorder="1" applyAlignment="1">
      <alignment horizontal="left"/>
    </xf>
    <xf numFmtId="1" fontId="6" fillId="17" borderId="67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3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5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5" xfId="0" applyFont="1" applyBorder="1"/>
    <xf numFmtId="0" fontId="6" fillId="29" borderId="45" xfId="0" applyFont="1" applyFill="1" applyBorder="1" applyAlignment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20" borderId="61" xfId="72" applyNumberFormat="1" applyFont="1" applyFill="1" applyBorder="1" applyAlignment="1" applyProtection="1">
      <alignment horizontal="right"/>
    </xf>
    <xf numFmtId="1" fontId="6" fillId="20" borderId="57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113" xfId="72" applyNumberFormat="1" applyFont="1" applyFill="1" applyBorder="1" applyAlignment="1" applyProtection="1">
      <alignment horizontal="right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61" xfId="0" applyFont="1" applyFill="1" applyBorder="1" applyAlignment="1" applyProtection="1">
      <alignment horizontal="right"/>
      <protection locked="0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0" fontId="6" fillId="24" borderId="92" xfId="0" applyFont="1" applyFill="1" applyBorder="1" applyAlignment="1" applyProtection="1">
      <alignment horizontal="right"/>
      <protection locked="0"/>
    </xf>
    <xf numFmtId="0" fontId="6" fillId="24" borderId="76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6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2" xfId="0" applyNumberFormat="1" applyFont="1" applyFill="1" applyBorder="1" applyAlignment="1">
      <alignment horizontal="right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105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23" borderId="37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15" borderId="61" xfId="14" quotePrefix="1" applyNumberFormat="1" applyFont="1" applyFill="1" applyBorder="1" applyAlignment="1">
      <alignment horizontal="right"/>
      <protection locked="0"/>
    </xf>
    <xf numFmtId="1" fontId="6" fillId="15" borderId="48" xfId="14" quotePrefix="1" applyNumberFormat="1" applyFont="1" applyFill="1" applyBorder="1" applyAlignment="1">
      <alignment horizontal="right"/>
      <protection locked="0"/>
    </xf>
    <xf numFmtId="1" fontId="6" fillId="15" borderId="76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23" borderId="145" xfId="125" applyNumberFormat="1" applyFont="1" applyFill="1" applyBorder="1" applyAlignment="1" applyProtection="1">
      <alignment horizontal="right"/>
      <protection locked="0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27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/>
    <xf numFmtId="1" fontId="6" fillId="22" borderId="52" xfId="124" applyNumberFormat="1" applyFont="1" applyFill="1" applyBorder="1" applyAlignment="1">
      <alignment horizontal="right"/>
    </xf>
    <xf numFmtId="1" fontId="6" fillId="22" borderId="66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/>
    <xf numFmtId="1" fontId="6" fillId="22" borderId="64" xfId="124" applyNumberFormat="1" applyFont="1" applyFill="1" applyBorder="1" applyAlignment="1">
      <alignment horizontal="right"/>
    </xf>
    <xf numFmtId="1" fontId="6" fillId="22" borderId="49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22" borderId="52" xfId="124" applyNumberFormat="1" applyFont="1" applyFill="1" applyBorder="1"/>
    <xf numFmtId="1" fontId="6" fillId="22" borderId="5" xfId="124" applyNumberFormat="1" applyFont="1" applyFill="1" applyBorder="1"/>
    <xf numFmtId="1" fontId="6" fillId="22" borderId="68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113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3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5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7" xfId="0" applyNumberFormat="1" applyFont="1" applyBorder="1" applyAlignment="1">
      <alignment horizontal="right"/>
    </xf>
    <xf numFmtId="1" fontId="6" fillId="0" borderId="107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3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8" xfId="0" applyNumberFormat="1" applyFont="1" applyFill="1" applyBorder="1" applyAlignment="1" applyProtection="1">
      <alignment horizontal="right"/>
      <protection locked="0"/>
    </xf>
    <xf numFmtId="1" fontId="6" fillId="0" borderId="75" xfId="0" applyNumberFormat="1" applyFont="1" applyBorder="1" applyAlignment="1">
      <alignment horizontal="right"/>
    </xf>
    <xf numFmtId="1" fontId="6" fillId="0" borderId="93" xfId="0" applyNumberFormat="1" applyFont="1" applyBorder="1" applyAlignment="1">
      <alignment horizontal="right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5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5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8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4" xfId="126" applyNumberFormat="1" applyFont="1" applyBorder="1" applyAlignment="1" applyProtection="1">
      <alignment vertical="center" wrapText="1"/>
      <protection hidden="1"/>
    </xf>
    <xf numFmtId="1" fontId="6" fillId="0" borderId="50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8" xfId="0" applyNumberFormat="1" applyFont="1" applyBorder="1" applyAlignment="1">
      <alignment horizontal="right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0" borderId="77" xfId="124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9" xfId="124" applyNumberFormat="1" applyFont="1" applyFill="1" applyBorder="1" applyAlignment="1" applyProtection="1">
      <alignment horizontal="right" vertical="center"/>
      <protection locked="0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6" xfId="108" applyNumberFormat="1" applyFont="1" applyBorder="1" applyAlignment="1">
      <alignment horizontal="center" vertical="center" wrapText="1"/>
    </xf>
    <xf numFmtId="1" fontId="6" fillId="0" borderId="55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 wrapText="1"/>
    </xf>
    <xf numFmtId="1" fontId="6" fillId="0" borderId="66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5" xfId="124" applyNumberFormat="1" applyFont="1" applyBorder="1" applyAlignment="1">
      <alignment horizontal="left"/>
    </xf>
    <xf numFmtId="1" fontId="6" fillId="0" borderId="57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22" borderId="110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3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30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2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7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40" xfId="0" applyNumberFormat="1" applyFont="1" applyFill="1" applyBorder="1" applyAlignment="1">
      <alignment horizontal="right"/>
    </xf>
    <xf numFmtId="1" fontId="6" fillId="22" borderId="122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12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7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3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9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2" xfId="0" applyNumberFormat="1" applyFont="1" applyBorder="1" applyAlignment="1">
      <alignment vertical="center" wrapText="1"/>
    </xf>
    <xf numFmtId="1" fontId="6" fillId="0" borderId="31" xfId="0" quotePrefix="1" applyNumberFormat="1" applyFont="1" applyBorder="1" applyAlignment="1">
      <alignment horizontal="left" wrapText="1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20" borderId="37" xfId="124" applyNumberFormat="1" applyFont="1" applyFill="1" applyBorder="1" applyAlignment="1">
      <alignment horizontal="right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50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0" borderId="152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60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50" xfId="0" quotePrefix="1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/>
    </xf>
    <xf numFmtId="1" fontId="6" fillId="0" borderId="124" xfId="0" applyNumberFormat="1" applyFont="1" applyBorder="1" applyAlignment="1">
      <alignment horizontal="center" vertical="center" wrapText="1"/>
    </xf>
    <xf numFmtId="1" fontId="6" fillId="20" borderId="38" xfId="0" applyNumberFormat="1" applyFont="1" applyFill="1" applyBorder="1" applyAlignment="1">
      <alignment horizontal="right"/>
    </xf>
    <xf numFmtId="1" fontId="6" fillId="20" borderId="118" xfId="0" applyNumberFormat="1" applyFont="1" applyFill="1" applyBorder="1" applyAlignment="1">
      <alignment horizontal="right"/>
    </xf>
    <xf numFmtId="1" fontId="6" fillId="20" borderId="41" xfId="0" applyNumberFormat="1" applyFont="1" applyFill="1" applyBorder="1" applyAlignment="1">
      <alignment horizontal="right"/>
    </xf>
    <xf numFmtId="1" fontId="6" fillId="20" borderId="153" xfId="0" applyNumberFormat="1" applyFont="1" applyFill="1" applyBorder="1" applyAlignment="1">
      <alignment horizontal="right"/>
    </xf>
    <xf numFmtId="1" fontId="6" fillId="20" borderId="104" xfId="0" applyNumberFormat="1" applyFont="1" applyFill="1" applyBorder="1" applyAlignment="1">
      <alignment horizontal="right"/>
    </xf>
    <xf numFmtId="1" fontId="6" fillId="15" borderId="155" xfId="0" applyNumberFormat="1" applyFont="1" applyFill="1" applyBorder="1" applyAlignment="1" applyProtection="1">
      <alignment horizontal="right"/>
      <protection locked="0"/>
    </xf>
    <xf numFmtId="1" fontId="6" fillId="20" borderId="149" xfId="0" applyNumberFormat="1" applyFont="1" applyFill="1" applyBorder="1" applyAlignment="1">
      <alignment horizontal="right"/>
    </xf>
    <xf numFmtId="1" fontId="6" fillId="20" borderId="148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3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7" xfId="0" applyNumberFormat="1" applyFont="1" applyFill="1" applyBorder="1" applyAlignment="1">
      <alignment horizontal="right"/>
    </xf>
    <xf numFmtId="0" fontId="6" fillId="20" borderId="46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41" xfId="0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40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3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88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0" borderId="53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3" xfId="125" applyNumberFormat="1" applyFont="1" applyFill="1" applyBorder="1" applyAlignment="1">
      <alignment horizontal="right"/>
    </xf>
    <xf numFmtId="1" fontId="6" fillId="20" borderId="145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6" xfId="125" applyNumberFormat="1" applyFont="1" applyFill="1" applyBorder="1" applyAlignment="1">
      <alignment horizontal="right"/>
    </xf>
    <xf numFmtId="1" fontId="6" fillId="20" borderId="127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50" xfId="123" applyFont="1" applyFill="1" applyBorder="1" applyAlignment="1" applyProtection="1">
      <alignment horizontal="center"/>
      <protection locked="0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6" xfId="14" applyNumberFormat="1" applyFont="1" applyFill="1" applyBorder="1" applyAlignment="1" applyProtection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20" borderId="47" xfId="14" applyNumberFormat="1" applyFont="1" applyFill="1" applyBorder="1" applyAlignment="1" applyProtection="1">
      <alignment horizontal="right"/>
    </xf>
    <xf numFmtId="1" fontId="6" fillId="0" borderId="151" xfId="108" applyNumberFormat="1" applyFont="1" applyBorder="1" applyAlignment="1">
      <alignment horizontal="center" vertical="center" wrapText="1"/>
    </xf>
    <xf numFmtId="1" fontId="6" fillId="0" borderId="151" xfId="125" applyNumberFormat="1" applyFont="1" applyBorder="1" applyAlignment="1" applyProtection="1">
      <alignment horizontal="center" vertical="center"/>
      <protection hidden="1"/>
    </xf>
    <xf numFmtId="1" fontId="6" fillId="0" borderId="91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71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7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 vertical="center"/>
    </xf>
    <xf numFmtId="1" fontId="6" fillId="0" borderId="76" xfId="124" applyNumberFormat="1" applyFont="1" applyBorder="1" applyAlignment="1">
      <alignment horizontal="right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6" xfId="124" applyNumberFormat="1" applyFont="1" applyFill="1" applyBorder="1" applyAlignment="1">
      <alignment horizontal="right"/>
    </xf>
    <xf numFmtId="1" fontId="6" fillId="22" borderId="61" xfId="124" applyNumberFormat="1" applyFont="1" applyFill="1" applyBorder="1" applyAlignment="1">
      <alignment horizontal="right"/>
    </xf>
    <xf numFmtId="1" fontId="6" fillId="22" borderId="74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6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23" borderId="46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9" xfId="124" applyNumberFormat="1" applyFont="1" applyFill="1" applyBorder="1" applyAlignment="1" applyProtection="1">
      <alignment horizontal="right"/>
      <protection locked="0"/>
    </xf>
    <xf numFmtId="1" fontId="6" fillId="23" borderId="7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9" xfId="124" applyNumberFormat="1" applyFont="1" applyFill="1" applyBorder="1" applyAlignment="1" applyProtection="1">
      <alignment horizontal="right"/>
      <protection locked="0"/>
    </xf>
    <xf numFmtId="1" fontId="6" fillId="23" borderId="47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4" xfId="124" applyNumberFormat="1" applyFont="1" applyFill="1" applyBorder="1" applyAlignment="1" applyProtection="1">
      <alignment horizontal="right"/>
      <protection locked="0"/>
    </xf>
    <xf numFmtId="1" fontId="6" fillId="23" borderId="69" xfId="124" applyNumberFormat="1" applyFont="1" applyFill="1" applyBorder="1" applyAlignment="1" applyProtection="1">
      <alignment horizontal="right"/>
      <protection locked="0"/>
    </xf>
    <xf numFmtId="1" fontId="6" fillId="23" borderId="77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95" xfId="124" applyNumberFormat="1" applyFont="1" applyFill="1" applyBorder="1" applyAlignment="1" applyProtection="1">
      <alignment horizontal="right"/>
      <protection locked="0"/>
    </xf>
    <xf numFmtId="1" fontId="6" fillId="23" borderId="102" xfId="124" applyNumberFormat="1" applyFont="1" applyFill="1" applyBorder="1" applyAlignment="1" applyProtection="1">
      <alignment horizontal="right"/>
      <protection locked="0"/>
    </xf>
    <xf numFmtId="1" fontId="6" fillId="23" borderId="56" xfId="124" applyNumberFormat="1" applyFont="1" applyFill="1" applyBorder="1" applyAlignment="1" applyProtection="1">
      <alignment horizontal="right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0" fontId="6" fillId="23" borderId="13" xfId="0" applyFont="1" applyFill="1" applyBorder="1" applyAlignment="1" applyProtection="1">
      <alignment horizontal="right" vertical="center"/>
      <protection locked="0"/>
    </xf>
    <xf numFmtId="0" fontId="6" fillId="23" borderId="21" xfId="0" applyFont="1" applyFill="1" applyBorder="1" applyAlignment="1" applyProtection="1">
      <alignment horizontal="right" vertical="center"/>
      <protection locked="0"/>
    </xf>
    <xf numFmtId="0" fontId="6" fillId="23" borderId="25" xfId="0" applyFont="1" applyFill="1" applyBorder="1" applyAlignment="1" applyProtection="1">
      <alignment horizontal="right" vertical="center"/>
      <protection locked="0"/>
    </xf>
    <xf numFmtId="0" fontId="6" fillId="23" borderId="5" xfId="0" applyFont="1" applyFill="1" applyBorder="1" applyAlignment="1" applyProtection="1">
      <alignment horizontal="right" vertical="center"/>
      <protection locked="0"/>
    </xf>
    <xf numFmtId="0" fontId="6" fillId="23" borderId="15" xfId="0" applyFont="1" applyFill="1" applyBorder="1" applyAlignment="1" applyProtection="1">
      <alignment horizontal="right" vertical="center"/>
      <protection locked="0"/>
    </xf>
    <xf numFmtId="1" fontId="6" fillId="20" borderId="46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7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60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 vertical="center"/>
    </xf>
    <xf numFmtId="1" fontId="6" fillId="0" borderId="15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 vertical="center"/>
      <protection locked="0"/>
    </xf>
    <xf numFmtId="1" fontId="6" fillId="0" borderId="53" xfId="124" applyNumberFormat="1" applyFont="1" applyBorder="1"/>
    <xf numFmtId="1" fontId="6" fillId="23" borderId="66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90" xfId="124" applyNumberFormat="1" applyFont="1" applyFill="1" applyBorder="1" applyAlignment="1" applyProtection="1">
      <alignment horizontal="right"/>
      <protection locked="0"/>
    </xf>
    <xf numFmtId="1" fontId="6" fillId="23" borderId="105" xfId="124" applyNumberFormat="1" applyFont="1" applyFill="1" applyBorder="1" applyAlignment="1" applyProtection="1">
      <alignment horizontal="right"/>
      <protection locked="0"/>
    </xf>
    <xf numFmtId="1" fontId="6" fillId="0" borderId="159" xfId="124" applyNumberFormat="1" applyFont="1" applyBorder="1" applyAlignment="1">
      <alignment horizontal="right" wrapText="1"/>
    </xf>
    <xf numFmtId="1" fontId="6" fillId="0" borderId="160" xfId="124" applyNumberFormat="1" applyFont="1" applyBorder="1" applyAlignment="1">
      <alignment horizontal="right" wrapText="1"/>
    </xf>
    <xf numFmtId="1" fontId="6" fillId="0" borderId="152" xfId="124" applyNumberFormat="1" applyFont="1" applyBorder="1" applyAlignment="1">
      <alignment horizontal="right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23" borderId="152" xfId="124" applyNumberFormat="1" applyFont="1" applyFill="1" applyBorder="1" applyAlignment="1" applyProtection="1">
      <alignment horizontal="right"/>
      <protection locked="0"/>
    </xf>
    <xf numFmtId="1" fontId="6" fillId="23" borderId="161" xfId="124" applyNumberFormat="1" applyFont="1" applyFill="1" applyBorder="1" applyAlignment="1" applyProtection="1">
      <alignment horizontal="right"/>
      <protection locked="0"/>
    </xf>
    <xf numFmtId="1" fontId="6" fillId="23" borderId="162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0" xfId="124" applyNumberFormat="1" applyFont="1" applyFill="1" applyBorder="1" applyAlignment="1" applyProtection="1">
      <alignment horizontal="right"/>
      <protection locked="0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22" borderId="151" xfId="124" applyNumberFormat="1" applyFont="1" applyFill="1" applyBorder="1" applyAlignment="1">
      <alignment horizontal="right"/>
    </xf>
    <xf numFmtId="0" fontId="6" fillId="0" borderId="151" xfId="0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7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96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6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8" xfId="72" applyNumberFormat="1" applyFont="1" applyFill="1" applyBorder="1" applyAlignment="1" applyProtection="1">
      <alignment horizontal="right"/>
    </xf>
    <xf numFmtId="1" fontId="6" fillId="0" borderId="151" xfId="0" applyNumberFormat="1" applyFont="1" applyBorder="1" applyAlignment="1">
      <alignment horizontal="center" vertical="center"/>
    </xf>
    <xf numFmtId="1" fontId="6" fillId="20" borderId="46" xfId="0" applyNumberFormat="1" applyFont="1" applyFill="1" applyBorder="1" applyAlignment="1">
      <alignment horizontal="right"/>
    </xf>
    <xf numFmtId="1" fontId="6" fillId="20" borderId="47" xfId="0" applyNumberFormat="1" applyFont="1" applyFill="1" applyBorder="1" applyAlignment="1">
      <alignment horizontal="right"/>
    </xf>
    <xf numFmtId="1" fontId="6" fillId="20" borderId="57" xfId="0" applyNumberFormat="1" applyFont="1" applyFill="1" applyBorder="1" applyAlignment="1">
      <alignment horizontal="right"/>
    </xf>
    <xf numFmtId="1" fontId="6" fillId="0" borderId="151" xfId="125" applyNumberFormat="1" applyFont="1" applyBorder="1" applyAlignment="1">
      <alignment horizontal="center" vertical="center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7" xfId="125" applyNumberFormat="1" applyFont="1" applyFill="1" applyBorder="1" applyAlignment="1" applyProtection="1">
      <alignment horizontal="right"/>
      <protection locked="0"/>
    </xf>
    <xf numFmtId="1" fontId="6" fillId="15" borderId="113" xfId="125" applyNumberFormat="1" applyFont="1" applyFill="1" applyBorder="1" applyAlignment="1" applyProtection="1">
      <alignment horizontal="right"/>
      <protection locked="0"/>
    </xf>
    <xf numFmtId="1" fontId="6" fillId="20" borderId="97" xfId="0" applyNumberFormat="1" applyFont="1" applyFill="1" applyBorder="1" applyAlignment="1">
      <alignment horizontal="right"/>
    </xf>
    <xf numFmtId="1" fontId="6" fillId="20" borderId="87" xfId="0" applyNumberFormat="1" applyFont="1" applyFill="1" applyBorder="1" applyAlignment="1">
      <alignment horizontal="right"/>
    </xf>
    <xf numFmtId="1" fontId="6" fillId="20" borderId="124" xfId="0" applyNumberFormat="1" applyFont="1" applyFill="1" applyBorder="1" applyAlignment="1">
      <alignment horizontal="right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113" xfId="0" applyNumberFormat="1" applyFont="1" applyFill="1" applyBorder="1" applyAlignment="1">
      <alignment horizontal="right"/>
    </xf>
    <xf numFmtId="1" fontId="6" fillId="15" borderId="57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3" xfId="0" applyNumberFormat="1" applyFont="1" applyFill="1" applyBorder="1" applyAlignment="1" applyProtection="1">
      <alignment vertical="center" wrapText="1"/>
      <protection hidden="1"/>
    </xf>
    <xf numFmtId="1" fontId="6" fillId="22" borderId="60" xfId="0" applyNumberFormat="1" applyFont="1" applyFill="1" applyBorder="1" applyAlignment="1">
      <alignment horizontal="center" vertical="center" wrapText="1"/>
    </xf>
    <xf numFmtId="1" fontId="6" fillId="15" borderId="55" xfId="171" applyNumberFormat="1" applyFont="1" applyFill="1" applyBorder="1" applyAlignment="1">
      <alignment horizontal="right"/>
      <protection locked="0"/>
    </xf>
    <xf numFmtId="1" fontId="6" fillId="15" borderId="150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12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0" borderId="167" xfId="0" applyNumberFormat="1" applyFont="1" applyBorder="1" applyAlignment="1">
      <alignment horizontal="right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112" xfId="0" quotePrefix="1" applyNumberFormat="1" applyFont="1" applyFill="1" applyBorder="1" applyAlignment="1" applyProtection="1">
      <alignment horizontal="right"/>
      <protection locked="0"/>
    </xf>
    <xf numFmtId="1" fontId="6" fillId="15" borderId="37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0" borderId="160" xfId="0" applyNumberFormat="1" applyFont="1" applyBorder="1" applyAlignment="1">
      <alignment horizontal="right"/>
    </xf>
    <xf numFmtId="1" fontId="6" fillId="15" borderId="66" xfId="0" quotePrefix="1" applyNumberFormat="1" applyFont="1" applyFill="1" applyBorder="1" applyAlignment="1" applyProtection="1">
      <alignment horizontal="right"/>
      <protection locked="0"/>
    </xf>
    <xf numFmtId="1" fontId="6" fillId="15" borderId="6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46" xfId="0" quotePrefix="1" applyNumberFormat="1" applyFont="1" applyFill="1" applyBorder="1" applyAlignment="1" applyProtection="1">
      <alignment horizontal="right"/>
      <protection locked="0"/>
    </xf>
    <xf numFmtId="1" fontId="6" fillId="15" borderId="61" xfId="0" quotePrefix="1" applyNumberFormat="1" applyFont="1" applyFill="1" applyBorder="1" applyAlignment="1" applyProtection="1">
      <alignment horizontal="right"/>
      <protection locked="0"/>
    </xf>
    <xf numFmtId="1" fontId="6" fillId="0" borderId="168" xfId="125" applyNumberFormat="1" applyFont="1" applyBorder="1" applyAlignment="1">
      <alignment horizontal="right"/>
    </xf>
    <xf numFmtId="1" fontId="6" fillId="0" borderId="151" xfId="125" applyNumberFormat="1" applyFont="1" applyBorder="1" applyAlignment="1">
      <alignment horizontal="right"/>
    </xf>
    <xf numFmtId="1" fontId="6" fillId="0" borderId="56" xfId="125" applyNumberFormat="1" applyFont="1" applyBorder="1" applyAlignment="1">
      <alignment horizontal="right"/>
    </xf>
    <xf numFmtId="1" fontId="6" fillId="0" borderId="56" xfId="125" applyNumberFormat="1" applyFont="1" applyBorder="1" applyAlignment="1" applyProtection="1">
      <alignment horizontal="center" vertical="center"/>
      <protection hidden="1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151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 applyProtection="1">
      <alignment horizontal="right"/>
      <protection locked="0"/>
    </xf>
    <xf numFmtId="1" fontId="6" fillId="20" borderId="61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57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0" fontId="29" fillId="0" borderId="150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7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6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7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61" xfId="45" applyNumberFormat="1" applyFont="1" applyFill="1" applyBorder="1" applyAlignment="1" applyProtection="1">
      <alignment horizontal="right"/>
    </xf>
    <xf numFmtId="1" fontId="6" fillId="23" borderId="46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5" xfId="112" applyNumberFormat="1" applyFont="1" applyBorder="1" applyAlignment="1" applyProtection="1">
      <alignment horizontal="left" vertical="center" wrapText="1"/>
      <protection hidden="1"/>
    </xf>
    <xf numFmtId="1" fontId="6" fillId="0" borderId="76" xfId="45" applyNumberFormat="1" applyFont="1" applyFill="1" applyBorder="1" applyAlignment="1" applyProtection="1">
      <alignment horizontal="right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93" xfId="45" applyNumberFormat="1" applyFont="1" applyFill="1" applyBorder="1" applyAlignment="1" applyProtection="1">
      <alignment horizontal="right"/>
      <protection locked="0"/>
    </xf>
    <xf numFmtId="1" fontId="6" fillId="23" borderId="61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1" xfId="125" applyNumberFormat="1" applyFont="1" applyBorder="1" applyAlignment="1" applyProtection="1">
      <alignment horizontal="center" vertical="center" wrapText="1"/>
      <protection hidden="1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5" xfId="0" applyNumberFormat="1" applyFont="1" applyFill="1" applyBorder="1" applyAlignment="1">
      <alignment wrapText="1"/>
    </xf>
    <xf numFmtId="1" fontId="6" fillId="0" borderId="79" xfId="125" applyNumberFormat="1" applyFont="1" applyBorder="1" applyAlignment="1">
      <alignment vertical="center" wrapText="1"/>
    </xf>
    <xf numFmtId="1" fontId="6" fillId="22" borderId="96" xfId="0" applyNumberFormat="1" applyFont="1" applyFill="1" applyBorder="1" applyAlignment="1">
      <alignment horizontal="center" vertical="center" wrapText="1"/>
    </xf>
    <xf numFmtId="1" fontId="6" fillId="20" borderId="57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4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0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4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3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60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60" xfId="122" applyNumberFormat="1" applyFont="1" applyFill="1" applyBorder="1" applyAlignment="1">
      <alignment horizontal="right"/>
    </xf>
    <xf numFmtId="1" fontId="6" fillId="17" borderId="53" xfId="122" applyNumberFormat="1" applyFont="1" applyFill="1" applyBorder="1" applyAlignment="1">
      <alignment horizontal="right"/>
    </xf>
    <xf numFmtId="1" fontId="6" fillId="17" borderId="45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5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5" xfId="124" applyNumberFormat="1" applyFont="1" applyBorder="1" applyAlignment="1">
      <alignment horizontal="right" vertical="center"/>
    </xf>
    <xf numFmtId="1" fontId="6" fillId="0" borderId="53" xfId="125" applyNumberFormat="1" applyFont="1" applyBorder="1" applyAlignment="1">
      <alignment horizontal="right"/>
    </xf>
    <xf numFmtId="1" fontId="6" fillId="0" borderId="45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5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5" xfId="112" applyNumberFormat="1" applyFont="1" applyBorder="1" applyAlignment="1" applyProtection="1">
      <alignment horizontal="right" wrapText="1"/>
      <protection hidden="1"/>
    </xf>
    <xf numFmtId="1" fontId="6" fillId="0" borderId="75" xfId="0" applyNumberFormat="1" applyFont="1" applyBorder="1" applyAlignment="1">
      <alignment wrapText="1"/>
    </xf>
    <xf numFmtId="1" fontId="6" fillId="20" borderId="98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3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5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5" xfId="126" applyNumberFormat="1" applyFont="1" applyBorder="1" applyAlignment="1" applyProtection="1">
      <alignment horizontal="right"/>
      <protection hidden="1"/>
    </xf>
    <xf numFmtId="1" fontId="6" fillId="0" borderId="174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60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3" xfId="0" applyNumberFormat="1" applyFont="1" applyFill="1" applyBorder="1" applyAlignment="1">
      <alignment horizontal="center" vertical="center" wrapText="1"/>
    </xf>
    <xf numFmtId="1" fontId="6" fillId="0" borderId="55" xfId="125" applyNumberFormat="1" applyFont="1" applyBorder="1" applyAlignment="1" applyProtection="1">
      <alignment horizontal="center" vertical="center" wrapText="1"/>
      <protection hidden="1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56" xfId="0" applyNumberFormat="1" applyFont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0" borderId="150" xfId="0" applyNumberFormat="1" applyFont="1" applyBorder="1" applyAlignment="1">
      <alignment horizontal="right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124" xfId="0" applyNumberFormat="1" applyFont="1" applyFill="1" applyBorder="1" applyAlignment="1" applyProtection="1">
      <alignment horizontal="right"/>
      <protection locked="0"/>
    </xf>
    <xf numFmtId="0" fontId="6" fillId="23" borderId="74" xfId="0" applyFont="1" applyFill="1" applyBorder="1" applyAlignment="1" applyProtection="1">
      <alignment horizontal="right" vertical="center"/>
      <protection locked="0"/>
    </xf>
    <xf numFmtId="0" fontId="6" fillId="23" borderId="69" xfId="0" applyFont="1" applyFill="1" applyBorder="1" applyAlignment="1" applyProtection="1">
      <alignment horizontal="right" vertical="center"/>
      <protection locked="0"/>
    </xf>
    <xf numFmtId="0" fontId="6" fillId="23" borderId="59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/>
    </xf>
    <xf numFmtId="0" fontId="6" fillId="23" borderId="56" xfId="0" applyFont="1" applyFill="1" applyBorder="1" applyAlignment="1" applyProtection="1">
      <alignment horizontal="right" vertical="center"/>
      <protection locked="0"/>
    </xf>
    <xf numFmtId="0" fontId="6" fillId="23" borderId="46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38" xfId="0" applyFont="1" applyFill="1" applyBorder="1" applyAlignment="1" applyProtection="1">
      <alignment horizontal="right" vertical="center"/>
      <protection locked="0"/>
    </xf>
    <xf numFmtId="0" fontId="6" fillId="23" borderId="41" xfId="0" applyFont="1" applyFill="1" applyBorder="1" applyAlignment="1" applyProtection="1">
      <alignment horizontal="right" vertical="center"/>
      <protection locked="0"/>
    </xf>
    <xf numFmtId="0" fontId="6" fillId="23" borderId="107" xfId="0" applyFont="1" applyFill="1" applyBorder="1" applyAlignment="1" applyProtection="1">
      <alignment horizontal="right" vertical="center"/>
      <protection locked="0"/>
    </xf>
    <xf numFmtId="0" fontId="6" fillId="23" borderId="11" xfId="0" applyFont="1" applyFill="1" applyBorder="1" applyAlignment="1" applyProtection="1">
      <alignment horizontal="right" vertical="center"/>
      <protection locked="0"/>
    </xf>
    <xf numFmtId="0" fontId="6" fillId="23" borderId="7" xfId="0" applyFont="1" applyFill="1" applyBorder="1" applyAlignment="1" applyProtection="1">
      <alignment horizontal="right" vertical="center"/>
      <protection locked="0"/>
    </xf>
    <xf numFmtId="0" fontId="6" fillId="23" borderId="96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 wrapText="1"/>
    </xf>
    <xf numFmtId="0" fontId="6" fillId="0" borderId="150" xfId="0" applyFont="1" applyBorder="1" applyAlignment="1">
      <alignment horizontal="right" vertical="center"/>
    </xf>
    <xf numFmtId="0" fontId="6" fillId="20" borderId="56" xfId="0" applyFont="1" applyFill="1" applyBorder="1" applyAlignment="1">
      <alignment horizontal="right" vertical="center" wrapText="1"/>
    </xf>
    <xf numFmtId="0" fontId="6" fillId="23" borderId="150" xfId="0" applyFont="1" applyFill="1" applyBorder="1" applyAlignment="1" applyProtection="1">
      <alignment horizontal="right" vertical="center"/>
      <protection locked="0"/>
    </xf>
    <xf numFmtId="1" fontId="6" fillId="0" borderId="150" xfId="0" applyNumberFormat="1" applyFont="1" applyBorder="1" applyAlignment="1" applyProtection="1">
      <alignment horizontal="center" vertical="center" wrapText="1"/>
      <protection hidden="1"/>
    </xf>
    <xf numFmtId="1" fontId="6" fillId="17" borderId="150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0" fontId="6" fillId="0" borderId="150" xfId="0" applyFont="1" applyBorder="1" applyAlignment="1">
      <alignment horizontal="right"/>
    </xf>
    <xf numFmtId="0" fontId="6" fillId="0" borderId="151" xfId="0" applyFont="1" applyBorder="1" applyAlignment="1">
      <alignment horizontal="right"/>
    </xf>
    <xf numFmtId="1" fontId="6" fillId="0" borderId="150" xfId="124" applyNumberFormat="1" applyFont="1" applyBorder="1" applyAlignment="1">
      <alignment horizontal="right"/>
    </xf>
    <xf numFmtId="1" fontId="6" fillId="22" borderId="150" xfId="124" applyNumberFormat="1" applyFont="1" applyFill="1" applyBorder="1" applyAlignment="1">
      <alignment horizontal="right"/>
    </xf>
    <xf numFmtId="1" fontId="6" fillId="17" borderId="151" xfId="0" applyNumberFormat="1" applyFont="1" applyFill="1" applyBorder="1" applyAlignment="1">
      <alignment horizontal="center" vertical="center"/>
    </xf>
    <xf numFmtId="1" fontId="6" fillId="0" borderId="151" xfId="126" applyNumberFormat="1" applyFont="1" applyBorder="1" applyAlignment="1" applyProtection="1">
      <alignment horizontal="center" vertical="center" wrapText="1"/>
      <protection hidden="1"/>
    </xf>
    <xf numFmtId="1" fontId="6" fillId="0" borderId="151" xfId="126" applyNumberFormat="1" applyFont="1" applyBorder="1" applyAlignment="1">
      <alignment horizontal="right"/>
    </xf>
    <xf numFmtId="1" fontId="6" fillId="0" borderId="151" xfId="14" applyNumberFormat="1" applyFont="1" applyFill="1" applyBorder="1" applyAlignment="1" applyProtection="1">
      <alignment horizontal="right"/>
    </xf>
    <xf numFmtId="1" fontId="6" fillId="0" borderId="151" xfId="126" applyNumberFormat="1" applyFont="1" applyBorder="1" applyAlignment="1" applyProtection="1">
      <alignment horizontal="center" vertical="center"/>
      <protection hidden="1"/>
    </xf>
    <xf numFmtId="1" fontId="6" fillId="15" borderId="151" xfId="14" applyNumberFormat="1" applyFont="1" applyFill="1" applyBorder="1" applyAlignment="1">
      <alignment horizontal="right"/>
      <protection locked="0"/>
    </xf>
    <xf numFmtId="1" fontId="6" fillId="23" borderId="151" xfId="45" applyNumberFormat="1" applyFont="1" applyFill="1" applyBorder="1" applyAlignment="1" applyProtection="1">
      <alignment horizontal="right"/>
      <protection locked="0"/>
    </xf>
    <xf numFmtId="1" fontId="6" fillId="0" borderId="151" xfId="125" applyNumberFormat="1" applyFont="1" applyBorder="1" applyAlignment="1" applyProtection="1">
      <alignment horizontal="right" wrapText="1"/>
      <protection hidden="1"/>
    </xf>
    <xf numFmtId="1" fontId="6" fillId="15" borderId="151" xfId="72" applyNumberFormat="1" applyFont="1" applyFill="1" applyBorder="1" applyAlignment="1" applyProtection="1">
      <alignment horizontal="right"/>
      <protection locked="0"/>
    </xf>
    <xf numFmtId="1" fontId="6" fillId="17" borderId="151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50" xfId="0" applyFont="1" applyBorder="1" applyAlignment="1">
      <alignment horizontal="center" vertical="center" wrapText="1"/>
    </xf>
    <xf numFmtId="0" fontId="6" fillId="0" borderId="164" xfId="0" applyFont="1" applyBorder="1" applyAlignment="1">
      <alignment horizontal="center" vertical="center" wrapText="1"/>
    </xf>
    <xf numFmtId="1" fontId="6" fillId="0" borderId="143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5" xfId="0" applyNumberFormat="1" applyFont="1" applyBorder="1" applyAlignment="1" applyProtection="1">
      <alignment horizontal="left" wrapText="1"/>
      <protection hidden="1"/>
    </xf>
    <xf numFmtId="0" fontId="6" fillId="0" borderId="165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3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horizontal="left"/>
      <protection hidden="1"/>
    </xf>
    <xf numFmtId="1" fontId="6" fillId="0" borderId="94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6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8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7" xfId="125" applyNumberFormat="1" applyFont="1" applyFill="1" applyBorder="1" applyAlignment="1">
      <alignment horizontal="right"/>
    </xf>
    <xf numFmtId="1" fontId="6" fillId="22" borderId="58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90" xfId="125" applyNumberFormat="1" applyFont="1" applyBorder="1" applyAlignment="1" applyProtection="1">
      <alignment vertical="center" wrapText="1"/>
      <protection hidden="1"/>
    </xf>
    <xf numFmtId="1" fontId="6" fillId="0" borderId="93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3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1" xfId="125" applyNumberFormat="1" applyFont="1" applyBorder="1" applyAlignment="1" applyProtection="1">
      <alignment vertical="center" wrapText="1"/>
      <protection hidden="1"/>
    </xf>
    <xf numFmtId="1" fontId="6" fillId="0" borderId="45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4" xfId="0" applyNumberFormat="1" applyFont="1" applyFill="1" applyBorder="1" applyAlignment="1">
      <alignment horizontal="center" wrapText="1"/>
    </xf>
    <xf numFmtId="1" fontId="6" fillId="15" borderId="66" xfId="80" applyNumberFormat="1" applyFont="1" applyFill="1" applyBorder="1" applyAlignment="1" applyProtection="1">
      <alignment horizontal="right"/>
      <protection locked="0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99" xfId="80" applyNumberFormat="1" applyFont="1" applyFill="1" applyBorder="1" applyAlignment="1" applyProtection="1">
      <alignment horizontal="right"/>
      <protection locked="0"/>
    </xf>
    <xf numFmtId="1" fontId="6" fillId="22" borderId="77" xfId="0" applyNumberFormat="1" applyFont="1" applyFill="1" applyBorder="1" applyAlignment="1">
      <alignment horizontal="right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76" xfId="80" applyNumberFormat="1" applyFont="1" applyFill="1" applyBorder="1" applyAlignment="1" applyProtection="1">
      <alignment horizontal="right"/>
      <protection locked="0"/>
    </xf>
    <xf numFmtId="1" fontId="6" fillId="15" borderId="88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5" xfId="175" applyNumberFormat="1" applyFont="1" applyFill="1" applyBorder="1" applyAlignment="1">
      <alignment horizontal="right"/>
      <protection locked="0"/>
    </xf>
    <xf numFmtId="1" fontId="6" fillId="15" borderId="71" xfId="137" applyNumberFormat="1" applyFont="1" applyFill="1" applyBorder="1" applyAlignment="1">
      <alignment horizontal="right"/>
      <protection locked="0"/>
    </xf>
    <xf numFmtId="1" fontId="6" fillId="15" borderId="175" xfId="173" applyNumberFormat="1" applyFont="1" applyFill="1" applyBorder="1" applyAlignment="1">
      <alignment horizontal="right"/>
      <protection locked="0"/>
    </xf>
    <xf numFmtId="1" fontId="6" fillId="15" borderId="176" xfId="173" applyNumberFormat="1" applyFont="1" applyFill="1" applyBorder="1" applyAlignment="1">
      <alignment horizontal="right"/>
      <protection locked="0"/>
    </xf>
    <xf numFmtId="0" fontId="6" fillId="0" borderId="45" xfId="0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right"/>
    </xf>
    <xf numFmtId="1" fontId="6" fillId="15" borderId="177" xfId="0" applyNumberFormat="1" applyFont="1" applyFill="1" applyBorder="1" applyAlignment="1" applyProtection="1">
      <alignment horizontal="right"/>
      <protection locked="0"/>
    </xf>
    <xf numFmtId="1" fontId="4" fillId="0" borderId="179" xfId="0" applyNumberFormat="1" applyFont="1" applyBorder="1" applyProtection="1">
      <protection hidden="1"/>
    </xf>
    <xf numFmtId="1" fontId="6" fillId="0" borderId="180" xfId="0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Protection="1">
      <protection hidden="1"/>
    </xf>
    <xf numFmtId="1" fontId="6" fillId="0" borderId="177" xfId="124" applyNumberFormat="1" applyFont="1" applyBorder="1" applyAlignment="1">
      <alignment horizontal="right"/>
    </xf>
    <xf numFmtId="1" fontId="6" fillId="0" borderId="180" xfId="124" applyNumberFormat="1" applyFont="1" applyBorder="1" applyAlignment="1">
      <alignment horizontal="right"/>
    </xf>
    <xf numFmtId="1" fontId="6" fillId="17" borderId="180" xfId="124" applyNumberFormat="1" applyFont="1" applyFill="1" applyBorder="1" applyAlignment="1">
      <alignment horizontal="center" vertical="center"/>
    </xf>
    <xf numFmtId="1" fontId="6" fillId="0" borderId="177" xfId="125" applyNumberFormat="1" applyFont="1" applyBorder="1" applyAlignment="1">
      <alignment horizontal="right"/>
    </xf>
    <xf numFmtId="1" fontId="6" fillId="0" borderId="180" xfId="0" applyNumberFormat="1" applyFont="1" applyBorder="1" applyAlignment="1">
      <alignment vertical="center" wrapText="1"/>
    </xf>
    <xf numFmtId="1" fontId="6" fillId="0" borderId="177" xfId="125" applyNumberFormat="1" applyFont="1" applyBorder="1" applyAlignment="1" applyProtection="1">
      <alignment vertical="center"/>
      <protection hidden="1"/>
    </xf>
    <xf numFmtId="1" fontId="10" fillId="0" borderId="180" xfId="125" applyNumberFormat="1" applyFont="1" applyBorder="1" applyAlignment="1" applyProtection="1">
      <alignment horizontal="left" vertical="center"/>
      <protection hidden="1"/>
    </xf>
    <xf numFmtId="1" fontId="6" fillId="0" borderId="177" xfId="126" applyNumberFormat="1" applyFont="1" applyBorder="1" applyAlignment="1">
      <alignment horizontal="right"/>
    </xf>
    <xf numFmtId="1" fontId="6" fillId="0" borderId="177" xfId="0" applyNumberFormat="1" applyFont="1" applyBorder="1" applyAlignment="1">
      <alignment wrapText="1"/>
    </xf>
    <xf numFmtId="1" fontId="6" fillId="23" borderId="177" xfId="125" applyNumberFormat="1" applyFont="1" applyFill="1" applyBorder="1" applyAlignment="1" applyProtection="1">
      <alignment horizontal="right"/>
      <protection locked="0"/>
    </xf>
    <xf numFmtId="1" fontId="6" fillId="0" borderId="177" xfId="124" quotePrefix="1" applyNumberFormat="1" applyFont="1" applyBorder="1" applyAlignment="1">
      <alignment horizontal="left" wrapText="1"/>
    </xf>
    <xf numFmtId="1" fontId="6" fillId="0" borderId="177" xfId="124" quotePrefix="1" applyNumberFormat="1" applyFont="1" applyBorder="1" applyAlignment="1">
      <alignment wrapText="1"/>
    </xf>
    <xf numFmtId="1" fontId="6" fillId="0" borderId="180" xfId="124" applyNumberFormat="1" applyFont="1" applyBorder="1" applyAlignment="1">
      <alignment wrapText="1"/>
    </xf>
    <xf numFmtId="1" fontId="6" fillId="22" borderId="177" xfId="124" applyNumberFormat="1" applyFont="1" applyFill="1" applyBorder="1" applyAlignment="1">
      <alignment horizontal="right" wrapText="1"/>
    </xf>
    <xf numFmtId="1" fontId="6" fillId="22" borderId="177" xfId="124" applyNumberFormat="1" applyFont="1" applyFill="1" applyBorder="1" applyAlignment="1">
      <alignment horizontal="right"/>
    </xf>
    <xf numFmtId="1" fontId="6" fillId="22" borderId="177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5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6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2" xfId="0" applyNumberFormat="1" applyFont="1" applyFill="1" applyBorder="1" applyAlignment="1">
      <alignment horizontal="right"/>
    </xf>
    <xf numFmtId="1" fontId="6" fillId="20" borderId="69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4" xfId="129" applyNumberFormat="1" applyFont="1" applyBorder="1" applyAlignment="1" applyProtection="1">
      <alignment horizontal="center" vertical="center" wrapText="1"/>
    </xf>
    <xf numFmtId="1" fontId="6" fillId="15" borderId="110" xfId="173" applyNumberFormat="1" applyFont="1" applyFill="1" applyBorder="1" applyAlignment="1">
      <alignment horizontal="right"/>
      <protection locked="0"/>
    </xf>
    <xf numFmtId="1" fontId="6" fillId="15" borderId="122" xfId="173" applyNumberFormat="1" applyFont="1" applyFill="1" applyBorder="1" applyAlignment="1">
      <alignment horizontal="right"/>
      <protection locked="0"/>
    </xf>
    <xf numFmtId="1" fontId="32" fillId="0" borderId="44" xfId="0" applyNumberFormat="1" applyFont="1" applyBorder="1"/>
    <xf numFmtId="1" fontId="6" fillId="20" borderId="37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9" xfId="125" applyNumberFormat="1" applyFont="1" applyFill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horizontal="left" vertical="center" wrapText="1"/>
      <protection hidden="1"/>
    </xf>
    <xf numFmtId="1" fontId="4" fillId="0" borderId="181" xfId="0" applyNumberFormat="1" applyFont="1" applyBorder="1" applyAlignment="1" applyProtection="1">
      <alignment horizontal="left"/>
      <protection hidden="1"/>
    </xf>
    <xf numFmtId="1" fontId="6" fillId="0" borderId="185" xfId="129" applyNumberFormat="1" applyFont="1" applyBorder="1" applyAlignment="1" applyProtection="1">
      <alignment horizontal="center" vertical="center" wrapText="1"/>
    </xf>
    <xf numFmtId="1" fontId="6" fillId="0" borderId="185" xfId="129" applyNumberFormat="1" applyFont="1" applyBorder="1" applyAlignment="1" applyProtection="1">
      <alignment horizontal="right"/>
    </xf>
    <xf numFmtId="1" fontId="6" fillId="0" borderId="185" xfId="174" applyNumberFormat="1" applyFont="1" applyFill="1" applyBorder="1" applyAlignment="1" applyProtection="1">
      <alignment horizontal="right"/>
    </xf>
    <xf numFmtId="0" fontId="7" fillId="0" borderId="186" xfId="0" applyFont="1" applyBorder="1" applyAlignment="1">
      <alignment horizontal="left" vertical="center"/>
    </xf>
    <xf numFmtId="0" fontId="7" fillId="15" borderId="187" xfId="14" applyFont="1" applyFill="1" applyBorder="1" applyAlignment="1">
      <alignment horizontal="center"/>
      <protection locked="0"/>
    </xf>
    <xf numFmtId="0" fontId="3" fillId="14" borderId="188" xfId="123" applyFont="1" applyFill="1" applyBorder="1" applyAlignment="1" applyProtection="1">
      <alignment horizontal="center"/>
      <protection locked="0"/>
    </xf>
    <xf numFmtId="0" fontId="7" fillId="0" borderId="189" xfId="0" applyFont="1" applyBorder="1" applyAlignment="1">
      <alignment horizontal="left" vertical="center"/>
    </xf>
    <xf numFmtId="0" fontId="7" fillId="15" borderId="190" xfId="14" applyFont="1" applyFill="1" applyBorder="1" applyAlignment="1">
      <alignment horizontal="center"/>
      <protection locked="0"/>
    </xf>
    <xf numFmtId="0" fontId="3" fillId="14" borderId="191" xfId="123" applyFont="1" applyFill="1" applyBorder="1" applyAlignment="1" applyProtection="1">
      <alignment horizontal="center"/>
      <protection locked="0"/>
    </xf>
    <xf numFmtId="0" fontId="7" fillId="15" borderId="192" xfId="14" applyFont="1" applyFill="1" applyBorder="1" applyAlignment="1">
      <alignment horizontal="center"/>
      <protection locked="0"/>
    </xf>
    <xf numFmtId="0" fontId="3" fillId="14" borderId="193" xfId="123" applyFont="1" applyFill="1" applyBorder="1" applyAlignment="1" applyProtection="1">
      <alignment horizontal="center"/>
      <protection locked="0"/>
    </xf>
    <xf numFmtId="0" fontId="14" fillId="0" borderId="194" xfId="0" applyFont="1" applyBorder="1" applyAlignment="1">
      <alignment horizontal="center"/>
    </xf>
    <xf numFmtId="0" fontId="7" fillId="17" borderId="195" xfId="0" applyFont="1" applyFill="1" applyBorder="1" applyAlignment="1">
      <alignment horizontal="left" vertical="center"/>
    </xf>
    <xf numFmtId="0" fontId="7" fillId="17" borderId="195" xfId="0" applyFont="1" applyFill="1" applyBorder="1" applyAlignment="1">
      <alignment horizontal="centerContinuous" vertical="center"/>
    </xf>
    <xf numFmtId="0" fontId="7" fillId="0" borderId="191" xfId="0" applyFont="1" applyBorder="1" applyAlignment="1">
      <alignment wrapText="1"/>
    </xf>
    <xf numFmtId="0" fontId="12" fillId="15" borderId="191" xfId="14" applyNumberFormat="1" applyFont="1" applyFill="1" applyBorder="1" applyAlignment="1">
      <alignment horizontal="center"/>
      <protection locked="0"/>
    </xf>
    <xf numFmtId="0" fontId="8" fillId="0" borderId="195" xfId="0" applyFont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/>
    </xf>
    <xf numFmtId="0" fontId="6" fillId="0" borderId="188" xfId="0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right"/>
    </xf>
    <xf numFmtId="1" fontId="6" fillId="0" borderId="206" xfId="0" applyNumberFormat="1" applyFont="1" applyBorder="1" applyAlignment="1">
      <alignment horizontal="right"/>
    </xf>
    <xf numFmtId="1" fontId="6" fillId="0" borderId="207" xfId="0" applyNumberFormat="1" applyFont="1" applyBorder="1" applyAlignment="1">
      <alignment horizontal="right"/>
    </xf>
    <xf numFmtId="1" fontId="6" fillId="0" borderId="147" xfId="0" applyNumberFormat="1" applyFont="1" applyBorder="1" applyAlignment="1">
      <alignment horizontal="right"/>
    </xf>
    <xf numFmtId="1" fontId="6" fillId="15" borderId="188" xfId="0" applyNumberFormat="1" applyFont="1" applyFill="1" applyBorder="1" applyAlignment="1" applyProtection="1">
      <alignment horizontal="right"/>
      <protection locked="0"/>
    </xf>
    <xf numFmtId="1" fontId="6" fillId="20" borderId="208" xfId="0" applyNumberFormat="1" applyFont="1" applyFill="1" applyBorder="1" applyAlignment="1">
      <alignment horizontal="right"/>
    </xf>
    <xf numFmtId="1" fontId="6" fillId="15" borderId="189" xfId="0" applyNumberFormat="1" applyFont="1" applyFill="1" applyBorder="1" applyAlignment="1" applyProtection="1">
      <alignment horizontal="right"/>
      <protection locked="0"/>
    </xf>
    <xf numFmtId="1" fontId="6" fillId="15" borderId="204" xfId="0" quotePrefix="1" applyNumberFormat="1" applyFont="1" applyFill="1" applyBorder="1" applyAlignment="1" applyProtection="1">
      <alignment horizontal="right"/>
      <protection locked="0"/>
    </xf>
    <xf numFmtId="1" fontId="6" fillId="20" borderId="204" xfId="0" applyNumberFormat="1" applyFont="1" applyFill="1" applyBorder="1" applyAlignment="1">
      <alignment horizontal="right"/>
    </xf>
    <xf numFmtId="1" fontId="4" fillId="0" borderId="199" xfId="0" applyNumberFormat="1" applyFont="1" applyBorder="1" applyAlignment="1" applyProtection="1">
      <alignment horizontal="left"/>
      <protection hidden="1"/>
    </xf>
    <xf numFmtId="1" fontId="6" fillId="0" borderId="199" xfId="0" applyNumberFormat="1" applyFont="1" applyBorder="1"/>
    <xf numFmtId="1" fontId="6" fillId="0" borderId="147" xfId="0" applyNumberFormat="1" applyFont="1" applyBorder="1" applyAlignment="1" applyProtection="1">
      <alignment horizontal="center" vertical="center" wrapText="1"/>
      <protection hidden="1"/>
    </xf>
    <xf numFmtId="1" fontId="6" fillId="0" borderId="189" xfId="0" applyNumberFormat="1" applyFont="1" applyBorder="1" applyAlignment="1" applyProtection="1">
      <alignment horizontal="center" vertical="center" wrapText="1"/>
      <protection hidden="1"/>
    </xf>
    <xf numFmtId="1" fontId="6" fillId="0" borderId="147" xfId="0" applyNumberFormat="1" applyFont="1" applyBorder="1" applyAlignment="1" applyProtection="1">
      <alignment horizontal="center"/>
      <protection hidden="1"/>
    </xf>
    <xf numFmtId="1" fontId="6" fillId="0" borderId="189" xfId="0" applyNumberFormat="1" applyFont="1" applyBorder="1" applyAlignment="1">
      <alignment horizontal="right"/>
    </xf>
    <xf numFmtId="1" fontId="6" fillId="0" borderId="208" xfId="0" applyNumberFormat="1" applyFont="1" applyBorder="1" applyAlignment="1">
      <alignment horizontal="right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213" xfId="0" applyNumberFormat="1" applyFont="1" applyBorder="1" applyAlignment="1" applyProtection="1">
      <alignment horizontal="center" vertical="center" wrapText="1"/>
      <protection hidden="1"/>
    </xf>
    <xf numFmtId="1" fontId="6" fillId="0" borderId="189" xfId="0" applyNumberFormat="1" applyFont="1" applyBorder="1" applyAlignment="1">
      <alignment horizontal="center" vertical="center"/>
    </xf>
    <xf numFmtId="1" fontId="6" fillId="0" borderId="213" xfId="0" applyNumberFormat="1" applyFont="1" applyBorder="1" applyAlignment="1">
      <alignment horizontal="right"/>
    </xf>
    <xf numFmtId="1" fontId="6" fillId="17" borderId="147" xfId="0" applyNumberFormat="1" applyFont="1" applyFill="1" applyBorder="1" applyAlignment="1">
      <alignment horizontal="right"/>
    </xf>
    <xf numFmtId="1" fontId="6" fillId="17" borderId="213" xfId="0" applyNumberFormat="1" applyFont="1" applyFill="1" applyBorder="1" applyAlignment="1">
      <alignment horizontal="right"/>
    </xf>
    <xf numFmtId="1" fontId="6" fillId="17" borderId="189" xfId="0" applyNumberFormat="1" applyFont="1" applyFill="1" applyBorder="1" applyAlignment="1">
      <alignment horizontal="right"/>
    </xf>
    <xf numFmtId="1" fontId="10" fillId="0" borderId="195" xfId="0" applyNumberFormat="1" applyFont="1" applyBorder="1" applyProtection="1"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vertical="center" wrapText="1"/>
      <protection hidden="1"/>
    </xf>
    <xf numFmtId="1" fontId="6" fillId="15" borderId="208" xfId="0" applyNumberFormat="1" applyFont="1" applyFill="1" applyBorder="1" applyAlignment="1" applyProtection="1">
      <alignment horizontal="right"/>
      <protection locked="0"/>
    </xf>
    <xf numFmtId="1" fontId="6" fillId="0" borderId="202" xfId="0" applyNumberFormat="1" applyFont="1" applyBorder="1" applyAlignment="1" applyProtection="1">
      <alignment horizontal="center" vertical="center" wrapText="1"/>
      <protection hidden="1"/>
    </xf>
    <xf numFmtId="1" fontId="6" fillId="0" borderId="189" xfId="0" applyNumberFormat="1" applyFont="1" applyBorder="1" applyAlignment="1">
      <alignment horizontal="center" vertical="center" wrapText="1"/>
    </xf>
    <xf numFmtId="0" fontId="6" fillId="0" borderId="147" xfId="0" applyFont="1" applyBorder="1" applyAlignment="1">
      <alignment horizontal="center"/>
    </xf>
    <xf numFmtId="0" fontId="6" fillId="0" borderId="147" xfId="0" applyFont="1" applyBorder="1" applyAlignment="1">
      <alignment horizontal="right"/>
    </xf>
    <xf numFmtId="0" fontId="6" fillId="0" borderId="213" xfId="0" applyFont="1" applyBorder="1" applyAlignment="1">
      <alignment horizontal="right"/>
    </xf>
    <xf numFmtId="0" fontId="6" fillId="0" borderId="189" xfId="0" applyFont="1" applyBorder="1" applyAlignment="1">
      <alignment horizontal="center" vertical="center"/>
    </xf>
    <xf numFmtId="0" fontId="6" fillId="0" borderId="189" xfId="0" applyFont="1" applyBorder="1" applyAlignment="1">
      <alignment horizontal="center" vertical="center" wrapText="1"/>
    </xf>
    <xf numFmtId="0" fontId="6" fillId="0" borderId="147" xfId="0" applyFont="1" applyBorder="1" applyAlignment="1">
      <alignment horizontal="center" vertical="center" wrapText="1"/>
    </xf>
    <xf numFmtId="0" fontId="6" fillId="0" borderId="147" xfId="0" applyFont="1" applyBorder="1" applyAlignment="1">
      <alignment horizontal="right" vertical="center"/>
    </xf>
    <xf numFmtId="0" fontId="6" fillId="0" borderId="213" xfId="0" applyFont="1" applyBorder="1" applyAlignment="1">
      <alignment horizontal="right" vertical="center"/>
    </xf>
    <xf numFmtId="0" fontId="6" fillId="0" borderId="208" xfId="0" applyFont="1" applyBorder="1" applyAlignment="1">
      <alignment horizontal="right" vertical="center" wrapText="1"/>
    </xf>
    <xf numFmtId="0" fontId="6" fillId="0" borderId="208" xfId="0" applyFont="1" applyBorder="1" applyAlignment="1">
      <alignment horizontal="right" vertical="center"/>
    </xf>
    <xf numFmtId="0" fontId="6" fillId="0" borderId="189" xfId="0" applyFont="1" applyBorder="1" applyAlignment="1">
      <alignment horizontal="right" vertical="center"/>
    </xf>
    <xf numFmtId="0" fontId="6" fillId="20" borderId="147" xfId="0" applyFont="1" applyFill="1" applyBorder="1" applyAlignment="1">
      <alignment horizontal="right" vertical="center"/>
    </xf>
    <xf numFmtId="0" fontId="6" fillId="23" borderId="213" xfId="0" applyFont="1" applyFill="1" applyBorder="1" applyAlignment="1" applyProtection="1">
      <alignment horizontal="right" vertical="center"/>
      <protection locked="0"/>
    </xf>
    <xf numFmtId="0" fontId="6" fillId="23" borderId="208" xfId="0" applyFont="1" applyFill="1" applyBorder="1" applyAlignment="1" applyProtection="1">
      <alignment horizontal="right" vertical="center"/>
      <protection locked="0"/>
    </xf>
    <xf numFmtId="0" fontId="6" fillId="23" borderId="189" xfId="0" applyFont="1" applyFill="1" applyBorder="1" applyAlignment="1" applyProtection="1">
      <alignment horizontal="right" vertical="center"/>
      <protection locked="0"/>
    </xf>
    <xf numFmtId="1" fontId="6" fillId="28" borderId="147" xfId="0" applyNumberFormat="1" applyFont="1" applyFill="1" applyBorder="1"/>
    <xf numFmtId="1" fontId="6" fillId="0" borderId="205" xfId="124" applyNumberFormat="1" applyFont="1" applyBorder="1" applyAlignment="1">
      <alignment horizontal="center" vertical="center" wrapText="1"/>
    </xf>
    <xf numFmtId="1" fontId="6" fillId="0" borderId="189" xfId="124" applyNumberFormat="1" applyFont="1" applyBorder="1" applyAlignment="1">
      <alignment horizontal="center" vertical="center" wrapText="1"/>
    </xf>
    <xf numFmtId="1" fontId="6" fillId="0" borderId="213" xfId="124" applyNumberFormat="1" applyFont="1" applyBorder="1" applyAlignment="1">
      <alignment horizontal="center" vertical="center" wrapText="1"/>
    </xf>
    <xf numFmtId="1" fontId="6" fillId="15" borderId="213" xfId="124" applyNumberFormat="1" applyFont="1" applyFill="1" applyBorder="1" applyAlignment="1" applyProtection="1">
      <alignment horizontal="right"/>
      <protection locked="0"/>
    </xf>
    <xf numFmtId="1" fontId="6" fillId="15" borderId="205" xfId="124" applyNumberFormat="1" applyFont="1" applyFill="1" applyBorder="1" applyAlignment="1" applyProtection="1">
      <alignment horizontal="right"/>
      <protection locked="0"/>
    </xf>
    <xf numFmtId="1" fontId="6" fillId="15" borderId="204" xfId="124" applyNumberFormat="1" applyFont="1" applyFill="1" applyBorder="1" applyAlignment="1" applyProtection="1">
      <alignment horizontal="right"/>
      <protection locked="0"/>
    </xf>
    <xf numFmtId="1" fontId="6" fillId="0" borderId="205" xfId="124" applyNumberFormat="1" applyFont="1" applyBorder="1" applyAlignment="1">
      <alignment horizontal="center"/>
    </xf>
    <xf numFmtId="1" fontId="6" fillId="0" borderId="147" xfId="124" applyNumberFormat="1" applyFont="1" applyBorder="1" applyAlignment="1">
      <alignment horizontal="right"/>
    </xf>
    <xf numFmtId="1" fontId="6" fillId="0" borderId="213" xfId="124" applyNumberFormat="1" applyFont="1" applyBorder="1" applyAlignment="1">
      <alignment horizontal="right"/>
    </xf>
    <xf numFmtId="1" fontId="6" fillId="0" borderId="204" xfId="124" applyNumberFormat="1" applyFont="1" applyBorder="1" applyAlignment="1">
      <alignment horizontal="right"/>
    </xf>
    <xf numFmtId="1" fontId="6" fillId="0" borderId="205" xfId="124" applyNumberFormat="1" applyFont="1" applyBorder="1" applyAlignment="1">
      <alignment horizontal="right"/>
    </xf>
    <xf numFmtId="1" fontId="6" fillId="0" borderId="199" xfId="124" applyNumberFormat="1" applyFont="1" applyBorder="1" applyAlignment="1">
      <alignment horizontal="right"/>
    </xf>
    <xf numFmtId="1" fontId="6" fillId="0" borderId="205" xfId="124" applyNumberFormat="1" applyFont="1" applyBorder="1"/>
    <xf numFmtId="1" fontId="6" fillId="22" borderId="213" xfId="124" applyNumberFormat="1" applyFont="1" applyFill="1" applyBorder="1" applyAlignment="1">
      <alignment horizontal="right"/>
    </xf>
    <xf numFmtId="1" fontId="6" fillId="22" borderId="189" xfId="124" applyNumberFormat="1" applyFont="1" applyFill="1" applyBorder="1" applyAlignment="1">
      <alignment horizontal="right"/>
    </xf>
    <xf numFmtId="1" fontId="6" fillId="22" borderId="204" xfId="124" applyNumberFormat="1" applyFont="1" applyFill="1" applyBorder="1" applyAlignment="1">
      <alignment horizontal="right"/>
    </xf>
    <xf numFmtId="1" fontId="6" fillId="22" borderId="199" xfId="124" applyNumberFormat="1" applyFont="1" applyFill="1" applyBorder="1" applyAlignment="1">
      <alignment horizontal="right"/>
    </xf>
    <xf numFmtId="1" fontId="6" fillId="22" borderId="205" xfId="124" applyNumberFormat="1" applyFont="1" applyFill="1" applyBorder="1" applyAlignment="1">
      <alignment horizontal="right"/>
    </xf>
    <xf numFmtId="1" fontId="6" fillId="15" borderId="189" xfId="124" applyNumberFormat="1" applyFont="1" applyFill="1" applyBorder="1" applyAlignment="1" applyProtection="1">
      <alignment horizontal="right"/>
      <protection locked="0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47" xfId="124" applyNumberFormat="1" applyFont="1" applyBorder="1" applyAlignment="1">
      <alignment horizontal="right" wrapText="1"/>
    </xf>
    <xf numFmtId="1" fontId="6" fillId="0" borderId="205" xfId="124" applyNumberFormat="1" applyFont="1" applyBorder="1" applyAlignment="1">
      <alignment wrapText="1"/>
    </xf>
    <xf numFmtId="1" fontId="6" fillId="0" borderId="205" xfId="124" applyNumberFormat="1" applyFont="1" applyBorder="1" applyAlignment="1">
      <alignment horizontal="right" wrapText="1"/>
    </xf>
    <xf numFmtId="1" fontId="6" fillId="0" borderId="213" xfId="124" applyNumberFormat="1" applyFont="1" applyBorder="1" applyAlignment="1">
      <alignment horizontal="right" wrapText="1"/>
    </xf>
    <xf numFmtId="1" fontId="6" fillId="0" borderId="189" xfId="124" applyNumberFormat="1" applyFont="1" applyBorder="1" applyAlignment="1">
      <alignment horizontal="right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204" xfId="124" applyNumberFormat="1" applyFont="1" applyBorder="1" applyAlignment="1">
      <alignment horizontal="center" vertical="center" wrapText="1"/>
    </xf>
    <xf numFmtId="1" fontId="6" fillId="0" borderId="189" xfId="124" applyNumberFormat="1" applyFont="1" applyBorder="1" applyAlignment="1">
      <alignment horizontal="right" wrapText="1"/>
    </xf>
    <xf numFmtId="1" fontId="6" fillId="0" borderId="147" xfId="124" applyNumberFormat="1" applyFont="1" applyBorder="1" applyAlignment="1">
      <alignment horizontal="center"/>
    </xf>
    <xf numFmtId="1" fontId="6" fillId="0" borderId="147" xfId="124" applyNumberFormat="1" applyFont="1" applyBorder="1"/>
    <xf numFmtId="1" fontId="6" fillId="22" borderId="205" xfId="124" applyNumberFormat="1" applyFont="1" applyFill="1" applyBorder="1" applyAlignment="1">
      <alignment horizont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147" xfId="124" applyNumberFormat="1" applyFont="1" applyBorder="1" applyAlignment="1">
      <alignment horizontal="center" vertical="center"/>
    </xf>
    <xf numFmtId="1" fontId="6" fillId="0" borderId="208" xfId="124" applyNumberFormat="1" applyFont="1" applyBorder="1" applyAlignment="1">
      <alignment horizontal="right"/>
    </xf>
    <xf numFmtId="1" fontId="10" fillId="0" borderId="195" xfId="124" quotePrefix="1" applyNumberFormat="1" applyFont="1" applyBorder="1"/>
    <xf numFmtId="1" fontId="6" fillId="22" borderId="147" xfId="124" applyNumberFormat="1" applyFont="1" applyFill="1" applyBorder="1" applyAlignment="1">
      <alignment horizontal="right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147" xfId="124" applyNumberFormat="1" applyFont="1" applyBorder="1" applyAlignment="1">
      <alignment horizontal="center" vertical="center" wrapText="1"/>
    </xf>
    <xf numFmtId="1" fontId="6" fillId="0" borderId="147" xfId="0" applyNumberFormat="1" applyFont="1" applyBorder="1"/>
    <xf numFmtId="1" fontId="6" fillId="0" borderId="204" xfId="0" applyNumberFormat="1" applyFont="1" applyBorder="1"/>
    <xf numFmtId="1" fontId="6" fillId="0" borderId="147" xfId="126" applyNumberFormat="1" applyFont="1" applyBorder="1" applyAlignment="1" applyProtection="1">
      <alignment horizontal="center" vertical="center" wrapText="1"/>
      <protection hidden="1"/>
    </xf>
    <xf numFmtId="1" fontId="6" fillId="0" borderId="207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206" xfId="0" applyNumberFormat="1" applyFont="1" applyBorder="1" applyAlignment="1">
      <alignment horizontal="center" vertical="center"/>
    </xf>
    <xf numFmtId="1" fontId="6" fillId="0" borderId="147" xfId="124" applyNumberFormat="1" applyFont="1" applyBorder="1" applyAlignment="1">
      <alignment horizontal="left"/>
    </xf>
    <xf numFmtId="1" fontId="6" fillId="23" borderId="213" xfId="124" applyNumberFormat="1" applyFont="1" applyFill="1" applyBorder="1" applyAlignment="1" applyProtection="1">
      <alignment horizontal="right"/>
      <protection locked="0"/>
    </xf>
    <xf numFmtId="1" fontId="6" fillId="23" borderId="189" xfId="124" applyNumberFormat="1" applyFont="1" applyFill="1" applyBorder="1" applyAlignment="1" applyProtection="1">
      <alignment horizontal="right"/>
      <protection locked="0"/>
    </xf>
    <xf numFmtId="1" fontId="6" fillId="23" borderId="199" xfId="124" applyNumberFormat="1" applyFont="1" applyFill="1" applyBorder="1" applyAlignment="1" applyProtection="1">
      <alignment horizontal="right"/>
      <protection locked="0"/>
    </xf>
    <xf numFmtId="1" fontId="6" fillId="0" borderId="196" xfId="124" applyNumberFormat="1" applyFont="1" applyBorder="1" applyAlignment="1">
      <alignment horizontal="center"/>
    </xf>
    <xf numFmtId="1" fontId="6" fillId="0" borderId="206" xfId="124" applyNumberFormat="1" applyFont="1" applyBorder="1" applyAlignment="1">
      <alignment horizontal="right"/>
    </xf>
    <xf numFmtId="1" fontId="6" fillId="0" borderId="207" xfId="124" applyNumberFormat="1" applyFont="1" applyBorder="1" applyAlignment="1">
      <alignment horizontal="right"/>
    </xf>
    <xf numFmtId="1" fontId="6" fillId="0" borderId="195" xfId="124" applyNumberFormat="1" applyFont="1" applyBorder="1" applyAlignment="1">
      <alignment horizontal="right"/>
    </xf>
    <xf numFmtId="1" fontId="6" fillId="0" borderId="211" xfId="124" applyNumberFormat="1" applyFont="1" applyBorder="1" applyAlignment="1">
      <alignment horizontal="right"/>
    </xf>
    <xf numFmtId="1" fontId="6" fillId="0" borderId="198" xfId="124" applyNumberFormat="1" applyFont="1" applyBorder="1" applyAlignment="1">
      <alignment horizontal="right"/>
    </xf>
    <xf numFmtId="1" fontId="6" fillId="21" borderId="147" xfId="0" applyNumberFormat="1" applyFont="1" applyFill="1" applyBorder="1"/>
    <xf numFmtId="1" fontId="6" fillId="0" borderId="207" xfId="125" applyNumberFormat="1" applyFont="1" applyBorder="1" applyAlignment="1">
      <alignment horizontal="center" vertical="center"/>
    </xf>
    <xf numFmtId="1" fontId="6" fillId="0" borderId="202" xfId="125" applyNumberFormat="1" applyFont="1" applyBorder="1" applyAlignment="1">
      <alignment horizontal="center" vertical="center"/>
    </xf>
    <xf numFmtId="1" fontId="6" fillId="0" borderId="206" xfId="125" applyNumberFormat="1" applyFont="1" applyBorder="1" applyAlignment="1">
      <alignment horizontal="center" vertical="center"/>
    </xf>
    <xf numFmtId="1" fontId="6" fillId="0" borderId="206" xfId="125" applyNumberFormat="1" applyFont="1" applyBorder="1" applyAlignment="1" applyProtection="1">
      <alignment horizontal="center" vertical="center"/>
      <protection hidden="1"/>
    </xf>
    <xf numFmtId="1" fontId="6" fillId="0" borderId="202" xfId="125" applyNumberFormat="1" applyFont="1" applyBorder="1" applyAlignment="1" applyProtection="1">
      <alignment horizontal="center" vertical="center"/>
      <protection hidden="1"/>
    </xf>
    <xf numFmtId="1" fontId="6" fillId="0" borderId="213" xfId="0" applyNumberFormat="1" applyFont="1" applyBorder="1" applyAlignment="1">
      <alignment horizontal="center" vertical="center"/>
    </xf>
    <xf numFmtId="1" fontId="6" fillId="0" borderId="213" xfId="108" applyNumberFormat="1" applyFont="1" applyBorder="1" applyAlignment="1">
      <alignment horizontal="center" vertical="center" wrapText="1"/>
    </xf>
    <xf numFmtId="1" fontId="6" fillId="0" borderId="204" xfId="108" applyNumberFormat="1" applyFont="1" applyBorder="1" applyAlignment="1">
      <alignment horizontal="center" vertical="center" wrapText="1"/>
    </xf>
    <xf numFmtId="1" fontId="6" fillId="0" borderId="205" xfId="126" applyNumberFormat="1" applyFont="1" applyBorder="1" applyProtection="1">
      <protection hidden="1"/>
    </xf>
    <xf numFmtId="1" fontId="6" fillId="22" borderId="147" xfId="171" applyNumberFormat="1" applyFont="1" applyFill="1" applyBorder="1" applyAlignment="1" applyProtection="1">
      <alignment horizontal="right"/>
    </xf>
    <xf numFmtId="1" fontId="6" fillId="15" borderId="213" xfId="171" applyNumberFormat="1" applyFont="1" applyFill="1" applyBorder="1" applyAlignment="1">
      <alignment horizontal="right"/>
      <protection locked="0"/>
    </xf>
    <xf numFmtId="1" fontId="6" fillId="15" borderId="204" xfId="171" applyNumberFormat="1" applyFont="1" applyFill="1" applyBorder="1" applyAlignment="1">
      <alignment horizontal="right"/>
      <protection locked="0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213" xfId="125" applyNumberFormat="1" applyFont="1" applyBorder="1" applyAlignment="1">
      <alignment horizontal="center" vertical="center"/>
    </xf>
    <xf numFmtId="1" fontId="6" fillId="0" borderId="213" xfId="125" applyNumberFormat="1" applyFont="1" applyBorder="1" applyAlignment="1" applyProtection="1">
      <alignment horizontal="center" vertical="center"/>
      <protection hidden="1"/>
    </xf>
    <xf numFmtId="1" fontId="6" fillId="0" borderId="147" xfId="0" applyNumberFormat="1" applyFont="1" applyBorder="1" applyAlignment="1">
      <alignment horizontal="center" vertical="center"/>
    </xf>
    <xf numFmtId="1" fontId="6" fillId="17" borderId="147" xfId="0" applyNumberFormat="1" applyFont="1" applyFill="1" applyBorder="1" applyAlignment="1">
      <alignment horizontal="center" vertical="center"/>
    </xf>
    <xf numFmtId="1" fontId="6" fillId="17" borderId="204" xfId="0" applyNumberFormat="1" applyFont="1" applyFill="1" applyBorder="1" applyAlignment="1">
      <alignment horizontal="center" vertical="center"/>
    </xf>
    <xf numFmtId="1" fontId="6" fillId="0" borderId="208" xfId="0" applyNumberFormat="1" applyFont="1" applyBorder="1" applyAlignment="1">
      <alignment horizontal="center" vertical="center"/>
    </xf>
    <xf numFmtId="1" fontId="6" fillId="25" borderId="147" xfId="0" applyNumberFormat="1" applyFont="1" applyFill="1" applyBorder="1"/>
    <xf numFmtId="1" fontId="6" fillId="0" borderId="204" xfId="125" applyNumberFormat="1" applyFont="1" applyBorder="1" applyAlignment="1" applyProtection="1">
      <alignment horizontal="center" vertical="center"/>
      <protection hidden="1"/>
    </xf>
    <xf numFmtId="1" fontId="6" fillId="0" borderId="189" xfId="125" applyNumberFormat="1" applyFont="1" applyBorder="1" applyAlignment="1" applyProtection="1">
      <alignment horizontal="center" vertical="center"/>
      <protection hidden="1"/>
    </xf>
    <xf numFmtId="1" fontId="6" fillId="0" borderId="147" xfId="125" applyNumberFormat="1" applyFont="1" applyBorder="1" applyAlignment="1">
      <alignment horizontal="right"/>
    </xf>
    <xf numFmtId="1" fontId="6" fillId="0" borderId="204" xfId="125" applyNumberFormat="1" applyFont="1" applyBorder="1" applyAlignment="1">
      <alignment horizontal="right"/>
    </xf>
    <xf numFmtId="1" fontId="6" fillId="0" borderId="189" xfId="125" applyNumberFormat="1" applyFont="1" applyBorder="1" applyAlignment="1">
      <alignment horizontal="right"/>
    </xf>
    <xf numFmtId="1" fontId="6" fillId="0" borderId="213" xfId="125" applyNumberFormat="1" applyFont="1" applyBorder="1" applyAlignment="1">
      <alignment horizontal="right"/>
    </xf>
    <xf numFmtId="1" fontId="6" fillId="0" borderId="199" xfId="125" applyNumberFormat="1" applyFont="1" applyBorder="1" applyAlignment="1">
      <alignment horizontal="right"/>
    </xf>
    <xf numFmtId="1" fontId="6" fillId="0" borderId="199" xfId="125" applyNumberFormat="1" applyFont="1" applyBorder="1" applyAlignment="1" applyProtection="1">
      <alignment horizontal="center" vertical="center"/>
      <protection hidden="1"/>
    </xf>
    <xf numFmtId="1" fontId="6" fillId="22" borderId="147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205" xfId="125" applyNumberFormat="1" applyFont="1" applyBorder="1" applyAlignment="1" applyProtection="1">
      <alignment vertical="center"/>
      <protection hidden="1"/>
    </xf>
    <xf numFmtId="1" fontId="10" fillId="0" borderId="195" xfId="125" applyNumberFormat="1" applyFont="1" applyBorder="1" applyAlignment="1" applyProtection="1">
      <alignment vertical="center"/>
      <protection hidden="1"/>
    </xf>
    <xf numFmtId="1" fontId="6" fillId="0" borderId="189" xfId="126" applyNumberFormat="1" applyFont="1" applyBorder="1" applyAlignment="1" applyProtection="1">
      <alignment horizontal="center" vertical="center" wrapText="1"/>
      <protection hidden="1"/>
    </xf>
    <xf numFmtId="1" fontId="6" fillId="0" borderId="147" xfId="125" applyNumberFormat="1" applyFont="1" applyBorder="1" applyAlignment="1" applyProtection="1">
      <alignment horizontal="center" vertical="center" wrapText="1"/>
      <protection hidden="1"/>
    </xf>
    <xf numFmtId="1" fontId="6" fillId="0" borderId="147" xfId="125" applyNumberFormat="1" applyFont="1" applyBorder="1" applyAlignment="1" applyProtection="1">
      <alignment horizontal="center" vertical="center"/>
      <protection hidden="1"/>
    </xf>
    <xf numFmtId="1" fontId="6" fillId="0" borderId="204" xfId="126" applyNumberFormat="1" applyFont="1" applyBorder="1" applyAlignment="1" applyProtection="1">
      <alignment horizontal="center" vertical="center" wrapText="1"/>
      <protection hidden="1"/>
    </xf>
    <xf numFmtId="1" fontId="6" fillId="0" borderId="147" xfId="126" applyNumberFormat="1" applyFont="1" applyBorder="1" applyAlignment="1">
      <alignment horizontal="right"/>
    </xf>
    <xf numFmtId="1" fontId="6" fillId="0" borderId="204" xfId="126" applyNumberFormat="1" applyFont="1" applyBorder="1" applyAlignment="1">
      <alignment horizontal="right"/>
    </xf>
    <xf numFmtId="1" fontId="6" fillId="0" borderId="213" xfId="126" applyNumberFormat="1" applyFont="1" applyBorder="1" applyAlignment="1">
      <alignment horizontal="right"/>
    </xf>
    <xf numFmtId="1" fontId="6" fillId="0" borderId="189" xfId="126" applyNumberFormat="1" applyFont="1" applyBorder="1" applyAlignment="1">
      <alignment horizontal="right"/>
    </xf>
    <xf numFmtId="1" fontId="6" fillId="0" borderId="213" xfId="14" applyNumberFormat="1" applyFont="1" applyFill="1" applyBorder="1" applyAlignment="1" applyProtection="1">
      <alignment horizontal="right"/>
    </xf>
    <xf numFmtId="1" fontId="6" fillId="0" borderId="189" xfId="14" applyNumberFormat="1" applyFont="1" applyFill="1" applyBorder="1" applyAlignment="1" applyProtection="1">
      <alignment horizontal="right"/>
    </xf>
    <xf numFmtId="1" fontId="6" fillId="0" borderId="204" xfId="14" applyNumberFormat="1" applyFont="1" applyFill="1" applyBorder="1" applyAlignment="1" applyProtection="1">
      <alignment horizontal="right"/>
    </xf>
    <xf numFmtId="1" fontId="4" fillId="0" borderId="199" xfId="126" applyNumberFormat="1" applyFont="1" applyBorder="1" applyProtection="1">
      <protection hidden="1"/>
    </xf>
    <xf numFmtId="1" fontId="35" fillId="0" borderId="199" xfId="14" applyNumberFormat="1" applyFont="1" applyFill="1" applyBorder="1" applyProtection="1"/>
    <xf numFmtId="1" fontId="35" fillId="0" borderId="199" xfId="0" applyNumberFormat="1" applyFont="1" applyBorder="1" applyProtection="1">
      <protection hidden="1"/>
    </xf>
    <xf numFmtId="1" fontId="35" fillId="0" borderId="199" xfId="0" applyNumberFormat="1" applyFont="1" applyBorder="1"/>
    <xf numFmtId="1" fontId="6" fillId="0" borderId="204" xfId="126" applyNumberFormat="1" applyFont="1" applyBorder="1" applyAlignment="1" applyProtection="1">
      <alignment horizontal="center" vertical="center"/>
      <protection hidden="1"/>
    </xf>
    <xf numFmtId="1" fontId="6" fillId="0" borderId="213" xfId="126" applyNumberFormat="1" applyFont="1" applyBorder="1" applyAlignment="1" applyProtection="1">
      <alignment horizontal="center" vertical="center" wrapText="1"/>
      <protection hidden="1"/>
    </xf>
    <xf numFmtId="1" fontId="6" fillId="0" borderId="189" xfId="126" applyNumberFormat="1" applyFont="1" applyBorder="1" applyAlignment="1" applyProtection="1">
      <alignment horizontal="center" vertical="center"/>
      <protection hidden="1"/>
    </xf>
    <xf numFmtId="1" fontId="6" fillId="15" borderId="213" xfId="14" applyNumberFormat="1" applyFont="1" applyFill="1" applyBorder="1" applyAlignment="1">
      <alignment horizontal="right"/>
      <protection locked="0"/>
    </xf>
    <xf numFmtId="1" fontId="6" fillId="15" borderId="204" xfId="14" applyNumberFormat="1" applyFont="1" applyFill="1" applyBorder="1" applyAlignment="1">
      <alignment horizontal="right"/>
      <protection locked="0"/>
    </xf>
    <xf numFmtId="1" fontId="6" fillId="0" borderId="196" xfId="126" applyNumberFormat="1" applyFont="1" applyBorder="1" applyAlignment="1">
      <alignment horizontal="right"/>
    </xf>
    <xf numFmtId="1" fontId="6" fillId="0" borderId="207" xfId="15" applyNumberFormat="1" applyFont="1" applyFill="1" applyBorder="1" applyAlignment="1" applyProtection="1">
      <alignment horizontal="right"/>
    </xf>
    <xf numFmtId="1" fontId="6" fillId="0" borderId="202" xfId="15" applyNumberFormat="1" applyFont="1" applyFill="1" applyBorder="1" applyAlignment="1" applyProtection="1">
      <alignment horizontal="right"/>
    </xf>
    <xf numFmtId="1" fontId="6" fillId="23" borderId="213" xfId="125" applyNumberFormat="1" applyFont="1" applyFill="1" applyBorder="1" applyAlignment="1" applyProtection="1">
      <alignment horizontal="right"/>
      <protection locked="0"/>
    </xf>
    <xf numFmtId="1" fontId="6" fillId="23" borderId="204" xfId="125" applyNumberFormat="1" applyFont="1" applyFill="1" applyBorder="1" applyAlignment="1" applyProtection="1">
      <alignment horizontal="right"/>
      <protection locked="0"/>
    </xf>
    <xf numFmtId="1" fontId="6" fillId="23" borderId="147" xfId="125" applyNumberFormat="1" applyFont="1" applyFill="1" applyBorder="1" applyAlignment="1" applyProtection="1">
      <alignment horizontal="right"/>
      <protection locked="0"/>
    </xf>
    <xf numFmtId="1" fontId="6" fillId="23" borderId="189" xfId="125" applyNumberFormat="1" applyFont="1" applyFill="1" applyBorder="1" applyAlignment="1" applyProtection="1">
      <alignment horizontal="right"/>
      <protection locked="0"/>
    </xf>
    <xf numFmtId="1" fontId="6" fillId="33" borderId="147" xfId="125" applyNumberFormat="1" applyFont="1" applyFill="1" applyBorder="1" applyAlignment="1">
      <alignment horizontal="right"/>
    </xf>
    <xf numFmtId="1" fontId="6" fillId="33" borderId="199" xfId="125" applyNumberFormat="1" applyFont="1" applyFill="1" applyBorder="1" applyAlignment="1">
      <alignment horizontal="right"/>
    </xf>
    <xf numFmtId="1" fontId="6" fillId="33" borderId="189" xfId="125" applyNumberFormat="1" applyFont="1" applyFill="1" applyBorder="1" applyAlignment="1">
      <alignment horizontal="right"/>
    </xf>
    <xf numFmtId="1" fontId="6" fillId="22" borderId="198" xfId="0" applyNumberFormat="1" applyFont="1" applyFill="1" applyBorder="1" applyAlignment="1">
      <alignment horizontal="center" vertical="center"/>
    </xf>
    <xf numFmtId="1" fontId="6" fillId="22" borderId="204" xfId="0" applyNumberFormat="1" applyFont="1" applyFill="1" applyBorder="1" applyAlignment="1">
      <alignment horizontal="center" vertical="center"/>
    </xf>
    <xf numFmtId="1" fontId="6" fillId="0" borderId="204" xfId="0" applyNumberFormat="1" applyFont="1" applyBorder="1" applyAlignment="1">
      <alignment horizontal="right"/>
    </xf>
    <xf numFmtId="1" fontId="6" fillId="23" borderId="213" xfId="45" applyNumberFormat="1" applyFont="1" applyFill="1" applyBorder="1" applyAlignment="1" applyProtection="1">
      <alignment horizontal="right"/>
      <protection locked="0"/>
    </xf>
    <xf numFmtId="1" fontId="6" fillId="23" borderId="204" xfId="45" applyNumberFormat="1" applyFont="1" applyFill="1" applyBorder="1" applyAlignment="1" applyProtection="1">
      <alignment horizontal="right"/>
      <protection locked="0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202" xfId="0" applyNumberFormat="1" applyFont="1" applyBorder="1" applyAlignment="1">
      <alignment horizontal="center" vertical="center"/>
    </xf>
    <xf numFmtId="1" fontId="6" fillId="0" borderId="206" xfId="108" applyNumberFormat="1" applyFont="1" applyBorder="1" applyAlignment="1">
      <alignment horizontal="center" vertical="center" wrapText="1"/>
    </xf>
    <xf numFmtId="1" fontId="6" fillId="0" borderId="202" xfId="108" applyNumberFormat="1" applyFont="1" applyBorder="1" applyAlignment="1">
      <alignment horizontal="center" vertical="center" wrapText="1"/>
    </xf>
    <xf numFmtId="1" fontId="6" fillId="0" borderId="206" xfId="126" applyNumberFormat="1" applyFont="1" applyBorder="1" applyAlignment="1" applyProtection="1">
      <alignment horizontal="center" vertical="center" wrapText="1"/>
      <protection hidden="1"/>
    </xf>
    <xf numFmtId="1" fontId="6" fillId="0" borderId="219" xfId="126" applyNumberFormat="1" applyFont="1" applyBorder="1" applyAlignment="1" applyProtection="1">
      <alignment horizontal="center" vertical="center" wrapText="1"/>
      <protection hidden="1"/>
    </xf>
    <xf numFmtId="1" fontId="6" fillId="22" borderId="213" xfId="0" applyNumberFormat="1" applyFont="1" applyFill="1" applyBorder="1" applyAlignment="1">
      <alignment horizontal="center" vertical="center"/>
    </xf>
    <xf numFmtId="1" fontId="6" fillId="23" borderId="205" xfId="125" applyNumberFormat="1" applyFont="1" applyFill="1" applyBorder="1" applyAlignment="1" applyProtection="1">
      <alignment horizontal="right"/>
      <protection locked="0"/>
    </xf>
    <xf numFmtId="1" fontId="6" fillId="0" borderId="205" xfId="128" applyNumberFormat="1" applyFont="1" applyBorder="1" applyAlignment="1" applyProtection="1">
      <alignment vertical="center" wrapText="1"/>
      <protection hidden="1"/>
    </xf>
    <xf numFmtId="1" fontId="6" fillId="0" borderId="189" xfId="128" applyNumberFormat="1" applyFont="1" applyBorder="1" applyAlignment="1" applyProtection="1">
      <alignment vertical="center" wrapText="1"/>
      <protection hidden="1"/>
    </xf>
    <xf numFmtId="1" fontId="10" fillId="0" borderId="147" xfId="0" applyNumberFormat="1" applyFont="1" applyBorder="1" applyAlignment="1">
      <alignment horizontal="left" vertical="center"/>
    </xf>
    <xf numFmtId="0" fontId="29" fillId="0" borderId="147" xfId="0" applyFont="1" applyBorder="1" applyAlignment="1">
      <alignment horizontal="center" vertical="center"/>
    </xf>
    <xf numFmtId="0" fontId="29" fillId="0" borderId="213" xfId="0" applyFont="1" applyBorder="1" applyAlignment="1">
      <alignment horizontal="center" vertical="center"/>
    </xf>
    <xf numFmtId="0" fontId="29" fillId="0" borderId="204" xfId="0" applyFont="1" applyBorder="1" applyAlignment="1">
      <alignment horizontal="center" vertical="center"/>
    </xf>
    <xf numFmtId="0" fontId="29" fillId="0" borderId="189" xfId="0" applyFont="1" applyBorder="1" applyAlignment="1">
      <alignment horizontal="center" vertical="center"/>
    </xf>
    <xf numFmtId="1" fontId="6" fillId="0" borderId="189" xfId="125" applyNumberFormat="1" applyFont="1" applyBorder="1" applyAlignment="1" applyProtection="1">
      <alignment horizontal="center" vertical="center" wrapText="1"/>
      <protection hidden="1"/>
    </xf>
    <xf numFmtId="1" fontId="6" fillId="0" borderId="213" xfId="125" applyNumberFormat="1" applyFont="1" applyBorder="1" applyAlignment="1" applyProtection="1">
      <alignment horizontal="center" vertical="center" wrapText="1"/>
      <protection hidden="1"/>
    </xf>
    <xf numFmtId="1" fontId="6" fillId="0" borderId="208" xfId="125" applyNumberFormat="1" applyFont="1" applyBorder="1" applyAlignment="1" applyProtection="1">
      <alignment horizontal="center" vertical="center" wrapText="1"/>
      <protection hidden="1"/>
    </xf>
    <xf numFmtId="1" fontId="6" fillId="0" borderId="147" xfId="125" applyNumberFormat="1" applyFont="1" applyBorder="1" applyAlignment="1" applyProtection="1">
      <alignment horizontal="right" wrapText="1"/>
      <protection hidden="1"/>
    </xf>
    <xf numFmtId="1" fontId="6" fillId="0" borderId="213" xfId="125" applyNumberFormat="1" applyFont="1" applyBorder="1" applyAlignment="1" applyProtection="1">
      <alignment horizontal="right" wrapText="1"/>
      <protection hidden="1"/>
    </xf>
    <xf numFmtId="1" fontId="6" fillId="0" borderId="189" xfId="125" applyNumberFormat="1" applyFont="1" applyBorder="1" applyAlignment="1" applyProtection="1">
      <alignment horizontal="right" wrapText="1"/>
      <protection hidden="1"/>
    </xf>
    <xf numFmtId="1" fontId="6" fillId="15" borderId="213" xfId="80" applyNumberFormat="1" applyFont="1" applyFill="1" applyBorder="1" applyAlignment="1" applyProtection="1">
      <alignment horizontal="right"/>
      <protection locked="0"/>
    </xf>
    <xf numFmtId="1" fontId="6" fillId="15" borderId="189" xfId="80" applyNumberFormat="1" applyFont="1" applyFill="1" applyBorder="1" applyAlignment="1" applyProtection="1">
      <alignment horizontal="right"/>
      <protection locked="0"/>
    </xf>
    <xf numFmtId="1" fontId="6" fillId="15" borderId="208" xfId="80" applyNumberFormat="1" applyFont="1" applyFill="1" applyBorder="1" applyAlignment="1" applyProtection="1">
      <alignment horizontal="right"/>
      <protection locked="0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204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125" applyNumberFormat="1" applyFont="1" applyBorder="1" applyAlignment="1" applyProtection="1">
      <alignment horizontal="right" wrapText="1"/>
      <protection hidden="1"/>
    </xf>
    <xf numFmtId="1" fontId="6" fillId="15" borderId="213" xfId="72" applyNumberFormat="1" applyFont="1" applyFill="1" applyBorder="1" applyAlignment="1" applyProtection="1">
      <alignment horizontal="right"/>
      <protection locked="0"/>
    </xf>
    <xf numFmtId="1" fontId="6" fillId="0" borderId="196" xfId="124" quotePrefix="1" applyNumberFormat="1" applyFont="1" applyBorder="1"/>
    <xf numFmtId="1" fontId="6" fillId="0" borderId="147" xfId="124" quotePrefix="1" applyNumberFormat="1" applyFont="1" applyBorder="1" applyAlignment="1">
      <alignment horizontal="center"/>
    </xf>
    <xf numFmtId="1" fontId="6" fillId="0" borderId="147" xfId="124" quotePrefix="1" applyNumberFormat="1" applyFont="1" applyBorder="1"/>
    <xf numFmtId="1" fontId="6" fillId="0" borderId="208" xfId="125" applyNumberFormat="1" applyFont="1" applyBorder="1" applyAlignment="1" applyProtection="1">
      <alignment horizontal="right" wrapText="1"/>
      <protection hidden="1"/>
    </xf>
    <xf numFmtId="1" fontId="6" fillId="15" borderId="217" xfId="72" applyNumberFormat="1" applyFont="1" applyFill="1" applyBorder="1" applyAlignment="1" applyProtection="1">
      <alignment horizontal="right"/>
      <protection locked="0"/>
    </xf>
    <xf numFmtId="1" fontId="6" fillId="22" borderId="198" xfId="0" applyNumberFormat="1" applyFont="1" applyFill="1" applyBorder="1" applyAlignment="1">
      <alignment horizontal="right"/>
    </xf>
    <xf numFmtId="1" fontId="6" fillId="0" borderId="204" xfId="125" applyNumberFormat="1" applyFont="1" applyBorder="1" applyAlignment="1" applyProtection="1">
      <alignment horizontal="right" wrapText="1"/>
      <protection hidden="1"/>
    </xf>
    <xf numFmtId="1" fontId="6" fillId="22" borderId="189" xfId="0" applyNumberFormat="1" applyFont="1" applyFill="1" applyBorder="1" applyAlignment="1">
      <alignment horizontal="center" wrapText="1"/>
    </xf>
    <xf numFmtId="1" fontId="6" fillId="22" borderId="147" xfId="0" applyNumberFormat="1" applyFont="1" applyFill="1" applyBorder="1" applyAlignment="1">
      <alignment horizontal="center" wrapText="1"/>
    </xf>
    <xf numFmtId="1" fontId="6" fillId="17" borderId="147" xfId="108" applyNumberFormat="1" applyFont="1" applyFill="1" applyBorder="1" applyAlignment="1">
      <alignment horizontal="center" vertical="center" wrapText="1"/>
    </xf>
    <xf numFmtId="1" fontId="6" fillId="17" borderId="207" xfId="108" applyNumberFormat="1" applyFont="1" applyFill="1" applyBorder="1" applyAlignment="1">
      <alignment horizontal="center" vertical="center" wrapText="1"/>
    </xf>
    <xf numFmtId="1" fontId="6" fillId="17" borderId="202" xfId="108" applyNumberFormat="1" applyFont="1" applyFill="1" applyBorder="1" applyAlignment="1">
      <alignment horizontal="center" vertical="center"/>
    </xf>
    <xf numFmtId="1" fontId="6" fillId="17" borderId="147" xfId="108" applyNumberFormat="1" applyFont="1" applyFill="1" applyBorder="1" applyAlignment="1">
      <alignment vertical="center" wrapText="1"/>
    </xf>
    <xf numFmtId="1" fontId="6" fillId="17" borderId="147" xfId="108" applyNumberFormat="1" applyFont="1" applyFill="1" applyBorder="1" applyAlignment="1">
      <alignment horizontal="right" wrapText="1"/>
    </xf>
    <xf numFmtId="1" fontId="6" fillId="17" borderId="204" xfId="108" applyNumberFormat="1" applyFont="1" applyFill="1" applyBorder="1" applyAlignment="1">
      <alignment horizontal="right" wrapText="1"/>
    </xf>
    <xf numFmtId="1" fontId="6" fillId="15" borderId="204" xfId="72" applyNumberFormat="1" applyFont="1" applyFill="1" applyBorder="1" applyAlignment="1" applyProtection="1">
      <alignment horizontal="right"/>
      <protection locked="0"/>
    </xf>
    <xf numFmtId="1" fontId="6" fillId="15" borderId="189" xfId="72" applyNumberFormat="1" applyFont="1" applyFill="1" applyBorder="1" applyAlignment="1" applyProtection="1">
      <alignment horizontal="right"/>
      <protection locked="0"/>
    </xf>
    <xf numFmtId="1" fontId="6" fillId="0" borderId="197" xfId="129" applyNumberFormat="1" applyFont="1" applyBorder="1" applyAlignment="1" applyProtection="1">
      <alignment horizontal="center" vertical="center" wrapText="1"/>
    </xf>
    <xf numFmtId="1" fontId="6" fillId="0" borderId="189" xfId="129" applyNumberFormat="1" applyFont="1" applyBorder="1" applyAlignment="1" applyProtection="1">
      <alignment horizontal="center" vertical="center" wrapText="1"/>
    </xf>
    <xf numFmtId="1" fontId="6" fillId="0" borderId="147" xfId="129" applyNumberFormat="1" applyFont="1" applyBorder="1" applyAlignment="1" applyProtection="1">
      <alignment horizontal="center" vertical="center" wrapText="1"/>
    </xf>
    <xf numFmtId="1" fontId="6" fillId="0" borderId="205" xfId="129" applyNumberFormat="1" applyFont="1" applyBorder="1" applyAlignment="1" applyProtection="1"/>
    <xf numFmtId="1" fontId="6" fillId="0" borderId="189" xfId="129" applyNumberFormat="1" applyFont="1" applyBorder="1" applyAlignment="1" applyProtection="1">
      <alignment horizontal="right"/>
    </xf>
    <xf numFmtId="1" fontId="6" fillId="0" borderId="147" xfId="129" applyNumberFormat="1" applyFont="1" applyBorder="1" applyAlignment="1" applyProtection="1">
      <alignment horizontal="right"/>
    </xf>
    <xf numFmtId="1" fontId="32" fillId="0" borderId="189" xfId="0" applyNumberFormat="1" applyFont="1" applyBorder="1"/>
    <xf numFmtId="1" fontId="32" fillId="0" borderId="147" xfId="0" applyNumberFormat="1" applyFont="1" applyBorder="1"/>
    <xf numFmtId="1" fontId="6" fillId="0" borderId="196" xfId="129" applyNumberFormat="1" applyFont="1" applyBorder="1" applyAlignment="1" applyProtection="1">
      <alignment horizontal="center" vertical="center" wrapText="1"/>
    </xf>
    <xf numFmtId="1" fontId="6" fillId="0" borderId="205" xfId="129" applyNumberFormat="1" applyFont="1" applyBorder="1" applyAlignment="1" applyProtection="1">
      <alignment vertical="center"/>
    </xf>
    <xf numFmtId="1" fontId="6" fillId="0" borderId="189" xfId="178" applyNumberFormat="1" applyFont="1" applyFill="1" applyBorder="1" applyAlignment="1" applyProtection="1">
      <alignment horizontal="right"/>
    </xf>
    <xf numFmtId="1" fontId="6" fillId="0" borderId="147" xfId="178" applyNumberFormat="1" applyFont="1" applyFill="1" applyBorder="1" applyAlignment="1" applyProtection="1">
      <alignment horizontal="right"/>
    </xf>
    <xf numFmtId="0" fontId="6" fillId="0" borderId="208" xfId="0" applyFont="1" applyBorder="1" applyAlignment="1">
      <alignment horizontal="center" vertical="center"/>
    </xf>
    <xf numFmtId="0" fontId="6" fillId="0" borderId="204" xfId="0" applyFont="1" applyBorder="1" applyAlignment="1">
      <alignment horizontal="center" vertical="center"/>
    </xf>
    <xf numFmtId="0" fontId="6" fillId="0" borderId="213" xfId="0" applyFont="1" applyBorder="1" applyAlignment="1">
      <alignment horizontal="center" vertical="center"/>
    </xf>
    <xf numFmtId="0" fontId="14" fillId="0" borderId="147" xfId="0" applyFont="1" applyBorder="1" applyAlignment="1" applyProtection="1">
      <alignment horizontal="center" vertical="center" wrapText="1"/>
      <protection hidden="1"/>
    </xf>
    <xf numFmtId="0" fontId="20" fillId="0" borderId="147" xfId="0" applyFont="1" applyBorder="1" applyProtection="1">
      <protection hidden="1"/>
    </xf>
    <xf numFmtId="0" fontId="21" fillId="0" borderId="147" xfId="0" applyFont="1" applyBorder="1" applyAlignment="1" applyProtection="1">
      <alignment horizontal="center"/>
      <protection hidden="1"/>
    </xf>
    <xf numFmtId="1" fontId="21" fillId="0" borderId="147" xfId="0" applyNumberFormat="1" applyFont="1" applyBorder="1" applyAlignment="1" applyProtection="1">
      <alignment horizontal="center"/>
      <protection hidden="1"/>
    </xf>
    <xf numFmtId="0" fontId="22" fillId="0" borderId="147" xfId="0" applyFont="1" applyBorder="1" applyAlignment="1" applyProtection="1">
      <alignment horizontal="center"/>
      <protection hidden="1"/>
    </xf>
    <xf numFmtId="0" fontId="21" fillId="0" borderId="147" xfId="0" applyFont="1" applyBorder="1" applyProtection="1">
      <protection hidden="1"/>
    </xf>
    <xf numFmtId="0" fontId="13" fillId="14" borderId="196" xfId="123" applyFont="1" applyFill="1" applyBorder="1" applyAlignment="1" applyProtection="1">
      <alignment horizontal="center" vertical="center" wrapText="1"/>
    </xf>
    <xf numFmtId="0" fontId="8" fillId="0" borderId="177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83" xfId="0" applyFont="1" applyFill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4" fillId="19" borderId="182" xfId="123" applyFont="1" applyFill="1" applyBorder="1" applyAlignment="1" applyProtection="1">
      <alignment horizontal="center" vertical="center" wrapText="1"/>
    </xf>
    <xf numFmtId="0" fontId="11" fillId="14" borderId="193" xfId="119" applyFont="1" applyFill="1" applyBorder="1" applyAlignment="1">
      <alignment horizontal="center" vertical="center"/>
    </xf>
    <xf numFmtId="0" fontId="11" fillId="14" borderId="194" xfId="119" applyFont="1" applyFill="1" applyBorder="1" applyAlignment="1">
      <alignment horizontal="center" vertical="center"/>
    </xf>
    <xf numFmtId="0" fontId="7" fillId="19" borderId="193" xfId="123" applyFont="1" applyFill="1" applyBorder="1" applyAlignment="1" applyProtection="1">
      <alignment horizontal="center" vertical="center"/>
    </xf>
    <xf numFmtId="0" fontId="7" fillId="19" borderId="194" xfId="123" applyFont="1" applyFill="1" applyBorder="1" applyAlignment="1" applyProtection="1">
      <alignment horizontal="center" vertical="center"/>
    </xf>
    <xf numFmtId="0" fontId="4" fillId="0" borderId="170" xfId="0" applyFont="1" applyBorder="1" applyAlignment="1">
      <alignment horizontal="left" vertical="center"/>
    </xf>
    <xf numFmtId="0" fontId="4" fillId="0" borderId="199" xfId="0" applyFont="1" applyBorder="1" applyAlignment="1">
      <alignment horizontal="left" vertical="center"/>
    </xf>
    <xf numFmtId="1" fontId="4" fillId="0" borderId="178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212" xfId="0" applyNumberFormat="1" applyFont="1" applyBorder="1" applyAlignment="1" applyProtection="1">
      <alignment horizontal="left"/>
      <protection hidden="1"/>
    </xf>
    <xf numFmtId="1" fontId="4" fillId="0" borderId="195" xfId="0" applyNumberFormat="1" applyFont="1" applyBorder="1" applyAlignment="1" applyProtection="1">
      <alignment horizontal="left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4" fillId="0" borderId="181" xfId="0" applyNumberFormat="1" applyFont="1" applyBorder="1" applyAlignment="1" applyProtection="1">
      <alignment horizontal="left"/>
      <protection hidden="1"/>
    </xf>
    <xf numFmtId="1" fontId="4" fillId="0" borderId="199" xfId="0" applyNumberFormat="1" applyFont="1" applyBorder="1" applyAlignment="1" applyProtection="1">
      <alignment horizontal="left"/>
      <protection hidden="1"/>
    </xf>
    <xf numFmtId="1" fontId="6" fillId="0" borderId="51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1" fontId="6" fillId="0" borderId="46" xfId="0" applyNumberFormat="1" applyFont="1" applyBorder="1" applyAlignment="1" applyProtection="1">
      <alignment horizontal="left"/>
      <protection hidden="1"/>
    </xf>
    <xf numFmtId="1" fontId="6" fillId="0" borderId="61" xfId="0" quotePrefix="1" applyNumberFormat="1" applyFont="1" applyBorder="1" applyAlignment="1" applyProtection="1">
      <alignment horizontal="left"/>
      <protection hidden="1"/>
    </xf>
    <xf numFmtId="0" fontId="6" fillId="0" borderId="196" xfId="0" applyFont="1" applyBorder="1" applyAlignment="1">
      <alignment horizontal="center" vertical="center" wrapText="1"/>
    </xf>
    <xf numFmtId="0" fontId="6" fillId="0" borderId="177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189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quotePrefix="1" applyNumberFormat="1" applyFont="1" applyBorder="1" applyAlignment="1" applyProtection="1">
      <alignment horizontal="center" vertical="center"/>
      <protection hidden="1"/>
    </xf>
    <xf numFmtId="1" fontId="6" fillId="0" borderId="198" xfId="0" quotePrefix="1" applyNumberFormat="1" applyFont="1" applyBorder="1" applyAlignment="1" applyProtection="1">
      <alignment horizontal="center" vertical="center"/>
      <protection hidden="1"/>
    </xf>
    <xf numFmtId="1" fontId="6" fillId="0" borderId="68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68" xfId="0" applyNumberFormat="1" applyFont="1" applyBorder="1" applyAlignment="1" applyProtection="1">
      <alignment horizontal="center" vertical="center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209" xfId="0" applyFont="1" applyBorder="1" applyAlignment="1">
      <alignment horizontal="center" vertical="center" wrapText="1"/>
    </xf>
    <xf numFmtId="0" fontId="6" fillId="0" borderId="96" xfId="0" applyFont="1" applyBorder="1" applyAlignment="1">
      <alignment horizontal="center" vertical="center" wrapText="1"/>
    </xf>
    <xf numFmtId="0" fontId="6" fillId="0" borderId="210" xfId="0" applyFont="1" applyBorder="1" applyAlignment="1">
      <alignment horizontal="center" vertical="center" wrapText="1"/>
    </xf>
    <xf numFmtId="0" fontId="6" fillId="0" borderId="107" xfId="0" applyFont="1" applyBorder="1" applyAlignment="1">
      <alignment horizontal="center" vertical="center" wrapText="1"/>
    </xf>
    <xf numFmtId="0" fontId="6" fillId="0" borderId="199" xfId="0" applyFont="1" applyBorder="1" applyAlignment="1">
      <alignment horizontal="center" vertical="center"/>
    </xf>
    <xf numFmtId="0" fontId="6" fillId="0" borderId="189" xfId="0" applyFont="1" applyBorder="1" applyAlignment="1">
      <alignment horizontal="center" vertical="center"/>
    </xf>
    <xf numFmtId="0" fontId="6" fillId="0" borderId="205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6" fillId="0" borderId="211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 wrapText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202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147" xfId="0" applyNumberFormat="1" applyFont="1" applyBorder="1" applyAlignment="1" applyProtection="1">
      <alignment horizontal="center" vertical="center" wrapText="1"/>
      <protection hidden="1"/>
    </xf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1" fontId="6" fillId="0" borderId="96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125" xfId="0" quotePrefix="1" applyNumberFormat="1" applyFont="1" applyBorder="1" applyAlignment="1" applyProtection="1">
      <alignment horizontal="center" vertical="center"/>
      <protection hidden="1"/>
    </xf>
    <xf numFmtId="1" fontId="6" fillId="0" borderId="152" xfId="0" quotePrefix="1" applyNumberFormat="1" applyFont="1" applyBorder="1" applyAlignment="1" applyProtection="1">
      <alignment horizontal="center" vertical="center"/>
      <protection hidden="1"/>
    </xf>
    <xf numFmtId="1" fontId="6" fillId="0" borderId="205" xfId="0" applyNumberFormat="1" applyFont="1" applyBorder="1" applyAlignment="1">
      <alignment horizontal="left" vertical="center"/>
    </xf>
    <xf numFmtId="1" fontId="6" fillId="0" borderId="189" xfId="0" applyNumberFormat="1" applyFont="1" applyBorder="1" applyAlignment="1">
      <alignment horizontal="left" vertical="center"/>
    </xf>
    <xf numFmtId="1" fontId="6" fillId="0" borderId="126" xfId="0" applyNumberFormat="1" applyFont="1" applyBorder="1" applyAlignment="1" applyProtection="1">
      <alignment horizontal="left" vertical="center" wrapText="1"/>
      <protection hidden="1"/>
    </xf>
    <xf numFmtId="1" fontId="6" fillId="0" borderId="35" xfId="0" applyNumberFormat="1" applyFont="1" applyBorder="1" applyAlignment="1" applyProtection="1">
      <alignment horizontal="left" vertical="center" wrapText="1"/>
      <protection hidden="1"/>
    </xf>
    <xf numFmtId="1" fontId="6" fillId="0" borderId="193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68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8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5" xfId="0" applyNumberFormat="1" applyFont="1" applyBorder="1" applyAlignment="1" applyProtection="1">
      <alignment horizontal="center" vertical="center" wrapText="1"/>
      <protection hidden="1"/>
    </xf>
    <xf numFmtId="1" fontId="6" fillId="0" borderId="210" xfId="0" applyNumberFormat="1" applyFont="1" applyBorder="1" applyAlignment="1" applyProtection="1">
      <alignment horizontal="center" vertical="center" wrapText="1"/>
      <protection hidden="1"/>
    </xf>
    <xf numFmtId="1" fontId="6" fillId="0" borderId="107" xfId="0" applyNumberFormat="1" applyFont="1" applyBorder="1" applyAlignment="1" applyProtection="1">
      <alignment horizontal="center" vertical="center" wrapText="1"/>
      <protection hidden="1"/>
    </xf>
    <xf numFmtId="1" fontId="6" fillId="0" borderId="185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left" vertical="center" wrapText="1"/>
      <protection hidden="1"/>
    </xf>
    <xf numFmtId="1" fontId="6" fillId="0" borderId="189" xfId="0" applyNumberFormat="1" applyFont="1" applyBorder="1" applyAlignment="1" applyProtection="1">
      <alignment horizontal="left" vertical="center" wrapText="1"/>
      <protection hidden="1"/>
    </xf>
    <xf numFmtId="1" fontId="6" fillId="0" borderId="143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54" xfId="0" applyNumberFormat="1" applyFont="1" applyBorder="1" applyAlignment="1" applyProtection="1">
      <alignment horizontal="left" vertical="center" wrapText="1"/>
      <protection hidden="1"/>
    </xf>
    <xf numFmtId="1" fontId="6" fillId="0" borderId="93" xfId="0" applyNumberFormat="1" applyFont="1" applyBorder="1" applyAlignment="1" applyProtection="1">
      <alignment horizontal="left" vertical="center" wrapText="1"/>
      <protection hidden="1"/>
    </xf>
    <xf numFmtId="0" fontId="6" fillId="0" borderId="147" xfId="0" applyFont="1" applyBorder="1" applyAlignment="1">
      <alignment horizontal="center" wrapText="1"/>
    </xf>
    <xf numFmtId="1" fontId="6" fillId="0" borderId="195" xfId="0" applyNumberFormat="1" applyFont="1" applyBorder="1" applyAlignment="1" applyProtection="1">
      <alignment horizontal="left" vertical="center" wrapText="1"/>
      <protection hidden="1"/>
    </xf>
    <xf numFmtId="1" fontId="6" fillId="0" borderId="177" xfId="0" applyNumberFormat="1" applyFont="1" applyBorder="1" applyAlignment="1" applyProtection="1">
      <alignment horizontal="center" vertical="center" wrapText="1"/>
      <protection hidden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60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189" xfId="124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71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125" xfId="124" applyNumberFormat="1" applyFont="1" applyBorder="1" applyAlignment="1">
      <alignment horizontal="center" vertical="center" wrapText="1"/>
    </xf>
    <xf numFmtId="1" fontId="6" fillId="0" borderId="152" xfId="124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197" xfId="125" applyNumberFormat="1" applyFont="1" applyBorder="1" applyAlignment="1">
      <alignment horizontal="center" vertical="center"/>
    </xf>
    <xf numFmtId="1" fontId="6" fillId="0" borderId="195" xfId="125" applyNumberFormat="1" applyFont="1" applyBorder="1" applyAlignment="1">
      <alignment horizontal="center" vertical="center"/>
    </xf>
    <xf numFmtId="1" fontId="6" fillId="0" borderId="198" xfId="125" applyNumberFormat="1" applyFont="1" applyBorder="1" applyAlignment="1">
      <alignment horizontal="center" vertical="center"/>
    </xf>
    <xf numFmtId="1" fontId="6" fillId="0" borderId="68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0" borderId="177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 wrapText="1"/>
    </xf>
    <xf numFmtId="1" fontId="6" fillId="22" borderId="205" xfId="124" applyNumberFormat="1" applyFont="1" applyFill="1" applyBorder="1" applyAlignment="1">
      <alignment horizontal="center" vertical="center" wrapText="1"/>
    </xf>
    <xf numFmtId="1" fontId="6" fillId="22" borderId="189" xfId="124" applyNumberFormat="1" applyFont="1" applyFill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/>
    </xf>
    <xf numFmtId="1" fontId="6" fillId="0" borderId="180" xfId="124" applyNumberFormat="1" applyFont="1" applyBorder="1" applyAlignment="1">
      <alignment horizontal="center" vertical="center"/>
    </xf>
    <xf numFmtId="1" fontId="6" fillId="0" borderId="71" xfId="124" applyNumberFormat="1" applyFont="1" applyBorder="1" applyAlignment="1">
      <alignment horizontal="center" vertical="center"/>
    </xf>
    <xf numFmtId="1" fontId="6" fillId="0" borderId="68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50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52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54" xfId="124" applyNumberFormat="1" applyFont="1" applyBorder="1" applyAlignment="1">
      <alignment horizontal="left" vertical="center"/>
    </xf>
    <xf numFmtId="1" fontId="6" fillId="0" borderId="93" xfId="124" applyNumberFormat="1" applyFont="1" applyBorder="1" applyAlignment="1">
      <alignment horizontal="left" vertical="center"/>
    </xf>
    <xf numFmtId="1" fontId="6" fillId="0" borderId="205" xfId="124" quotePrefix="1" applyNumberFormat="1" applyFont="1" applyBorder="1" applyAlignment="1">
      <alignment horizontal="center" vertical="center" wrapText="1"/>
    </xf>
    <xf numFmtId="1" fontId="6" fillId="0" borderId="199" xfId="124" quotePrefix="1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left" vertical="center" wrapText="1"/>
    </xf>
    <xf numFmtId="1" fontId="6" fillId="0" borderId="93" xfId="124" applyNumberFormat="1" applyFont="1" applyBorder="1" applyAlignment="1">
      <alignment horizontal="left" vertical="center" wrapText="1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68" xfId="124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208" xfId="124" quotePrefix="1" applyNumberFormat="1" applyFont="1" applyBorder="1" applyAlignment="1">
      <alignment horizontal="center" vertical="center" wrapText="1"/>
    </xf>
    <xf numFmtId="1" fontId="6" fillId="0" borderId="213" xfId="124" applyNumberFormat="1" applyFont="1" applyBorder="1" applyAlignment="1">
      <alignment horizontal="center" vertical="center" wrapText="1"/>
    </xf>
    <xf numFmtId="1" fontId="6" fillId="0" borderId="151" xfId="124" applyNumberFormat="1" applyFont="1" applyBorder="1" applyAlignment="1">
      <alignment horizontal="center" vertical="center" wrapText="1"/>
    </xf>
    <xf numFmtId="1" fontId="6" fillId="0" borderId="51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196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22" borderId="50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51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196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197" xfId="124" applyNumberFormat="1" applyFont="1" applyFill="1" applyBorder="1" applyAlignment="1">
      <alignment horizontal="center" vertical="center" wrapText="1"/>
    </xf>
    <xf numFmtId="1" fontId="6" fillId="22" borderId="198" xfId="124" applyNumberFormat="1" applyFont="1" applyFill="1" applyBorder="1" applyAlignment="1">
      <alignment horizontal="center" vertical="center" wrapText="1"/>
    </xf>
    <xf numFmtId="1" fontId="6" fillId="22" borderId="68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4" xfId="0" applyNumberFormat="1" applyFont="1" applyBorder="1" applyAlignment="1">
      <alignment horizontal="left"/>
    </xf>
    <xf numFmtId="1" fontId="6" fillId="0" borderId="93" xfId="0" applyNumberFormat="1" applyFont="1" applyBorder="1" applyAlignment="1">
      <alignment horizontal="left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205" xfId="0" applyNumberFormat="1" applyFont="1" applyFill="1" applyBorder="1"/>
    <xf numFmtId="1" fontId="6" fillId="22" borderId="189" xfId="0" applyNumberFormat="1" applyFont="1" applyFill="1" applyBorder="1"/>
    <xf numFmtId="1" fontId="6" fillId="0" borderId="205" xfId="0" applyNumberFormat="1" applyFont="1" applyBorder="1"/>
    <xf numFmtId="1" fontId="6" fillId="0" borderId="189" xfId="0" applyNumberFormat="1" applyFont="1" applyBorder="1"/>
    <xf numFmtId="1" fontId="6" fillId="22" borderId="51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76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1" xfId="0" applyNumberFormat="1" applyFont="1" applyBorder="1" applyAlignment="1" applyProtection="1">
      <alignment horizontal="center" vertical="center" wrapText="1"/>
      <protection hidden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210" xfId="124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left" vertical="center" wrapText="1"/>
    </xf>
    <xf numFmtId="1" fontId="6" fillId="0" borderId="189" xfId="124" applyNumberFormat="1" applyFont="1" applyBorder="1" applyAlignment="1">
      <alignment horizontal="left" vertical="center" wrapText="1"/>
    </xf>
    <xf numFmtId="1" fontId="6" fillId="22" borderId="215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189" xfId="124" quotePrefix="1" applyNumberFormat="1" applyFont="1" applyBorder="1" applyAlignment="1">
      <alignment horizontal="center" vertical="center" wrapText="1"/>
    </xf>
    <xf numFmtId="1" fontId="10" fillId="0" borderId="205" xfId="124" applyNumberFormat="1" applyFont="1" applyBorder="1" applyAlignment="1">
      <alignment horizontal="center" vertical="center" wrapText="1"/>
    </xf>
    <xf numFmtId="1" fontId="10" fillId="0" borderId="18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1" xfId="125" applyNumberFormat="1" applyFont="1" applyBorder="1" applyAlignment="1">
      <alignment horizontal="center" vertical="center"/>
    </xf>
    <xf numFmtId="1" fontId="6" fillId="0" borderId="215" xfId="124" applyNumberFormat="1" applyFont="1" applyBorder="1" applyAlignment="1">
      <alignment horizontal="center" vertical="center" wrapText="1"/>
    </xf>
    <xf numFmtId="1" fontId="6" fillId="0" borderId="128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10" fillId="0" borderId="130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213" xfId="124" quotePrefix="1" applyNumberFormat="1" applyFont="1" applyBorder="1" applyAlignment="1">
      <alignment horizontal="center" vertical="center" wrapText="1"/>
    </xf>
    <xf numFmtId="1" fontId="6" fillId="0" borderId="150" xfId="124" quotePrefix="1" applyNumberFormat="1" applyFont="1" applyBorder="1" applyAlignment="1">
      <alignment horizontal="center" vertical="center" wrapText="1"/>
    </xf>
    <xf numFmtId="1" fontId="6" fillId="0" borderId="55" xfId="124" quotePrefix="1" applyNumberFormat="1" applyFont="1" applyBorder="1" applyAlignment="1">
      <alignment horizontal="center" vertical="center" wrapText="1"/>
    </xf>
    <xf numFmtId="1" fontId="6" fillId="0" borderId="7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106" xfId="0" applyNumberFormat="1" applyFont="1" applyBorder="1" applyAlignment="1">
      <alignment horizontal="center" vertical="center" wrapText="1"/>
    </xf>
    <xf numFmtId="1" fontId="6" fillId="0" borderId="100" xfId="0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/>
    </xf>
    <xf numFmtId="1" fontId="6" fillId="0" borderId="199" xfId="124" applyNumberFormat="1" applyFont="1" applyBorder="1" applyAlignment="1">
      <alignment horizontal="center" vertical="center"/>
    </xf>
    <xf numFmtId="1" fontId="6" fillId="0" borderId="189" xfId="124" applyNumberFormat="1" applyFont="1" applyBorder="1" applyAlignment="1">
      <alignment horizontal="center" vertical="center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99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99" xfId="124" quotePrefix="1" applyNumberFormat="1" applyFont="1" applyFill="1" applyBorder="1" applyAlignment="1">
      <alignment horizontal="left"/>
    </xf>
    <xf numFmtId="1" fontId="4" fillId="0" borderId="195" xfId="124" quotePrefix="1" applyNumberFormat="1" applyFont="1" applyBorder="1" applyAlignment="1">
      <alignment horizontal="left"/>
    </xf>
    <xf numFmtId="1" fontId="6" fillId="0" borderId="46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61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92" xfId="125" applyNumberFormat="1" applyFont="1" applyBorder="1" applyAlignment="1">
      <alignment horizontal="center" vertical="center"/>
    </xf>
    <xf numFmtId="1" fontId="6" fillId="0" borderId="76" xfId="125" applyNumberFormat="1" applyFont="1" applyBorder="1" applyAlignment="1">
      <alignment horizontal="center" vertical="center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87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14" xfId="108" applyNumberFormat="1" applyFont="1" applyBorder="1" applyAlignment="1">
      <alignment horizontal="center" vertical="center" wrapText="1"/>
    </xf>
    <xf numFmtId="1" fontId="6" fillId="0" borderId="210" xfId="108" applyNumberFormat="1" applyFont="1" applyBorder="1" applyAlignment="1">
      <alignment horizontal="center" vertical="center" wrapText="1"/>
    </xf>
    <xf numFmtId="1" fontId="6" fillId="0" borderId="127" xfId="108" applyNumberFormat="1" applyFont="1" applyBorder="1" applyAlignment="1">
      <alignment horizontal="center" vertical="center" wrapText="1"/>
    </xf>
    <xf numFmtId="1" fontId="6" fillId="0" borderId="107" xfId="108" applyNumberFormat="1" applyFont="1" applyBorder="1" applyAlignment="1">
      <alignment horizontal="center" vertical="center" wrapText="1"/>
    </xf>
    <xf numFmtId="1" fontId="6" fillId="0" borderId="32" xfId="125" applyNumberFormat="1" applyFont="1" applyBorder="1" applyAlignment="1">
      <alignment horizontal="center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51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51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94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51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51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198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95" xfId="108" applyNumberFormat="1" applyFont="1" applyBorder="1" applyAlignment="1">
      <alignment horizontal="center" vertical="center" wrapText="1"/>
    </xf>
    <xf numFmtId="1" fontId="6" fillId="0" borderId="216" xfId="108" applyNumberFormat="1" applyFont="1" applyBorder="1" applyAlignment="1">
      <alignment horizontal="center" vertical="center" wrapText="1"/>
    </xf>
    <xf numFmtId="1" fontId="6" fillId="0" borderId="119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/>
    </xf>
    <xf numFmtId="1" fontId="6" fillId="0" borderId="189" xfId="0" applyNumberFormat="1" applyFont="1" applyBorder="1" applyAlignment="1">
      <alignment horizontal="center" vertical="center"/>
    </xf>
    <xf numFmtId="1" fontId="6" fillId="0" borderId="147" xfId="125" quotePrefix="1" applyNumberFormat="1" applyFont="1" applyBorder="1" applyAlignment="1" applyProtection="1">
      <alignment horizontal="center" vertical="center"/>
      <protection hidden="1"/>
    </xf>
    <xf numFmtId="1" fontId="6" fillId="0" borderId="205" xfId="108" applyNumberFormat="1" applyFont="1" applyBorder="1" applyAlignment="1">
      <alignment horizontal="center" vertical="center" wrapText="1"/>
    </xf>
    <xf numFmtId="1" fontId="6" fillId="0" borderId="189" xfId="108" applyNumberFormat="1" applyFont="1" applyBorder="1" applyAlignment="1">
      <alignment horizontal="center" vertical="center" wrapText="1"/>
    </xf>
    <xf numFmtId="1" fontId="6" fillId="0" borderId="147" xfId="0" quotePrefix="1" applyNumberFormat="1" applyFont="1" applyBorder="1" applyAlignment="1">
      <alignment horizontal="center"/>
    </xf>
    <xf numFmtId="1" fontId="6" fillId="0" borderId="147" xfId="0" applyNumberFormat="1" applyFont="1" applyBorder="1" applyAlignment="1">
      <alignment horizontal="center"/>
    </xf>
    <xf numFmtId="1" fontId="6" fillId="0" borderId="205" xfId="0" applyNumberFormat="1" applyFont="1" applyBorder="1" applyAlignment="1">
      <alignment horizontal="center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99" xfId="108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/>
    </xf>
    <xf numFmtId="1" fontId="6" fillId="0" borderId="208" xfId="108" applyNumberFormat="1" applyFont="1" applyBorder="1" applyAlignment="1">
      <alignment horizontal="center" vertical="center" wrapText="1"/>
    </xf>
    <xf numFmtId="1" fontId="6" fillId="0" borderId="196" xfId="0" quotePrefix="1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147" xfId="125" applyNumberFormat="1" applyFont="1" applyBorder="1" applyAlignment="1">
      <alignment horizontal="center" vertical="center"/>
    </xf>
    <xf numFmtId="1" fontId="4" fillId="22" borderId="199" xfId="125" applyNumberFormat="1" applyFont="1" applyFill="1" applyBorder="1" applyAlignment="1">
      <alignment horizontal="left"/>
    </xf>
    <xf numFmtId="1" fontId="10" fillId="0" borderId="196" xfId="125" applyNumberFormat="1" applyFont="1" applyBorder="1" applyAlignment="1">
      <alignment horizontal="center" vertical="center" wrapText="1"/>
    </xf>
    <xf numFmtId="1" fontId="10" fillId="0" borderId="177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98" xfId="126" applyNumberFormat="1" applyFont="1" applyBorder="1" applyAlignment="1">
      <alignment horizontal="left" vertical="center" wrapText="1"/>
    </xf>
    <xf numFmtId="1" fontId="6" fillId="0" borderId="71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96" xfId="126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96" xfId="124" applyNumberFormat="1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left" vertical="center" wrapText="1"/>
    </xf>
    <xf numFmtId="1" fontId="6" fillId="0" borderId="70" xfId="125" applyNumberFormat="1" applyFont="1" applyBorder="1" applyAlignment="1">
      <alignment horizontal="center" vertical="center" wrapText="1"/>
    </xf>
    <xf numFmtId="1" fontId="6" fillId="0" borderId="81" xfId="125" applyNumberFormat="1" applyFont="1" applyBorder="1" applyAlignment="1">
      <alignment horizontal="center" vertical="center" wrapText="1"/>
    </xf>
    <xf numFmtId="1" fontId="6" fillId="0" borderId="54" xfId="125" applyNumberFormat="1" applyFont="1" applyBorder="1" applyAlignment="1">
      <alignment horizontal="left" vertical="center" wrapText="1"/>
    </xf>
    <xf numFmtId="1" fontId="6" fillId="0" borderId="93" xfId="125" applyNumberFormat="1" applyFont="1" applyBorder="1" applyAlignment="1">
      <alignment horizontal="left" vertical="center" wrapText="1"/>
    </xf>
    <xf numFmtId="1" fontId="6" fillId="0" borderId="196" xfId="125" applyNumberFormat="1" applyFont="1" applyBorder="1" applyAlignment="1">
      <alignment horizontal="center" vertical="center" wrapText="1"/>
    </xf>
    <xf numFmtId="1" fontId="6" fillId="0" borderId="177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0" fontId="6" fillId="0" borderId="17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97" xfId="125" applyNumberFormat="1" applyFont="1" applyBorder="1" applyAlignment="1">
      <alignment horizontal="center" vertical="center" wrapText="1"/>
    </xf>
    <xf numFmtId="1" fontId="6" fillId="0" borderId="198" xfId="125" applyNumberFormat="1" applyFont="1" applyBorder="1" applyAlignment="1">
      <alignment horizontal="center" vertical="center" wrapText="1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68" fontId="6" fillId="0" borderId="198" xfId="124" applyNumberFormat="1" applyFont="1" applyBorder="1" applyAlignment="1">
      <alignment horizontal="center" vertical="center"/>
    </xf>
    <xf numFmtId="168" fontId="6" fillId="0" borderId="71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205" xfId="0" quotePrefix="1" applyNumberFormat="1" applyFont="1" applyFill="1" applyBorder="1" applyAlignment="1">
      <alignment horizontal="center" vertical="center"/>
    </xf>
    <xf numFmtId="1" fontId="6" fillId="17" borderId="199" xfId="0" applyNumberFormat="1" applyFont="1" applyFill="1" applyBorder="1" applyAlignment="1">
      <alignment horizontal="center" vertical="center"/>
    </xf>
    <xf numFmtId="1" fontId="6" fillId="17" borderId="208" xfId="0" applyNumberFormat="1" applyFont="1" applyFill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10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196" xfId="126" applyNumberFormat="1" applyFont="1" applyBorder="1" applyAlignment="1">
      <alignment horizontal="center" vertical="center" wrapText="1"/>
    </xf>
    <xf numFmtId="1" fontId="6" fillId="0" borderId="177" xfId="126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47" xfId="125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/>
    </xf>
    <xf numFmtId="1" fontId="6" fillId="17" borderId="147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left"/>
    </xf>
    <xf numFmtId="1" fontId="6" fillId="0" borderId="189" xfId="0" applyNumberFormat="1" applyFont="1" applyBorder="1" applyAlignment="1">
      <alignment horizontal="left"/>
    </xf>
    <xf numFmtId="1" fontId="6" fillId="0" borderId="147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77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>
      <alignment horizontal="center"/>
    </xf>
    <xf numFmtId="1" fontId="6" fillId="22" borderId="54" xfId="125" applyNumberFormat="1" applyFont="1" applyFill="1" applyBorder="1" applyAlignment="1" applyProtection="1">
      <alignment horizontal="left" vertical="center"/>
      <protection hidden="1"/>
    </xf>
    <xf numFmtId="1" fontId="6" fillId="22" borderId="93" xfId="125" applyNumberFormat="1" applyFont="1" applyFill="1" applyBorder="1" applyAlignment="1" applyProtection="1">
      <alignment horizontal="left" vertical="center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68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0" quotePrefix="1" applyNumberFormat="1" applyFont="1" applyBorder="1" applyAlignment="1">
      <alignment horizontal="center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6" xfId="125" applyNumberFormat="1" applyFont="1" applyBorder="1" applyAlignment="1" applyProtection="1">
      <alignment horizontal="left" vertical="center" wrapText="1"/>
      <protection hidden="1"/>
    </xf>
    <xf numFmtId="1" fontId="6" fillId="0" borderId="177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1" fontId="6" fillId="0" borderId="50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0" fontId="6" fillId="22" borderId="50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0" borderId="51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50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05" xfId="125" quotePrefix="1" applyNumberFormat="1" applyFont="1" applyBorder="1" applyAlignment="1" applyProtection="1">
      <alignment horizontal="center" vertical="center"/>
      <protection hidden="1"/>
    </xf>
    <xf numFmtId="1" fontId="6" fillId="0" borderId="189" xfId="125" quotePrefix="1" applyNumberFormat="1" applyFont="1" applyBorder="1" applyAlignment="1" applyProtection="1">
      <alignment horizontal="center" vertical="center"/>
      <protection hidden="1"/>
    </xf>
    <xf numFmtId="1" fontId="6" fillId="17" borderId="196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97" xfId="125" applyNumberFormat="1" applyFont="1" applyBorder="1" applyAlignment="1" applyProtection="1">
      <alignment horizontal="center" vertical="center"/>
      <protection hidden="1"/>
    </xf>
    <xf numFmtId="1" fontId="10" fillId="0" borderId="198" xfId="125" applyNumberFormat="1" applyFont="1" applyBorder="1" applyAlignment="1" applyProtection="1">
      <alignment horizontal="center" vertical="center"/>
      <protection hidden="1"/>
    </xf>
    <xf numFmtId="1" fontId="10" fillId="0" borderId="180" xfId="125" applyNumberFormat="1" applyFont="1" applyBorder="1" applyAlignment="1" applyProtection="1">
      <alignment horizontal="center" vertical="center"/>
      <protection hidden="1"/>
    </xf>
    <xf numFmtId="1" fontId="10" fillId="0" borderId="71" xfId="125" applyNumberFormat="1" applyFont="1" applyBorder="1" applyAlignment="1" applyProtection="1">
      <alignment horizontal="center" vertical="center"/>
      <protection hidden="1"/>
    </xf>
    <xf numFmtId="1" fontId="10" fillId="0" borderId="68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71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213" xfId="125" applyNumberFormat="1" applyFont="1" applyBorder="1" applyAlignment="1" applyProtection="1">
      <alignment horizontal="left" vertical="center" wrapText="1"/>
      <protection hidden="1"/>
    </xf>
    <xf numFmtId="1" fontId="6" fillId="0" borderId="151" xfId="125" applyNumberFormat="1" applyFont="1" applyBorder="1" applyAlignment="1" applyProtection="1">
      <alignment horizontal="left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208" xfId="0" applyNumberFormat="1" applyFont="1" applyBorder="1" applyAlignment="1">
      <alignment horizontal="center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93" xfId="125" applyNumberFormat="1" applyFont="1" applyBorder="1" applyAlignment="1" applyProtection="1">
      <alignment horizontal="left" vertical="center" wrapText="1"/>
      <protection hidden="1"/>
    </xf>
    <xf numFmtId="1" fontId="6" fillId="0" borderId="199" xfId="0" applyNumberFormat="1" applyFont="1" applyBorder="1" applyAlignment="1" applyProtection="1">
      <alignment horizontal="center"/>
      <protection hidden="1"/>
    </xf>
    <xf numFmtId="1" fontId="6" fillId="0" borderId="189" xfId="0" applyNumberFormat="1" applyFont="1" applyBorder="1" applyAlignment="1" applyProtection="1">
      <alignment horizontal="center"/>
      <protection hidden="1"/>
    </xf>
    <xf numFmtId="1" fontId="6" fillId="0" borderId="205" xfId="126" applyNumberFormat="1" applyFont="1" applyBorder="1" applyAlignment="1" applyProtection="1">
      <alignment horizontal="center" vertical="center" wrapText="1"/>
      <protection hidden="1"/>
    </xf>
    <xf numFmtId="1" fontId="6" fillId="0" borderId="199" xfId="126" applyNumberFormat="1" applyFont="1" applyBorder="1" applyAlignment="1" applyProtection="1">
      <alignment horizontal="center" vertical="center" wrapText="1"/>
      <protection hidden="1"/>
    </xf>
    <xf numFmtId="1" fontId="6" fillId="0" borderId="189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1" fontId="10" fillId="0" borderId="68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51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4" xfId="125" applyFont="1" applyFill="1" applyBorder="1" applyAlignment="1">
      <alignment horizontal="left" vertical="center"/>
    </xf>
    <xf numFmtId="0" fontId="6" fillId="22" borderId="93" xfId="125" applyFont="1" applyFill="1" applyBorder="1" applyAlignment="1">
      <alignment horizontal="left" vertical="center"/>
    </xf>
    <xf numFmtId="1" fontId="6" fillId="0" borderId="205" xfId="125" quotePrefix="1" applyNumberFormat="1" applyFont="1" applyBorder="1" applyAlignment="1">
      <alignment horizontal="center" vertical="center"/>
    </xf>
    <xf numFmtId="1" fontId="6" fillId="0" borderId="189" xfId="125" quotePrefix="1" applyNumberFormat="1" applyFont="1" applyBorder="1" applyAlignment="1">
      <alignment horizontal="center" vertical="center"/>
    </xf>
    <xf numFmtId="1" fontId="6" fillId="22" borderId="196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147" xfId="126" applyNumberFormat="1" applyFont="1" applyBorder="1" applyAlignment="1" applyProtection="1">
      <alignment horizontal="center" vertical="center"/>
      <protection hidden="1"/>
    </xf>
    <xf numFmtId="1" fontId="6" fillId="0" borderId="147" xfId="126" applyNumberFormat="1" applyFont="1" applyBorder="1" applyAlignment="1" applyProtection="1">
      <alignment horizontal="center" vertical="center" wrapText="1"/>
      <protection hidden="1"/>
    </xf>
    <xf numFmtId="1" fontId="4" fillId="0" borderId="199" xfId="126" applyNumberFormat="1" applyFont="1" applyBorder="1" applyAlignment="1" applyProtection="1">
      <alignment horizontal="left"/>
      <protection hidden="1"/>
    </xf>
    <xf numFmtId="1" fontId="4" fillId="0" borderId="195" xfId="126" applyNumberFormat="1" applyFont="1" applyBorder="1" applyAlignment="1" applyProtection="1">
      <alignment horizontal="left"/>
      <protection hidden="1"/>
    </xf>
    <xf numFmtId="1" fontId="6" fillId="0" borderId="205" xfId="126" quotePrefix="1" applyNumberFormat="1" applyFont="1" applyBorder="1" applyAlignment="1" applyProtection="1">
      <alignment horizontal="center" vertical="center"/>
      <protection hidden="1"/>
    </xf>
    <xf numFmtId="1" fontId="6" fillId="0" borderId="199" xfId="126" quotePrefix="1" applyNumberFormat="1" applyFont="1" applyBorder="1" applyAlignment="1" applyProtection="1">
      <alignment horizontal="center" vertical="center"/>
      <protection hidden="1"/>
    </xf>
    <xf numFmtId="1" fontId="6" fillId="0" borderId="208" xfId="126" quotePrefix="1" applyNumberFormat="1" applyFont="1" applyBorder="1" applyAlignment="1" applyProtection="1">
      <alignment horizontal="center" vertical="center"/>
      <protection hidden="1"/>
    </xf>
    <xf numFmtId="1" fontId="6" fillId="0" borderId="54" xfId="126" applyNumberFormat="1" applyFont="1" applyBorder="1" applyAlignment="1" applyProtection="1">
      <alignment horizontal="left"/>
      <protection hidden="1"/>
    </xf>
    <xf numFmtId="1" fontId="6" fillId="0" borderId="93" xfId="126" applyNumberFormat="1" applyFont="1" applyBorder="1" applyAlignment="1" applyProtection="1">
      <alignment horizontal="left"/>
      <protection hidden="1"/>
    </xf>
    <xf numFmtId="1" fontId="6" fillId="0" borderId="205" xfId="126" applyNumberFormat="1" applyFont="1" applyBorder="1" applyAlignment="1" applyProtection="1">
      <alignment horizontal="center"/>
      <protection hidden="1"/>
    </xf>
    <xf numFmtId="1" fontId="6" fillId="0" borderId="189" xfId="126" applyNumberFormat="1" applyFont="1" applyBorder="1" applyAlignment="1" applyProtection="1">
      <alignment horizontal="center"/>
      <protection hidden="1"/>
    </xf>
    <xf numFmtId="1" fontId="6" fillId="0" borderId="50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4" fillId="0" borderId="199" xfId="0" applyNumberFormat="1" applyFont="1" applyBorder="1" applyAlignment="1">
      <alignment horizontal="left"/>
    </xf>
    <xf numFmtId="1" fontId="4" fillId="0" borderId="199" xfId="126" quotePrefix="1" applyNumberFormat="1" applyFont="1" applyBorder="1" applyAlignment="1" applyProtection="1">
      <alignment horizontal="left"/>
      <protection hidden="1"/>
    </xf>
    <xf numFmtId="1" fontId="4" fillId="0" borderId="195" xfId="126" quotePrefix="1" applyNumberFormat="1" applyFont="1" applyBorder="1" applyAlignment="1" applyProtection="1">
      <alignment horizontal="left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77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198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68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4" xfId="126" applyNumberFormat="1" applyFont="1" applyBorder="1" applyAlignment="1" applyProtection="1">
      <alignment horizontal="left" vertical="center" wrapText="1"/>
      <protection hidden="1"/>
    </xf>
    <xf numFmtId="1" fontId="6" fillId="0" borderId="93" xfId="126" applyNumberFormat="1" applyFont="1" applyBorder="1" applyAlignment="1" applyProtection="1">
      <alignment horizontal="left" vertical="center" wrapText="1"/>
      <protection hidden="1"/>
    </xf>
    <xf numFmtId="1" fontId="10" fillId="0" borderId="205" xfId="126" applyNumberFormat="1" applyFont="1" applyBorder="1" applyAlignment="1" applyProtection="1">
      <alignment horizontal="center" vertical="center" wrapText="1"/>
      <protection hidden="1"/>
    </xf>
    <xf numFmtId="1" fontId="10" fillId="0" borderId="189" xfId="126" applyNumberFormat="1" applyFont="1" applyBorder="1" applyAlignment="1" applyProtection="1">
      <alignment horizontal="center" vertical="center" wrapText="1"/>
      <protection hidden="1"/>
    </xf>
    <xf numFmtId="1" fontId="10" fillId="0" borderId="205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89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8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7" xfId="126" quotePrefix="1" applyNumberFormat="1" applyFont="1" applyBorder="1" applyAlignment="1" applyProtection="1">
      <alignment horizontal="center" vertical="center"/>
      <protection hidden="1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1" fontId="6" fillId="0" borderId="196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205" xfId="0" quotePrefix="1" applyNumberFormat="1" applyFont="1" applyBorder="1" applyAlignment="1">
      <alignment horizontal="center" vertical="center" wrapText="1"/>
    </xf>
    <xf numFmtId="1" fontId="6" fillId="0" borderId="208" xfId="0" applyNumberFormat="1" applyFont="1" applyBorder="1" applyAlignment="1">
      <alignment horizontal="center" vertical="center" wrapText="1"/>
    </xf>
    <xf numFmtId="1" fontId="10" fillId="0" borderId="205" xfId="125" applyNumberFormat="1" applyFont="1" applyBorder="1" applyAlignment="1" applyProtection="1">
      <alignment horizontal="left" vertical="center" wrapText="1"/>
      <protection hidden="1"/>
    </xf>
    <xf numFmtId="1" fontId="6" fillId="0" borderId="199" xfId="0" applyNumberFormat="1" applyFont="1" applyBorder="1" applyAlignment="1">
      <alignment horizontal="left" wrapText="1"/>
    </xf>
    <xf numFmtId="1" fontId="10" fillId="0" borderId="195" xfId="0" applyNumberFormat="1" applyFont="1" applyBorder="1" applyAlignment="1">
      <alignment horizontal="center" vertical="center" wrapText="1"/>
    </xf>
    <xf numFmtId="1" fontId="10" fillId="0" borderId="198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1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189" xfId="0" applyNumberFormat="1" applyFont="1" applyBorder="1" applyAlignment="1">
      <alignment horizontal="left" wrapText="1"/>
    </xf>
    <xf numFmtId="1" fontId="10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0" borderId="195" xfId="0" applyNumberFormat="1" applyFont="1" applyBorder="1" applyAlignment="1">
      <alignment horizontal="left" wrapText="1"/>
    </xf>
    <xf numFmtId="0" fontId="6" fillId="0" borderId="45" xfId="0" applyFont="1" applyBorder="1" applyAlignment="1">
      <alignment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5" xfId="0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80" xfId="0" applyFont="1" applyBorder="1" applyAlignment="1">
      <alignment vertical="center" wrapText="1"/>
    </xf>
    <xf numFmtId="0" fontId="6" fillId="0" borderId="71" xfId="0" applyFont="1" applyBorder="1" applyAlignment="1">
      <alignment vertical="center" wrapText="1"/>
    </xf>
    <xf numFmtId="0" fontId="6" fillId="0" borderId="196" xfId="0" applyFont="1" applyBorder="1" applyAlignment="1">
      <alignment horizontal="left" vertical="center" wrapText="1"/>
    </xf>
    <xf numFmtId="0" fontId="6" fillId="0" borderId="177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1" fontId="6" fillId="0" borderId="147" xfId="112" applyNumberFormat="1" applyFont="1" applyBorder="1" applyAlignment="1" applyProtection="1">
      <alignment horizontal="center" vertical="center"/>
      <protection hidden="1"/>
    </xf>
    <xf numFmtId="0" fontId="6" fillId="0" borderId="68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198" xfId="125" applyNumberFormat="1" applyFont="1" applyBorder="1" applyAlignment="1" applyProtection="1">
      <alignment horizontal="left" vertical="center" wrapText="1"/>
      <protection hidden="1"/>
    </xf>
    <xf numFmtId="1" fontId="6" fillId="22" borderId="197" xfId="0" applyNumberFormat="1" applyFont="1" applyFill="1" applyBorder="1" applyAlignment="1">
      <alignment horizontal="center" vertical="center"/>
    </xf>
    <xf numFmtId="1" fontId="6" fillId="22" borderId="195" xfId="0" applyNumberFormat="1" applyFont="1" applyFill="1" applyBorder="1" applyAlignment="1">
      <alignment horizontal="center" vertical="center"/>
    </xf>
    <xf numFmtId="1" fontId="6" fillId="22" borderId="198" xfId="0" applyNumberFormat="1" applyFont="1" applyFill="1" applyBorder="1" applyAlignment="1">
      <alignment horizontal="center" vertical="center"/>
    </xf>
    <xf numFmtId="1" fontId="6" fillId="22" borderId="68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1" fontId="6" fillId="0" borderId="205" xfId="0" applyNumberFormat="1" applyFont="1" applyBorder="1" applyAlignment="1">
      <alignment horizontal="left" vertical="center" wrapText="1"/>
    </xf>
    <xf numFmtId="1" fontId="6" fillId="0" borderId="189" xfId="0" applyNumberFormat="1" applyFont="1" applyBorder="1" applyAlignment="1">
      <alignment horizontal="left"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96" xfId="128" applyNumberFormat="1" applyFont="1" applyBorder="1" applyAlignment="1" applyProtection="1">
      <alignment horizontal="left" vertical="center" wrapText="1"/>
      <protection hidden="1"/>
    </xf>
    <xf numFmtId="1" fontId="6" fillId="0" borderId="177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205" xfId="125" applyNumberFormat="1" applyFont="1" applyBorder="1" applyAlignment="1" applyProtection="1">
      <alignment horizontal="left" vertical="center" wrapText="1"/>
      <protection hidden="1"/>
    </xf>
    <xf numFmtId="1" fontId="4" fillId="0" borderId="199" xfId="125" applyNumberFormat="1" applyFont="1" applyBorder="1" applyAlignment="1" applyProtection="1">
      <alignment horizontal="left" vertical="center" wrapText="1"/>
      <protection hidden="1"/>
    </xf>
    <xf numFmtId="1" fontId="6" fillId="0" borderId="147" xfId="128" applyNumberFormat="1" applyFont="1" applyBorder="1" applyAlignment="1" applyProtection="1">
      <alignment horizontal="left" vertical="center" wrapText="1"/>
      <protection hidden="1"/>
    </xf>
    <xf numFmtId="1" fontId="6" fillId="0" borderId="196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4" xfId="0" applyNumberFormat="1" applyFont="1" applyBorder="1" applyAlignment="1">
      <alignment horizontal="left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1" fontId="6" fillId="0" borderId="71" xfId="0" applyNumberFormat="1" applyFont="1" applyBorder="1" applyAlignment="1">
      <alignment horizontal="center" vertical="center"/>
    </xf>
    <xf numFmtId="1" fontId="6" fillId="0" borderId="68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0" borderId="147" xfId="0" quotePrefix="1" applyNumberFormat="1" applyFont="1" applyBorder="1" applyAlignment="1">
      <alignment horizontal="center" vertical="center"/>
    </xf>
    <xf numFmtId="1" fontId="6" fillId="0" borderId="205" xfId="126" applyNumberFormat="1" applyFont="1" applyBorder="1" applyAlignment="1" applyProtection="1">
      <alignment horizontal="center" vertical="center"/>
      <protection hidden="1"/>
    </xf>
    <xf numFmtId="1" fontId="6" fillId="0" borderId="199" xfId="126" applyNumberFormat="1" applyFont="1" applyBorder="1" applyAlignment="1" applyProtection="1">
      <alignment horizontal="center" vertical="center"/>
      <protection hidden="1"/>
    </xf>
    <xf numFmtId="1" fontId="6" fillId="0" borderId="147" xfId="108" applyNumberFormat="1" applyFont="1" applyBorder="1" applyAlignment="1">
      <alignment horizontal="center" vertical="center" wrapText="1"/>
    </xf>
    <xf numFmtId="1" fontId="6" fillId="22" borderId="214" xfId="0" applyNumberFormat="1" applyFont="1" applyFill="1" applyBorder="1" applyAlignment="1">
      <alignment horizontal="center" vertical="center" wrapText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68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177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131" xfId="0" applyNumberFormat="1" applyFont="1" applyFill="1" applyBorder="1" applyAlignment="1">
      <alignment horizontal="center" vertical="center" wrapText="1"/>
    </xf>
    <xf numFmtId="1" fontId="6" fillId="22" borderId="71" xfId="0" applyNumberFormat="1" applyFont="1" applyFill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01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1" xfId="0" applyFont="1" applyBorder="1" applyAlignment="1">
      <alignment horizontal="center" vertical="center"/>
    </xf>
    <xf numFmtId="0" fontId="30" fillId="0" borderId="199" xfId="0" applyFont="1" applyBorder="1" applyAlignment="1">
      <alignment horizontal="center" vertical="center"/>
    </xf>
    <xf numFmtId="0" fontId="30" fillId="0" borderId="189" xfId="0" applyFont="1" applyBorder="1" applyAlignment="1">
      <alignment horizontal="center" vertical="center"/>
    </xf>
    <xf numFmtId="0" fontId="29" fillId="0" borderId="51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50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4" xfId="0" applyFont="1" applyBorder="1" applyAlignment="1">
      <alignment horizontal="left" vertical="center" wrapText="1"/>
    </xf>
    <xf numFmtId="0" fontId="29" fillId="0" borderId="93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198" xfId="0" applyFont="1" applyBorder="1" applyAlignment="1">
      <alignment horizontal="left" vertical="center" wrapText="1"/>
    </xf>
    <xf numFmtId="0" fontId="29" fillId="0" borderId="71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99" xfId="0" applyNumberFormat="1" applyFont="1" applyFill="1" applyBorder="1" applyAlignment="1">
      <alignment horizontal="left"/>
    </xf>
    <xf numFmtId="1" fontId="6" fillId="22" borderId="205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189" xfId="0" applyNumberFormat="1" applyFont="1" applyFill="1" applyBorder="1" applyAlignment="1">
      <alignment horizontal="center" vertical="center" wrapText="1"/>
    </xf>
    <xf numFmtId="1" fontId="10" fillId="22" borderId="197" xfId="0" applyNumberFormat="1" applyFont="1" applyFill="1" applyBorder="1" applyAlignment="1">
      <alignment horizontal="center" vertical="center" wrapText="1"/>
    </xf>
    <xf numFmtId="1" fontId="10" fillId="22" borderId="198" xfId="0" applyNumberFormat="1" applyFont="1" applyFill="1" applyBorder="1" applyAlignment="1">
      <alignment horizontal="center" vertical="center" wrapText="1"/>
    </xf>
    <xf numFmtId="1" fontId="10" fillId="22" borderId="68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4" fillId="22" borderId="199" xfId="125" applyNumberFormat="1" applyFont="1" applyFill="1" applyBorder="1" applyAlignment="1">
      <alignment horizontal="left" vertical="center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0" borderId="205" xfId="125" applyNumberFormat="1" applyFont="1" applyBorder="1" applyAlignment="1" applyProtection="1">
      <alignment horizontal="left" vertical="center" wrapText="1"/>
      <protection hidden="1"/>
    </xf>
    <xf numFmtId="1" fontId="6" fillId="0" borderId="189" xfId="125" applyNumberFormat="1" applyFont="1" applyBorder="1" applyAlignment="1" applyProtection="1">
      <alignment horizontal="left" vertical="center" wrapText="1"/>
      <protection hidden="1"/>
    </xf>
    <xf numFmtId="1" fontId="10" fillId="0" borderId="197" xfId="0" applyNumberFormat="1" applyFont="1" applyBorder="1" applyAlignment="1">
      <alignment horizontal="center" vertical="center"/>
    </xf>
    <xf numFmtId="1" fontId="10" fillId="0" borderId="198" xfId="0" applyNumberFormat="1" applyFont="1" applyBorder="1" applyAlignment="1">
      <alignment horizontal="center" vertical="center"/>
    </xf>
    <xf numFmtId="1" fontId="10" fillId="0" borderId="68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185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189" xfId="125" applyNumberFormat="1" applyFont="1" applyBorder="1" applyAlignment="1" applyProtection="1">
      <alignment horizontal="center" vertical="center" wrapText="1"/>
      <protection hidden="1"/>
    </xf>
    <xf numFmtId="1" fontId="6" fillId="22" borderId="208" xfId="0" applyNumberFormat="1" applyFont="1" applyFill="1" applyBorder="1" applyAlignment="1">
      <alignment horizontal="center" vertical="center" wrapText="1"/>
    </xf>
    <xf numFmtId="1" fontId="10" fillId="22" borderId="196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91" xfId="0" applyNumberFormat="1" applyFont="1" applyFill="1" applyBorder="1" applyAlignment="1">
      <alignment horizontal="center" vertical="center" wrapText="1"/>
    </xf>
    <xf numFmtId="1" fontId="6" fillId="0" borderId="208" xfId="125" applyNumberFormat="1" applyFont="1" applyBorder="1" applyAlignment="1" applyProtection="1">
      <alignment horizontal="center" vertical="center" wrapText="1"/>
      <protection hidden="1"/>
    </xf>
    <xf numFmtId="1" fontId="6" fillId="0" borderId="91" xfId="125" applyNumberFormat="1" applyFont="1" applyBorder="1" applyAlignment="1" applyProtection="1">
      <alignment horizontal="center" vertical="center" wrapText="1"/>
      <protection hidden="1"/>
    </xf>
    <xf numFmtId="1" fontId="6" fillId="22" borderId="210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 wrapText="1"/>
    </xf>
    <xf numFmtId="1" fontId="6" fillId="22" borderId="93" xfId="0" applyNumberFormat="1" applyFont="1" applyFill="1" applyBorder="1" applyAlignment="1">
      <alignment horizontal="left" wrapText="1"/>
    </xf>
    <xf numFmtId="1" fontId="6" fillId="22" borderId="50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180" xfId="0" applyNumberFormat="1" applyFont="1" applyFill="1" applyBorder="1" applyAlignment="1">
      <alignment horizontal="center" vertical="center" wrapText="1"/>
    </xf>
    <xf numFmtId="1" fontId="6" fillId="22" borderId="124" xfId="0" applyNumberFormat="1" applyFont="1" applyFill="1" applyBorder="1" applyAlignment="1">
      <alignment horizontal="center" vertical="center" wrapText="1"/>
    </xf>
    <xf numFmtId="1" fontId="6" fillId="22" borderId="107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/>
    </xf>
    <xf numFmtId="1" fontId="6" fillId="22" borderId="93" xfId="0" applyNumberFormat="1" applyFont="1" applyFill="1" applyBorder="1" applyAlignment="1">
      <alignment horizontal="left"/>
    </xf>
    <xf numFmtId="1" fontId="10" fillId="22" borderId="180" xfId="0" applyNumberFormat="1" applyFont="1" applyFill="1" applyBorder="1" applyAlignment="1">
      <alignment horizontal="center" vertical="center" wrapText="1"/>
    </xf>
    <xf numFmtId="1" fontId="10" fillId="22" borderId="71" xfId="0" applyNumberFormat="1" applyFont="1" applyFill="1" applyBorder="1" applyAlignment="1">
      <alignment horizontal="center" vertical="center" wrapText="1"/>
    </xf>
    <xf numFmtId="1" fontId="10" fillId="22" borderId="147" xfId="0" applyNumberFormat="1" applyFont="1" applyFill="1" applyBorder="1" applyAlignment="1">
      <alignment horizontal="center" vertical="center" wrapText="1"/>
    </xf>
    <xf numFmtId="1" fontId="10" fillId="0" borderId="197" xfId="125" applyNumberFormat="1" applyFont="1" applyBorder="1" applyAlignment="1" applyProtection="1">
      <alignment horizontal="center" vertical="center" wrapText="1"/>
      <protection hidden="1"/>
    </xf>
    <xf numFmtId="1" fontId="10" fillId="0" borderId="198" xfId="125" applyNumberFormat="1" applyFont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99" xfId="126" applyNumberFormat="1" applyFont="1" applyFill="1" applyBorder="1" applyAlignment="1" applyProtection="1">
      <alignment horizontal="left"/>
      <protection hidden="1"/>
    </xf>
    <xf numFmtId="1" fontId="4" fillId="17" borderId="220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70" xfId="0" applyNumberFormat="1" applyFont="1" applyBorder="1" applyAlignment="1">
      <alignment horizontal="center" vertical="center" wrapText="1"/>
    </xf>
    <xf numFmtId="1" fontId="6" fillId="17" borderId="205" xfId="108" applyNumberFormat="1" applyFont="1" applyFill="1" applyBorder="1" applyAlignment="1">
      <alignment horizontal="center" vertical="center" wrapText="1"/>
    </xf>
    <xf numFmtId="1" fontId="6" fillId="17" borderId="199" xfId="108" applyNumberFormat="1" applyFont="1" applyFill="1" applyBorder="1" applyAlignment="1">
      <alignment horizontal="center" vertical="center" wrapText="1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17" borderId="189" xfId="108" applyNumberFormat="1" applyFont="1" applyFill="1" applyBorder="1" applyAlignment="1">
      <alignment horizontal="center" vertical="center" wrapText="1"/>
    </xf>
    <xf numFmtId="1" fontId="6" fillId="0" borderId="71" xfId="0" applyNumberFormat="1" applyFont="1" applyBorder="1" applyAlignment="1">
      <alignment horizontal="center" vertical="center" wrapText="1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205" xfId="0" quotePrefix="1" applyNumberFormat="1" applyFont="1" applyBorder="1" applyAlignment="1">
      <alignment horizontal="center" vertical="center"/>
    </xf>
    <xf numFmtId="1" fontId="6" fillId="0" borderId="208" xfId="0" applyNumberFormat="1" applyFont="1" applyBorder="1" applyAlignment="1">
      <alignment horizontal="center" vertical="center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17" borderId="195" xfId="108" applyNumberFormat="1" applyFont="1" applyFill="1" applyBorder="1" applyAlignment="1">
      <alignment horizontal="center" vertical="center" wrapText="1"/>
    </xf>
    <xf numFmtId="1" fontId="6" fillId="17" borderId="198" xfId="108" applyNumberFormat="1" applyFont="1" applyFill="1" applyBorder="1" applyAlignment="1">
      <alignment horizontal="center" vertical="center" wrapText="1"/>
    </xf>
    <xf numFmtId="1" fontId="6" fillId="17" borderId="68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147" xfId="108" applyNumberFormat="1" applyFont="1" applyFill="1" applyBorder="1" applyAlignment="1">
      <alignment horizontal="center" vertical="center" wrapText="1"/>
    </xf>
    <xf numFmtId="1" fontId="6" fillId="17" borderId="177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6" fillId="0" borderId="189" xfId="0" quotePrefix="1" applyNumberFormat="1" applyFont="1" applyBorder="1" applyAlignment="1">
      <alignment horizontal="center" vertical="center" wrapText="1"/>
    </xf>
    <xf numFmtId="1" fontId="6" fillId="17" borderId="196" xfId="122" applyNumberFormat="1" applyFont="1" applyFill="1" applyBorder="1" applyAlignment="1">
      <alignment horizontal="left" vertical="center"/>
    </xf>
    <xf numFmtId="1" fontId="10" fillId="17" borderId="195" xfId="108" applyNumberFormat="1" applyFont="1" applyFill="1" applyBorder="1" applyAlignment="1">
      <alignment horizontal="center" vertical="center" wrapText="1"/>
    </xf>
    <xf numFmtId="1" fontId="10" fillId="17" borderId="198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1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80" xfId="0" applyNumberFormat="1" applyFont="1" applyBorder="1" applyAlignment="1">
      <alignment horizontal="center" vertical="center" wrapText="1"/>
    </xf>
    <xf numFmtId="1" fontId="4" fillId="0" borderId="195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95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208" xfId="0" applyFont="1" applyBorder="1" applyAlignment="1">
      <alignment horizontal="center" vertical="center"/>
    </xf>
    <xf numFmtId="0" fontId="10" fillId="0" borderId="147" xfId="0" applyFont="1" applyBorder="1" applyAlignment="1">
      <alignment horizontal="center" vertical="center" wrapText="1"/>
    </xf>
    <xf numFmtId="0" fontId="6" fillId="0" borderId="197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0" fontId="6" fillId="0" borderId="198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205" xfId="0" quotePrefix="1" applyFont="1" applyBorder="1" applyAlignment="1">
      <alignment horizontal="center"/>
    </xf>
    <xf numFmtId="0" fontId="6" fillId="0" borderId="199" xfId="0" applyFont="1" applyBorder="1" applyAlignment="1">
      <alignment horizontal="center"/>
    </xf>
    <xf numFmtId="0" fontId="6" fillId="0" borderId="208" xfId="0" applyFont="1" applyBorder="1" applyAlignment="1">
      <alignment horizontal="center"/>
    </xf>
    <xf numFmtId="0" fontId="6" fillId="0" borderId="71" xfId="0" applyFont="1" applyBorder="1" applyAlignment="1">
      <alignment horizontal="center" vertical="center"/>
    </xf>
    <xf numFmtId="0" fontId="19" fillId="0" borderId="205" xfId="0" applyFont="1" applyBorder="1" applyAlignment="1" applyProtection="1">
      <alignment horizontal="center" vertical="center"/>
      <protection hidden="1"/>
    </xf>
    <xf numFmtId="0" fontId="19" fillId="0" borderId="199" xfId="0" applyFont="1" applyBorder="1" applyAlignment="1" applyProtection="1">
      <alignment horizontal="center" vertical="center"/>
      <protection hidden="1"/>
    </xf>
    <xf numFmtId="0" fontId="19" fillId="0" borderId="189" xfId="0" applyFont="1" applyBorder="1" applyAlignment="1" applyProtection="1">
      <alignment horizontal="center" vertical="center"/>
      <protection hidden="1"/>
    </xf>
    <xf numFmtId="0" fontId="23" fillId="16" borderId="132" xfId="0" applyFont="1" applyFill="1" applyBorder="1" applyAlignment="1">
      <alignment horizontal="center" vertical="center" wrapText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1" defaultTableStyle="TableStyleMedium2" defaultPivotStyle="PivotStyleLight16">
    <tableStyle name="Invisible" pivot="0" table="0" count="0" xr9:uid="{094C4D06-487A-485F-B97A-0E14D3D6EF02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arol Figueroa" id="{A2986A76-1101-4443-A0AF-80B0C0214875}" userId="S::carol.figueroa@temuco.cl::44f7aa1f-45da-4b64-9048-9d2fd691d338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96" dT="2025-07-03T17:28:01.65" personId="{A2986A76-1101-4443-A0AF-80B0C0214875}" id="{C3C75543-141E-413D-B06F-E7AC3FB22A75}" done="1">
    <text>ESTOS DATOS DEBEN SER IGUAL A FILA 12 POR EDAD Y SEXO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E16" sqref="E16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595" t="s">
        <v>0</v>
      </c>
      <c r="B1" s="1596"/>
      <c r="C1" s="1597" t="s">
        <v>1</v>
      </c>
      <c r="D1" s="1597"/>
      <c r="E1" s="1597"/>
      <c r="F1" s="1597"/>
      <c r="G1" s="1597"/>
      <c r="H1" s="1597"/>
    </row>
    <row r="2" spans="1:33" ht="18" customHeight="1" x14ac:dyDescent="0.2">
      <c r="A2" s="1339" t="s">
        <v>2</v>
      </c>
      <c r="B2" s="1340" t="s">
        <v>3</v>
      </c>
      <c r="C2" s="1341">
        <v>0</v>
      </c>
      <c r="D2" s="865">
        <v>9</v>
      </c>
      <c r="E2" s="865">
        <v>1</v>
      </c>
      <c r="F2" s="865">
        <v>0</v>
      </c>
      <c r="G2" s="866">
        <v>1</v>
      </c>
      <c r="H2" s="867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42" t="s">
        <v>4</v>
      </c>
      <c r="B3" s="1343" t="s">
        <v>5</v>
      </c>
      <c r="C3" s="1341">
        <v>1</v>
      </c>
      <c r="D3" s="865">
        <v>2</v>
      </c>
      <c r="E3" s="865">
        <v>1</v>
      </c>
      <c r="F3" s="865">
        <v>4</v>
      </c>
      <c r="G3" s="866">
        <v>6</v>
      </c>
      <c r="H3" s="1344">
        <v>0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88"/>
      <c r="B4" s="989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88"/>
      <c r="B5" s="989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42" t="s">
        <v>6</v>
      </c>
      <c r="B6" s="1345" t="s">
        <v>7</v>
      </c>
      <c r="C6" s="1346">
        <v>0</v>
      </c>
      <c r="D6" s="866">
        <v>6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42" t="s">
        <v>8</v>
      </c>
      <c r="B7" s="1347">
        <v>2025</v>
      </c>
      <c r="AG7" s="13">
        <f>SUM(AG2:AG6)</f>
        <v>0</v>
      </c>
    </row>
    <row r="8" spans="1:33" ht="24" customHeight="1" x14ac:dyDescent="0.15">
      <c r="A8" s="1348"/>
      <c r="B8" s="1349"/>
    </row>
    <row r="9" spans="1:33" ht="20.100000000000001" customHeight="1" x14ac:dyDescent="0.15">
      <c r="A9" s="1598" t="s">
        <v>9</v>
      </c>
      <c r="B9" s="1599"/>
    </row>
    <row r="10" spans="1:33" ht="12" customHeight="1" x14ac:dyDescent="0.2">
      <c r="A10" s="14"/>
      <c r="B10" s="15"/>
    </row>
    <row r="11" spans="1:33" ht="29.25" customHeight="1" x14ac:dyDescent="0.2">
      <c r="A11" s="1350" t="s">
        <v>10</v>
      </c>
      <c r="B11" s="1351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7</v>
      </c>
      <c r="AB11" s="23" t="s">
        <v>12</v>
      </c>
      <c r="AC11" s="23" t="s">
        <v>13</v>
      </c>
    </row>
    <row r="12" spans="1:33" ht="27.75" customHeight="1" x14ac:dyDescent="0.2">
      <c r="A12" s="990" t="s">
        <v>14</v>
      </c>
      <c r="B12" s="1351" t="s">
        <v>15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16</v>
      </c>
      <c r="AB12" s="23" t="s">
        <v>17</v>
      </c>
      <c r="AC12" s="23" t="s">
        <v>18</v>
      </c>
    </row>
    <row r="13" spans="1:33" ht="21" customHeight="1" x14ac:dyDescent="0.2">
      <c r="A13" s="19"/>
      <c r="B13" s="1352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600" t="s">
        <v>22</v>
      </c>
      <c r="B15" s="1601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592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593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594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8erdOFzohFFP0zl/sEHOQo5Jkze1BL2Ondu0H5qqC+9E86Fw0wSVD4eVou3zT4fbHwUr83dadnNnx+9TBGfOiA==" saltValue="ekUTS1ODjIQQCi1WQbh48g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V173"/>
  <sheetViews>
    <sheetView showGridLines="0" topLeftCell="A144" zoomScaleNormal="100" workbookViewId="0">
      <selection activeCell="I35" sqref="I35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8" width="11.42578125" style="172" customWidth="1"/>
    <col min="79" max="92" width="11.42578125" style="107" hidden="1" customWidth="1"/>
    <col min="93" max="100" width="10.7109375" style="107" hidden="1" customWidth="1"/>
    <col min="101" max="115" width="11.42578125" style="107" customWidth="1"/>
    <col min="116" max="16384" width="11.42578125" style="107"/>
  </cols>
  <sheetData>
    <row r="1" spans="1:100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0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0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0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0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0" ht="18" customHeight="1" x14ac:dyDescent="0.15">
      <c r="A6" s="1631" t="s">
        <v>50</v>
      </c>
      <c r="B6" s="1631"/>
      <c r="C6" s="1631"/>
      <c r="D6" s="1631"/>
      <c r="E6" s="1631"/>
      <c r="F6" s="1631"/>
      <c r="G6" s="1631"/>
      <c r="H6" s="1631"/>
      <c r="I6" s="1631"/>
      <c r="J6" s="1631"/>
      <c r="K6" s="1631"/>
      <c r="L6" s="1631"/>
      <c r="M6" s="1631"/>
      <c r="N6" s="1631"/>
      <c r="O6" s="1631"/>
      <c r="P6" s="1631"/>
    </row>
    <row r="7" spans="1:100" ht="17.100000000000001" customHeight="1" x14ac:dyDescent="0.15">
      <c r="A7" s="1604" t="s">
        <v>51</v>
      </c>
      <c r="B7" s="1605"/>
      <c r="C7" s="1605"/>
      <c r="D7" s="1605"/>
      <c r="E7" s="1605"/>
      <c r="F7" s="1605"/>
      <c r="G7" s="1605"/>
      <c r="H7" s="35"/>
    </row>
    <row r="8" spans="1:100" ht="17.100000000000001" customHeight="1" x14ac:dyDescent="0.15">
      <c r="A8" s="1608" t="s">
        <v>52</v>
      </c>
      <c r="B8" s="1609"/>
      <c r="C8" s="1609"/>
      <c r="D8" s="1609"/>
      <c r="E8" s="1609"/>
      <c r="F8" s="1609"/>
      <c r="G8" s="1609"/>
      <c r="H8" s="1609"/>
      <c r="I8" s="1609"/>
      <c r="J8" s="1609"/>
      <c r="K8" s="1609"/>
      <c r="L8" s="1609"/>
      <c r="M8" s="1609"/>
      <c r="N8" s="219"/>
    </row>
    <row r="9" spans="1:100" ht="15" customHeight="1" x14ac:dyDescent="0.15">
      <c r="A9" s="1623" t="s">
        <v>53</v>
      </c>
      <c r="B9" s="1624"/>
      <c r="C9" s="1627" t="s">
        <v>54</v>
      </c>
      <c r="D9" s="1675" t="s">
        <v>55</v>
      </c>
      <c r="E9" s="1676"/>
      <c r="F9" s="1676"/>
      <c r="G9" s="1676"/>
      <c r="H9" s="1676"/>
      <c r="I9" s="1676"/>
      <c r="J9" s="1676"/>
      <c r="K9" s="1676"/>
      <c r="L9" s="1676"/>
      <c r="M9" s="1676"/>
      <c r="N9" s="1676"/>
      <c r="O9" s="1676"/>
      <c r="P9" s="1677"/>
      <c r="Q9" s="1629" t="s">
        <v>56</v>
      </c>
      <c r="R9" s="1651" t="s">
        <v>57</v>
      </c>
      <c r="S9" s="1653"/>
      <c r="T9" s="1656" t="s">
        <v>58</v>
      </c>
      <c r="U9" s="1651" t="s">
        <v>59</v>
      </c>
      <c r="V9" s="1652"/>
      <c r="W9" s="1653"/>
      <c r="X9" s="1654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0" ht="33" customHeight="1" x14ac:dyDescent="0.15">
      <c r="A10" s="1625"/>
      <c r="B10" s="1626"/>
      <c r="C10" s="1628"/>
      <c r="D10" s="1353" t="s">
        <v>61</v>
      </c>
      <c r="E10" s="821" t="s">
        <v>62</v>
      </c>
      <c r="F10" s="821" t="s">
        <v>63</v>
      </c>
      <c r="G10" s="822" t="s">
        <v>64</v>
      </c>
      <c r="H10" s="822" t="s">
        <v>65</v>
      </c>
      <c r="I10" s="822" t="s">
        <v>66</v>
      </c>
      <c r="J10" s="822" t="s">
        <v>67</v>
      </c>
      <c r="K10" s="822" t="s">
        <v>68</v>
      </c>
      <c r="L10" s="822" t="s">
        <v>69</v>
      </c>
      <c r="M10" s="699" t="s">
        <v>70</v>
      </c>
      <c r="N10" s="822" t="s">
        <v>71</v>
      </c>
      <c r="O10" s="1354" t="s">
        <v>72</v>
      </c>
      <c r="P10" s="823" t="s">
        <v>73</v>
      </c>
      <c r="Q10" s="1630"/>
      <c r="R10" s="1227" t="s">
        <v>74</v>
      </c>
      <c r="S10" s="1225" t="s">
        <v>75</v>
      </c>
      <c r="T10" s="1657"/>
      <c r="U10" s="1355" t="s">
        <v>76</v>
      </c>
      <c r="V10" s="1228" t="s">
        <v>77</v>
      </c>
      <c r="W10" s="1229" t="s">
        <v>78</v>
      </c>
      <c r="X10" s="1655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0" ht="15" customHeight="1" x14ac:dyDescent="0.15">
      <c r="A11" s="1614" t="s">
        <v>79</v>
      </c>
      <c r="B11" s="1615"/>
      <c r="C11" s="260">
        <f>SUM(D11:M11)</f>
        <v>0</v>
      </c>
      <c r="D11" s="262">
        <v>0</v>
      </c>
      <c r="E11" s="262">
        <v>0</v>
      </c>
      <c r="F11" s="262">
        <v>0</v>
      </c>
      <c r="G11" s="262">
        <v>0</v>
      </c>
      <c r="H11" s="262">
        <v>0</v>
      </c>
      <c r="I11" s="262">
        <v>0</v>
      </c>
      <c r="J11" s="262">
        <v>0</v>
      </c>
      <c r="K11" s="262">
        <v>0</v>
      </c>
      <c r="L11" s="262">
        <v>0</v>
      </c>
      <c r="M11" s="262">
        <v>0</v>
      </c>
      <c r="N11" s="634"/>
      <c r="O11" s="634"/>
      <c r="P11" s="824"/>
      <c r="Q11" s="295">
        <v>0</v>
      </c>
      <c r="R11" s="261">
        <v>0</v>
      </c>
      <c r="S11" s="265">
        <v>0</v>
      </c>
      <c r="T11" s="265">
        <v>0</v>
      </c>
      <c r="U11" s="262">
        <v>0</v>
      </c>
      <c r="V11" s="931"/>
      <c r="W11" s="309">
        <v>0</v>
      </c>
      <c r="X11" s="309">
        <v>0</v>
      </c>
      <c r="Y11" s="1105" t="str">
        <f>$CA11&amp;CB11&amp;CC11&amp;CD11&amp;CE11&amp;CF11&amp;CG11&amp;CH11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315" t="str">
        <f>IF(AND($C11&lt;&gt;0,Q11=""),"* No olvide ingresar la variable "&amp;Q$9&amp;""&amp;". Digite CERO si no tiene.",IF(Q11&gt;$C11,"* El Número de Pueblos Originarios no puede superar el Total. ",""))</f>
        <v/>
      </c>
      <c r="CB11" s="1315" t="str">
        <f>IF(AND($C11&gt;0,R11=""),"* No olvide ingresar la variable "&amp;R$9&amp;""&amp;" Menor de 20 años. Digite CERO si no tiene.",IF(R11&gt;$C11,"* El Número de Migrantes Menor de 20 años no puede superar el Total. ",""))</f>
        <v/>
      </c>
      <c r="CC11" s="1315" t="str">
        <f>IF(AND($C11&gt;0,S11=""),"* No olvide ingresar la variable "&amp;R$9&amp;""&amp;" 20 años y más. Digite CERO si no tiene.",IF(S11&gt;$C11,"* El Número de Migrantes 20 años y más no puede superar el Total. ",""))</f>
        <v/>
      </c>
      <c r="CD11" s="1315" t="str">
        <f>IF(AND($C11&lt;&gt;0,T11=""),"* No olvide ingresar la variable "&amp;T$9&amp;""&amp;". Digite CERO si no tiene.",IF(T11&gt;$C11,"* El Número de PV-VIH (personas viviendo con VIH) no puede superar el Total. ",""))</f>
        <v/>
      </c>
      <c r="CE11" s="1315" t="str">
        <f t="shared" ref="CE11:CE20" si="0">IF(AND($C11&lt;&gt;0,U11=""),"* No olvide ingresar la variable "&amp;U$10&amp;""&amp;". Digite CERO si no tiene.",IF(U11&gt;$C11,"* El Número de Trans masculino no puede superar el Total. ",""))</f>
        <v/>
      </c>
      <c r="CF11" s="1316"/>
      <c r="CG11" s="1315" t="str">
        <f t="shared" ref="CG11:CG24" si="1">IF(AND($C11&lt;&gt;0,W11=""),"* No olvide ingresar la variable "&amp;W$10&amp;""&amp;". Digite CERO si no tiene.",IF(W11&gt;$C11,"* El Número de No Binarie no puede superar el Total. ",""))</f>
        <v/>
      </c>
      <c r="CH11" s="1315" t="str">
        <f>IF(AND($C11&lt;&gt;0,X11=""),"* No olvide ingresar la variable "&amp;X$9&amp;""&amp;". Digite CERO si no tiene.",IF(X11&gt;$C11,"* El Número de Personas con discapacidad no puede superar el Total. ",""))</f>
        <v/>
      </c>
      <c r="CO11" s="1048">
        <f>IF(AND($C11&lt;&gt;0,$Q11=""),1,IF($Q11&gt;$C11,1,0))</f>
        <v>0</v>
      </c>
      <c r="CP11" s="1048">
        <f>IF(AND($C11&lt;&gt;0,$R11),1,IF($R11&gt;$C11,1,0))</f>
        <v>0</v>
      </c>
      <c r="CQ11" s="1048">
        <f>IF(AND($C11&lt;&gt;0,$S11),1,IF($S11&gt;$C11,1,0))</f>
        <v>0</v>
      </c>
      <c r="CR11" s="1048">
        <f>IF(AND($C11&lt;&gt;0,$T11=""),1,IF($T11&gt;$C11,1,0))</f>
        <v>0</v>
      </c>
      <c r="CS11" s="1048">
        <f>IF(AND($C11&lt;&gt;0,$U11=""),1,IF($U11&gt;$C11,1,0))</f>
        <v>0</v>
      </c>
      <c r="CT11" s="1087"/>
      <c r="CU11" s="1048">
        <f t="shared" ref="CU11:CU24" si="2">IF(AND($C11&lt;&gt;0,W11=""),1,IF(W11&gt;$C11,1,0))</f>
        <v>0</v>
      </c>
      <c r="CV11" s="1048">
        <f t="shared" ref="CV11:CV24" si="3">IF(AND($C11&lt;&gt;0,X11=""),1,IF(X11&gt;$C11,1,0))</f>
        <v>0</v>
      </c>
    </row>
    <row r="12" spans="1:100" ht="15" customHeight="1" x14ac:dyDescent="0.15">
      <c r="A12" s="1230" t="s">
        <v>80</v>
      </c>
      <c r="B12" s="1231"/>
      <c r="C12" s="266">
        <f t="shared" ref="C12:C18" si="4">SUM(D12:M12)</f>
        <v>0</v>
      </c>
      <c r="D12" s="267">
        <v>0</v>
      </c>
      <c r="E12" s="267">
        <v>0</v>
      </c>
      <c r="F12" s="267">
        <v>0</v>
      </c>
      <c r="G12" s="267">
        <v>0</v>
      </c>
      <c r="H12" s="267">
        <v>0</v>
      </c>
      <c r="I12" s="267">
        <v>0</v>
      </c>
      <c r="J12" s="267">
        <v>0</v>
      </c>
      <c r="K12" s="267">
        <v>0</v>
      </c>
      <c r="L12" s="267">
        <v>0</v>
      </c>
      <c r="M12" s="267">
        <v>0</v>
      </c>
      <c r="N12" s="635"/>
      <c r="O12" s="635"/>
      <c r="P12" s="271"/>
      <c r="Q12" s="1017">
        <v>0</v>
      </c>
      <c r="R12" s="749">
        <v>0</v>
      </c>
      <c r="S12" s="272">
        <v>0</v>
      </c>
      <c r="T12" s="272">
        <v>0</v>
      </c>
      <c r="U12" s="267">
        <v>0</v>
      </c>
      <c r="V12" s="935"/>
      <c r="W12" s="687">
        <v>0</v>
      </c>
      <c r="X12" s="687">
        <v>0</v>
      </c>
      <c r="Y12" s="1105" t="str">
        <f t="shared" ref="Y12:Y31" si="5">$CA12&amp;CB12&amp;CC12&amp;CD12&amp;CE12&amp;CF12&amp;CG12&amp;CH12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315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315" t="str">
        <f t="shared" ref="CB12:CB31" si="7">IF(AND($C12&gt;0,R12=""),"* No olvide ingresar la variable "&amp;R$9&amp;""&amp;" Menor de 20 años. Digite CERO si no tiene.",IF(R12&gt;$C12,"* El Número de Migrantes Menor de 20 años no puede superar el Total. ",""))</f>
        <v/>
      </c>
      <c r="CC12" s="1315" t="str">
        <f t="shared" ref="CC12:CC24" si="8">IF(AND($C12&gt;0,S12=""),"* No olvide ingresar la variable "&amp;R$9&amp;""&amp;" 20 años y más. Digite CERO si no tiene.",IF(S12&gt;$C12,"* El Número de Migrantes 20 años y más no puede superar el Total. ",""))</f>
        <v/>
      </c>
      <c r="CD12" s="1315" t="str">
        <f t="shared" ref="CD12:CD20" si="9">IF(AND($C12&lt;&gt;0,T12=""),"* No olvide ingresar la variable "&amp;T$9&amp;""&amp;". Digite CERO si no tiene.",IF(T12&gt;$C12,"* El Número de PV-VIH (personas viviendo con VIH) no puede superar el Total. ",""))</f>
        <v/>
      </c>
      <c r="CE12" s="1315" t="str">
        <f t="shared" si="0"/>
        <v/>
      </c>
      <c r="CF12" s="1316"/>
      <c r="CG12" s="1315" t="str">
        <f t="shared" si="1"/>
        <v/>
      </c>
      <c r="CH12" s="1315" t="str">
        <f t="shared" ref="CH12:CH30" si="10">IF(AND($C12&lt;&gt;0,X12=""),"* No olvide ingresar la variable "&amp;X$9&amp;""&amp;". Digite CERO si no tiene.",IF(X12&gt;$C12,"* El Número de Personas con discapacidad no puede superar el Total. ",""))</f>
        <v/>
      </c>
      <c r="CO12" s="1048">
        <f t="shared" ref="CO12:CO30" si="11">IF(AND($C12&lt;&gt;0,$Q12=""),1,IF($Q12&gt;$C12,1,0))</f>
        <v>0</v>
      </c>
      <c r="CP12" s="1048">
        <f t="shared" ref="CP12:CP30" si="12">IF(AND($C12&lt;&gt;0,$R12),1,IF($R12&gt;$C12,1,0))</f>
        <v>0</v>
      </c>
      <c r="CQ12" s="1048">
        <f t="shared" ref="CQ12:CQ30" si="13">IF(AND($C12&lt;&gt;0,$S12),1,IF($S12&gt;$C12,1,0))</f>
        <v>0</v>
      </c>
      <c r="CR12" s="1048">
        <f t="shared" ref="CR12:CR30" si="14">IF(AND($C12&lt;&gt;0,$T12=""),1,IF($T12&gt;$C12,1,0))</f>
        <v>0</v>
      </c>
      <c r="CS12" s="1048">
        <f t="shared" ref="CS12:CS30" si="15">IF(AND($C12&lt;&gt;0,$U12=""),1,IF($U12&gt;$C12,1,0))</f>
        <v>0</v>
      </c>
      <c r="CT12" s="1087"/>
      <c r="CU12" s="1048">
        <f t="shared" si="2"/>
        <v>0</v>
      </c>
      <c r="CV12" s="1048">
        <f t="shared" si="3"/>
        <v>0</v>
      </c>
    </row>
    <row r="13" spans="1:100" ht="15" customHeight="1" x14ac:dyDescent="0.15">
      <c r="A13" s="1678" t="s">
        <v>81</v>
      </c>
      <c r="B13" s="38" t="s">
        <v>82</v>
      </c>
      <c r="C13" s="273">
        <f t="shared" si="4"/>
        <v>5</v>
      </c>
      <c r="D13" s="274">
        <v>0</v>
      </c>
      <c r="E13" s="274">
        <v>2</v>
      </c>
      <c r="F13" s="274">
        <v>0</v>
      </c>
      <c r="G13" s="274">
        <v>2</v>
      </c>
      <c r="H13" s="274">
        <v>0</v>
      </c>
      <c r="I13" s="274">
        <v>0</v>
      </c>
      <c r="J13" s="274">
        <v>0</v>
      </c>
      <c r="K13" s="274">
        <v>1</v>
      </c>
      <c r="L13" s="274">
        <v>0</v>
      </c>
      <c r="M13" s="274">
        <v>0</v>
      </c>
      <c r="N13" s="636"/>
      <c r="O13" s="636"/>
      <c r="P13" s="825"/>
      <c r="Q13" s="1018">
        <v>3</v>
      </c>
      <c r="R13" s="288">
        <v>0</v>
      </c>
      <c r="S13" s="276">
        <v>0</v>
      </c>
      <c r="T13" s="276">
        <v>0</v>
      </c>
      <c r="U13" s="274">
        <v>0</v>
      </c>
      <c r="V13" s="1318"/>
      <c r="W13" s="688">
        <v>0</v>
      </c>
      <c r="X13" s="688">
        <v>0</v>
      </c>
      <c r="Y13" s="1105" t="str">
        <f t="shared" si="5"/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315" t="str">
        <f t="shared" si="6"/>
        <v/>
      </c>
      <c r="CB13" s="1315" t="str">
        <f t="shared" si="7"/>
        <v/>
      </c>
      <c r="CC13" s="1315" t="str">
        <f t="shared" si="8"/>
        <v/>
      </c>
      <c r="CD13" s="1315" t="str">
        <f t="shared" si="9"/>
        <v/>
      </c>
      <c r="CE13" s="1315" t="str">
        <f t="shared" si="0"/>
        <v/>
      </c>
      <c r="CF13" s="1316"/>
      <c r="CG13" s="1315" t="str">
        <f t="shared" si="1"/>
        <v/>
      </c>
      <c r="CH13" s="1315" t="str">
        <f t="shared" si="10"/>
        <v/>
      </c>
      <c r="CO13" s="1048">
        <f t="shared" si="11"/>
        <v>0</v>
      </c>
      <c r="CP13" s="1048">
        <f t="shared" si="12"/>
        <v>0</v>
      </c>
      <c r="CQ13" s="1048">
        <f t="shared" si="13"/>
        <v>0</v>
      </c>
      <c r="CR13" s="1048">
        <f t="shared" si="14"/>
        <v>0</v>
      </c>
      <c r="CS13" s="1048">
        <f t="shared" si="15"/>
        <v>0</v>
      </c>
      <c r="CT13" s="1087"/>
      <c r="CU13" s="1048">
        <f t="shared" si="2"/>
        <v>0</v>
      </c>
      <c r="CV13" s="1048">
        <f t="shared" si="3"/>
        <v>0</v>
      </c>
    </row>
    <row r="14" spans="1:100" ht="15" customHeight="1" x14ac:dyDescent="0.15">
      <c r="A14" s="1691"/>
      <c r="B14" s="39" t="s">
        <v>83</v>
      </c>
      <c r="C14" s="273">
        <f t="shared" si="4"/>
        <v>2</v>
      </c>
      <c r="D14" s="277">
        <v>0</v>
      </c>
      <c r="E14" s="277">
        <v>0</v>
      </c>
      <c r="F14" s="277">
        <v>0</v>
      </c>
      <c r="G14" s="277">
        <v>0</v>
      </c>
      <c r="H14" s="277">
        <v>0</v>
      </c>
      <c r="I14" s="277">
        <v>1</v>
      </c>
      <c r="J14" s="277">
        <v>0</v>
      </c>
      <c r="K14" s="277">
        <v>1</v>
      </c>
      <c r="L14" s="277">
        <v>0</v>
      </c>
      <c r="M14" s="277">
        <v>0</v>
      </c>
      <c r="N14" s="637"/>
      <c r="O14" s="637"/>
      <c r="P14" s="826"/>
      <c r="Q14" s="1018">
        <v>1</v>
      </c>
      <c r="R14" s="310">
        <v>0</v>
      </c>
      <c r="S14" s="280">
        <v>0</v>
      </c>
      <c r="T14" s="280">
        <v>0</v>
      </c>
      <c r="U14" s="274">
        <v>0</v>
      </c>
      <c r="V14" s="933"/>
      <c r="W14" s="311">
        <v>0</v>
      </c>
      <c r="X14" s="311">
        <v>0</v>
      </c>
      <c r="Y14" s="1105" t="str">
        <f t="shared" si="5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315" t="str">
        <f t="shared" si="6"/>
        <v/>
      </c>
      <c r="CB14" s="1315" t="str">
        <f t="shared" si="7"/>
        <v/>
      </c>
      <c r="CC14" s="1315" t="str">
        <f t="shared" si="8"/>
        <v/>
      </c>
      <c r="CD14" s="1315" t="str">
        <f t="shared" si="9"/>
        <v/>
      </c>
      <c r="CE14" s="1315" t="str">
        <f t="shared" si="0"/>
        <v/>
      </c>
      <c r="CF14" s="1316"/>
      <c r="CG14" s="1315" t="str">
        <f t="shared" si="1"/>
        <v/>
      </c>
      <c r="CH14" s="1315" t="str">
        <f t="shared" si="10"/>
        <v/>
      </c>
      <c r="CO14" s="1048">
        <f t="shared" si="11"/>
        <v>0</v>
      </c>
      <c r="CP14" s="1048">
        <f t="shared" si="12"/>
        <v>0</v>
      </c>
      <c r="CQ14" s="1048">
        <f t="shared" si="13"/>
        <v>0</v>
      </c>
      <c r="CR14" s="1048">
        <f t="shared" si="14"/>
        <v>0</v>
      </c>
      <c r="CS14" s="1048">
        <f t="shared" si="15"/>
        <v>0</v>
      </c>
      <c r="CT14" s="1087"/>
      <c r="CU14" s="1048">
        <f t="shared" si="2"/>
        <v>0</v>
      </c>
      <c r="CV14" s="1048">
        <f t="shared" si="3"/>
        <v>0</v>
      </c>
    </row>
    <row r="15" spans="1:100" ht="15" customHeight="1" x14ac:dyDescent="0.15">
      <c r="A15" s="1691"/>
      <c r="B15" s="39" t="s">
        <v>84</v>
      </c>
      <c r="C15" s="273">
        <f t="shared" si="4"/>
        <v>1</v>
      </c>
      <c r="D15" s="277">
        <v>0</v>
      </c>
      <c r="E15" s="277">
        <v>0</v>
      </c>
      <c r="F15" s="277">
        <v>1</v>
      </c>
      <c r="G15" s="277">
        <v>0</v>
      </c>
      <c r="H15" s="277">
        <v>0</v>
      </c>
      <c r="I15" s="277">
        <v>0</v>
      </c>
      <c r="J15" s="277">
        <v>0</v>
      </c>
      <c r="K15" s="277">
        <v>0</v>
      </c>
      <c r="L15" s="277">
        <v>0</v>
      </c>
      <c r="M15" s="277">
        <v>0</v>
      </c>
      <c r="N15" s="637"/>
      <c r="O15" s="637"/>
      <c r="P15" s="826"/>
      <c r="Q15" s="1018">
        <v>0</v>
      </c>
      <c r="R15" s="310">
        <v>0</v>
      </c>
      <c r="S15" s="280">
        <v>0</v>
      </c>
      <c r="T15" s="280">
        <v>0</v>
      </c>
      <c r="U15" s="274">
        <v>0</v>
      </c>
      <c r="V15" s="933"/>
      <c r="W15" s="311">
        <v>0</v>
      </c>
      <c r="X15" s="311">
        <v>0</v>
      </c>
      <c r="Y15" s="1105" t="str">
        <f t="shared" si="5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315" t="str">
        <f t="shared" si="6"/>
        <v/>
      </c>
      <c r="CB15" s="1315" t="str">
        <f t="shared" si="7"/>
        <v/>
      </c>
      <c r="CC15" s="1315" t="str">
        <f t="shared" si="8"/>
        <v/>
      </c>
      <c r="CD15" s="1315" t="str">
        <f t="shared" si="9"/>
        <v/>
      </c>
      <c r="CE15" s="1315" t="str">
        <f t="shared" si="0"/>
        <v/>
      </c>
      <c r="CF15" s="1316"/>
      <c r="CG15" s="1315" t="str">
        <f t="shared" si="1"/>
        <v/>
      </c>
      <c r="CH15" s="1315" t="str">
        <f t="shared" si="10"/>
        <v/>
      </c>
      <c r="CO15" s="1048">
        <f t="shared" si="11"/>
        <v>0</v>
      </c>
      <c r="CP15" s="1048">
        <f t="shared" si="12"/>
        <v>0</v>
      </c>
      <c r="CQ15" s="1048">
        <f t="shared" si="13"/>
        <v>0</v>
      </c>
      <c r="CR15" s="1048">
        <f t="shared" si="14"/>
        <v>0</v>
      </c>
      <c r="CS15" s="1048">
        <f t="shared" si="15"/>
        <v>0</v>
      </c>
      <c r="CT15" s="1087"/>
      <c r="CU15" s="1048">
        <f t="shared" si="2"/>
        <v>0</v>
      </c>
      <c r="CV15" s="1048">
        <f t="shared" si="3"/>
        <v>0</v>
      </c>
    </row>
    <row r="16" spans="1:100" ht="15" customHeight="1" x14ac:dyDescent="0.15">
      <c r="A16" s="1691"/>
      <c r="B16" s="39" t="s">
        <v>85</v>
      </c>
      <c r="C16" s="273">
        <f t="shared" si="4"/>
        <v>4</v>
      </c>
      <c r="D16" s="281">
        <v>0</v>
      </c>
      <c r="E16" s="281">
        <v>0</v>
      </c>
      <c r="F16" s="281">
        <v>0</v>
      </c>
      <c r="G16" s="281">
        <v>0</v>
      </c>
      <c r="H16" s="281">
        <v>0</v>
      </c>
      <c r="I16" s="281">
        <v>2</v>
      </c>
      <c r="J16" s="281">
        <v>1</v>
      </c>
      <c r="K16" s="281">
        <v>1</v>
      </c>
      <c r="L16" s="281">
        <v>0</v>
      </c>
      <c r="M16" s="281">
        <v>0</v>
      </c>
      <c r="N16" s="638"/>
      <c r="O16" s="638"/>
      <c r="P16" s="827"/>
      <c r="Q16" s="1018">
        <v>2</v>
      </c>
      <c r="R16" s="373">
        <v>0</v>
      </c>
      <c r="S16" s="283">
        <v>0</v>
      </c>
      <c r="T16" s="283">
        <v>0</v>
      </c>
      <c r="U16" s="274">
        <v>0</v>
      </c>
      <c r="V16" s="1319"/>
      <c r="W16" s="374">
        <v>0</v>
      </c>
      <c r="X16" s="374">
        <v>0</v>
      </c>
      <c r="Y16" s="1105" t="str">
        <f t="shared" si="5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315" t="str">
        <f t="shared" si="6"/>
        <v/>
      </c>
      <c r="CB16" s="1315" t="str">
        <f t="shared" si="7"/>
        <v/>
      </c>
      <c r="CC16" s="1315" t="str">
        <f t="shared" si="8"/>
        <v/>
      </c>
      <c r="CD16" s="1315" t="str">
        <f t="shared" si="9"/>
        <v/>
      </c>
      <c r="CE16" s="1315" t="str">
        <f t="shared" si="0"/>
        <v/>
      </c>
      <c r="CF16" s="1316"/>
      <c r="CG16" s="1315" t="str">
        <f t="shared" si="1"/>
        <v/>
      </c>
      <c r="CH16" s="1315" t="str">
        <f t="shared" si="10"/>
        <v/>
      </c>
      <c r="CO16" s="1048">
        <f t="shared" si="11"/>
        <v>0</v>
      </c>
      <c r="CP16" s="1048">
        <f t="shared" si="12"/>
        <v>0</v>
      </c>
      <c r="CQ16" s="1048">
        <f t="shared" si="13"/>
        <v>0</v>
      </c>
      <c r="CR16" s="1048">
        <f t="shared" si="14"/>
        <v>0</v>
      </c>
      <c r="CS16" s="1048">
        <f t="shared" si="15"/>
        <v>0</v>
      </c>
      <c r="CT16" s="1087"/>
      <c r="CU16" s="1048">
        <f t="shared" si="2"/>
        <v>0</v>
      </c>
      <c r="CV16" s="1048">
        <f t="shared" si="3"/>
        <v>0</v>
      </c>
    </row>
    <row r="17" spans="1:100" ht="21" customHeight="1" x14ac:dyDescent="0.15">
      <c r="A17" s="1691"/>
      <c r="B17" s="39" t="s">
        <v>86</v>
      </c>
      <c r="C17" s="273">
        <f t="shared" si="4"/>
        <v>3</v>
      </c>
      <c r="D17" s="277">
        <v>0</v>
      </c>
      <c r="E17" s="277">
        <v>0</v>
      </c>
      <c r="F17" s="277">
        <v>2</v>
      </c>
      <c r="G17" s="277">
        <v>0</v>
      </c>
      <c r="H17" s="277">
        <v>0</v>
      </c>
      <c r="I17" s="277">
        <v>1</v>
      </c>
      <c r="J17" s="277">
        <v>0</v>
      </c>
      <c r="K17" s="277">
        <v>0</v>
      </c>
      <c r="L17" s="277">
        <v>0</v>
      </c>
      <c r="M17" s="277">
        <v>0</v>
      </c>
      <c r="N17" s="637"/>
      <c r="O17" s="637"/>
      <c r="P17" s="826"/>
      <c r="Q17" s="297">
        <v>1</v>
      </c>
      <c r="R17" s="310">
        <v>0</v>
      </c>
      <c r="S17" s="280">
        <v>0</v>
      </c>
      <c r="T17" s="280">
        <v>0</v>
      </c>
      <c r="U17" s="277">
        <v>0</v>
      </c>
      <c r="V17" s="933"/>
      <c r="W17" s="311">
        <v>0</v>
      </c>
      <c r="X17" s="311">
        <v>0</v>
      </c>
      <c r="Y17" s="1105" t="str">
        <f t="shared" si="5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315" t="str">
        <f t="shared" si="6"/>
        <v/>
      </c>
      <c r="CB17" s="1315" t="str">
        <f t="shared" si="7"/>
        <v/>
      </c>
      <c r="CC17" s="1315" t="str">
        <f t="shared" si="8"/>
        <v/>
      </c>
      <c r="CD17" s="1315" t="str">
        <f t="shared" si="9"/>
        <v/>
      </c>
      <c r="CE17" s="1315" t="str">
        <f t="shared" si="0"/>
        <v/>
      </c>
      <c r="CF17" s="1316"/>
      <c r="CG17" s="1315" t="str">
        <f t="shared" si="1"/>
        <v/>
      </c>
      <c r="CH17" s="1315" t="str">
        <f t="shared" si="10"/>
        <v/>
      </c>
      <c r="CO17" s="1048">
        <f t="shared" si="11"/>
        <v>0</v>
      </c>
      <c r="CP17" s="1048">
        <f t="shared" si="12"/>
        <v>0</v>
      </c>
      <c r="CQ17" s="1048">
        <f t="shared" si="13"/>
        <v>0</v>
      </c>
      <c r="CR17" s="1048">
        <f t="shared" si="14"/>
        <v>0</v>
      </c>
      <c r="CS17" s="1048">
        <f t="shared" si="15"/>
        <v>0</v>
      </c>
      <c r="CT17" s="1087"/>
      <c r="CU17" s="1048">
        <f t="shared" si="2"/>
        <v>0</v>
      </c>
      <c r="CV17" s="1048">
        <f t="shared" si="3"/>
        <v>0</v>
      </c>
    </row>
    <row r="18" spans="1:100" ht="21" customHeight="1" x14ac:dyDescent="0.15">
      <c r="A18" s="1691"/>
      <c r="B18" s="39" t="s">
        <v>87</v>
      </c>
      <c r="C18" s="301">
        <f t="shared" si="4"/>
        <v>0</v>
      </c>
      <c r="D18" s="277">
        <v>0</v>
      </c>
      <c r="E18" s="277">
        <v>0</v>
      </c>
      <c r="F18" s="277">
        <v>0</v>
      </c>
      <c r="G18" s="277">
        <v>0</v>
      </c>
      <c r="H18" s="277">
        <v>0</v>
      </c>
      <c r="I18" s="277">
        <v>0</v>
      </c>
      <c r="J18" s="277">
        <v>0</v>
      </c>
      <c r="K18" s="277">
        <v>0</v>
      </c>
      <c r="L18" s="277">
        <v>0</v>
      </c>
      <c r="M18" s="277">
        <v>0</v>
      </c>
      <c r="N18" s="637"/>
      <c r="O18" s="637"/>
      <c r="P18" s="826"/>
      <c r="Q18" s="297">
        <v>0</v>
      </c>
      <c r="R18" s="310">
        <v>0</v>
      </c>
      <c r="S18" s="280">
        <v>0</v>
      </c>
      <c r="T18" s="280">
        <v>0</v>
      </c>
      <c r="U18" s="277">
        <v>0</v>
      </c>
      <c r="V18" s="933"/>
      <c r="W18" s="311">
        <v>0</v>
      </c>
      <c r="X18" s="311">
        <v>0</v>
      </c>
      <c r="Y18" s="1105" t="str">
        <f t="shared" si="5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315" t="str">
        <f t="shared" si="6"/>
        <v/>
      </c>
      <c r="CB18" s="1315" t="str">
        <f t="shared" si="7"/>
        <v/>
      </c>
      <c r="CC18" s="1315" t="str">
        <f t="shared" si="8"/>
        <v/>
      </c>
      <c r="CD18" s="1315" t="str">
        <f t="shared" si="9"/>
        <v/>
      </c>
      <c r="CE18" s="1315" t="str">
        <f t="shared" si="0"/>
        <v/>
      </c>
      <c r="CF18" s="1316"/>
      <c r="CG18" s="1315" t="str">
        <f t="shared" si="1"/>
        <v/>
      </c>
      <c r="CH18" s="1315" t="str">
        <f t="shared" si="10"/>
        <v/>
      </c>
      <c r="CO18" s="1048">
        <f t="shared" si="11"/>
        <v>0</v>
      </c>
      <c r="CP18" s="1048">
        <f t="shared" si="12"/>
        <v>0</v>
      </c>
      <c r="CQ18" s="1048">
        <f t="shared" si="13"/>
        <v>0</v>
      </c>
      <c r="CR18" s="1048">
        <f t="shared" si="14"/>
        <v>0</v>
      </c>
      <c r="CS18" s="1048">
        <f t="shared" si="15"/>
        <v>0</v>
      </c>
      <c r="CT18" s="1087"/>
      <c r="CU18" s="1048">
        <f t="shared" si="2"/>
        <v>0</v>
      </c>
      <c r="CV18" s="1048">
        <f t="shared" si="3"/>
        <v>0</v>
      </c>
    </row>
    <row r="19" spans="1:100" ht="15" customHeight="1" x14ac:dyDescent="0.15">
      <c r="A19" s="1679"/>
      <c r="B19" s="834" t="s">
        <v>88</v>
      </c>
      <c r="C19" s="273">
        <f>SUM(D19:M19)</f>
        <v>0</v>
      </c>
      <c r="D19" s="285">
        <v>0</v>
      </c>
      <c r="E19" s="285">
        <v>0</v>
      </c>
      <c r="F19" s="285">
        <v>0</v>
      </c>
      <c r="G19" s="285">
        <v>0</v>
      </c>
      <c r="H19" s="285">
        <v>0</v>
      </c>
      <c r="I19" s="285">
        <v>0</v>
      </c>
      <c r="J19" s="285">
        <v>0</v>
      </c>
      <c r="K19" s="285">
        <v>0</v>
      </c>
      <c r="L19" s="285">
        <v>0</v>
      </c>
      <c r="M19" s="285">
        <v>0</v>
      </c>
      <c r="N19" s="639"/>
      <c r="O19" s="639"/>
      <c r="P19" s="828"/>
      <c r="Q19" s="1019">
        <v>0</v>
      </c>
      <c r="R19" s="750">
        <v>0</v>
      </c>
      <c r="S19" s="287">
        <v>0</v>
      </c>
      <c r="T19" s="287">
        <v>0</v>
      </c>
      <c r="U19" s="285">
        <v>0</v>
      </c>
      <c r="V19" s="1006"/>
      <c r="W19" s="689">
        <v>0</v>
      </c>
      <c r="X19" s="689">
        <v>0</v>
      </c>
      <c r="Y19" s="1105" t="str">
        <f t="shared" si="5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315" t="str">
        <f t="shared" si="6"/>
        <v/>
      </c>
      <c r="CB19" s="1315" t="str">
        <f t="shared" si="7"/>
        <v/>
      </c>
      <c r="CC19" s="1315" t="str">
        <f t="shared" si="8"/>
        <v/>
      </c>
      <c r="CD19" s="1315" t="str">
        <f t="shared" si="9"/>
        <v/>
      </c>
      <c r="CE19" s="1315" t="str">
        <f t="shared" si="0"/>
        <v/>
      </c>
      <c r="CF19" s="1316"/>
      <c r="CG19" s="1315" t="str">
        <f t="shared" si="1"/>
        <v/>
      </c>
      <c r="CH19" s="1315" t="str">
        <f t="shared" si="10"/>
        <v/>
      </c>
      <c r="CO19" s="1048">
        <f t="shared" si="11"/>
        <v>0</v>
      </c>
      <c r="CP19" s="1048">
        <f t="shared" si="12"/>
        <v>0</v>
      </c>
      <c r="CQ19" s="1048">
        <f t="shared" si="13"/>
        <v>0</v>
      </c>
      <c r="CR19" s="1048">
        <f t="shared" si="14"/>
        <v>0</v>
      </c>
      <c r="CS19" s="1048">
        <f t="shared" si="15"/>
        <v>0</v>
      </c>
      <c r="CT19" s="1087"/>
      <c r="CU19" s="1048">
        <f t="shared" si="2"/>
        <v>0</v>
      </c>
      <c r="CV19" s="1048">
        <f t="shared" si="3"/>
        <v>0</v>
      </c>
    </row>
    <row r="20" spans="1:100" ht="15" customHeight="1" x14ac:dyDescent="0.15">
      <c r="A20" s="1658" t="s">
        <v>89</v>
      </c>
      <c r="B20" s="1232" t="s">
        <v>90</v>
      </c>
      <c r="C20" s="260">
        <f>SUM(D20:P20)</f>
        <v>1</v>
      </c>
      <c r="D20" s="262">
        <v>0</v>
      </c>
      <c r="E20" s="262">
        <v>1</v>
      </c>
      <c r="F20" s="262">
        <v>0</v>
      </c>
      <c r="G20" s="262">
        <v>0</v>
      </c>
      <c r="H20" s="262">
        <v>0</v>
      </c>
      <c r="I20" s="262">
        <v>0</v>
      </c>
      <c r="J20" s="262">
        <v>0</v>
      </c>
      <c r="K20" s="262">
        <v>0</v>
      </c>
      <c r="L20" s="262">
        <v>0</v>
      </c>
      <c r="M20" s="262">
        <v>0</v>
      </c>
      <c r="N20" s="636"/>
      <c r="O20" s="636"/>
      <c r="P20" s="825"/>
      <c r="Q20" s="295">
        <v>1</v>
      </c>
      <c r="R20" s="261">
        <v>0</v>
      </c>
      <c r="S20" s="265">
        <v>0</v>
      </c>
      <c r="T20" s="265">
        <v>0</v>
      </c>
      <c r="U20" s="262">
        <v>0</v>
      </c>
      <c r="V20" s="931"/>
      <c r="W20" s="309">
        <v>0</v>
      </c>
      <c r="X20" s="309">
        <v>0</v>
      </c>
      <c r="Y20" s="1105" t="str">
        <f t="shared" si="5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315" t="str">
        <f t="shared" si="6"/>
        <v/>
      </c>
      <c r="CB20" s="1315" t="str">
        <f t="shared" si="7"/>
        <v/>
      </c>
      <c r="CC20" s="1315" t="str">
        <f t="shared" si="8"/>
        <v/>
      </c>
      <c r="CD20" s="1315" t="str">
        <f t="shared" si="9"/>
        <v/>
      </c>
      <c r="CE20" s="1315" t="str">
        <f t="shared" si="0"/>
        <v/>
      </c>
      <c r="CF20" s="1316"/>
      <c r="CG20" s="1315" t="str">
        <f t="shared" si="1"/>
        <v/>
      </c>
      <c r="CH20" s="1315" t="str">
        <f t="shared" si="10"/>
        <v/>
      </c>
      <c r="CO20" s="1048">
        <f t="shared" si="11"/>
        <v>0</v>
      </c>
      <c r="CP20" s="1048">
        <f t="shared" si="12"/>
        <v>0</v>
      </c>
      <c r="CQ20" s="1048">
        <f t="shared" si="13"/>
        <v>0</v>
      </c>
      <c r="CR20" s="1048">
        <f t="shared" si="14"/>
        <v>0</v>
      </c>
      <c r="CS20" s="1048">
        <f t="shared" si="15"/>
        <v>0</v>
      </c>
      <c r="CT20" s="1087"/>
      <c r="CU20" s="1048">
        <f t="shared" si="2"/>
        <v>0</v>
      </c>
      <c r="CV20" s="1048">
        <f t="shared" si="3"/>
        <v>0</v>
      </c>
    </row>
    <row r="21" spans="1:100" ht="15" customHeight="1" x14ac:dyDescent="0.15">
      <c r="A21" s="1659"/>
      <c r="B21" s="1233" t="s">
        <v>91</v>
      </c>
      <c r="C21" s="266">
        <f>SUM(D21:P21)</f>
        <v>0</v>
      </c>
      <c r="D21" s="267">
        <v>0</v>
      </c>
      <c r="E21" s="267">
        <v>0</v>
      </c>
      <c r="F21" s="267">
        <v>0</v>
      </c>
      <c r="G21" s="267">
        <v>0</v>
      </c>
      <c r="H21" s="267">
        <v>0</v>
      </c>
      <c r="I21" s="267">
        <v>0</v>
      </c>
      <c r="J21" s="267">
        <v>0</v>
      </c>
      <c r="K21" s="267">
        <v>0</v>
      </c>
      <c r="L21" s="267">
        <v>0</v>
      </c>
      <c r="M21" s="267">
        <v>0</v>
      </c>
      <c r="N21" s="639"/>
      <c r="O21" s="639"/>
      <c r="P21" s="828"/>
      <c r="Q21" s="1017">
        <v>0</v>
      </c>
      <c r="R21" s="749">
        <v>0</v>
      </c>
      <c r="S21" s="272">
        <v>0</v>
      </c>
      <c r="T21" s="272">
        <v>0</v>
      </c>
      <c r="U21" s="935"/>
      <c r="V21" s="267">
        <v>0</v>
      </c>
      <c r="W21" s="687">
        <v>0</v>
      </c>
      <c r="X21" s="687">
        <v>0</v>
      </c>
      <c r="Y21" s="1105" t="str">
        <f t="shared" si="5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315" t="str">
        <f t="shared" ref="CA21:CA24" si="16">IF(AND($C21&lt;&gt;0,Q21=""),"* No olvide ingresar la variable "&amp;Q$9&amp;""&amp;". Digite CERO si no tiene.",IF(Q21&gt;$C21,"* El Número de Pueblos Originarios no puede superar el Total. ",""))</f>
        <v/>
      </c>
      <c r="CB21" s="1315" t="str">
        <f t="shared" si="7"/>
        <v/>
      </c>
      <c r="CC21" s="1315" t="str">
        <f t="shared" si="8"/>
        <v/>
      </c>
      <c r="CD21" s="1315" t="str">
        <f t="shared" ref="CD21:CD24" si="17">IF(AND($C21&lt;&gt;0,T21=""),"* No olvide ingresar la variable "&amp;T$9&amp;""&amp;". Digite CERO si no tiene.",IF(T21&gt;$C21,"* El Número de PV-VIH (personas viviendo con VIH) no puede superar el Total. ",""))</f>
        <v/>
      </c>
      <c r="CE21" s="1316"/>
      <c r="CF21" s="1315" t="str">
        <f>IF(AND($C21&lt;&gt;0,V21=""),"* No olvide ingresar la variable "&amp;V$10&amp;""&amp;". Digite CERO si no tiene.",IF(V21&gt;$C21,"* El Número de Trans Femenino no puede superar el Total. ",""))</f>
        <v/>
      </c>
      <c r="CG21" s="1315" t="str">
        <f t="shared" si="1"/>
        <v/>
      </c>
      <c r="CH21" s="1315" t="str">
        <f t="shared" si="10"/>
        <v/>
      </c>
      <c r="CO21" s="1048">
        <f t="shared" si="11"/>
        <v>0</v>
      </c>
      <c r="CP21" s="1048">
        <f t="shared" si="12"/>
        <v>0</v>
      </c>
      <c r="CQ21" s="1048">
        <f t="shared" si="13"/>
        <v>0</v>
      </c>
      <c r="CR21" s="1048">
        <f>IF(AND($C21&lt;&gt;0,$T21=""),1,IF($T21&gt;$C21,1,0))</f>
        <v>0</v>
      </c>
      <c r="CS21" s="1087"/>
      <c r="CT21" s="1048">
        <f>IF(AND($C21&lt;&gt;0,V21=""),1,IF(V21&gt;$C21,1,0))</f>
        <v>0</v>
      </c>
      <c r="CU21" s="1048">
        <f t="shared" si="2"/>
        <v>0</v>
      </c>
      <c r="CV21" s="1048">
        <f t="shared" si="3"/>
        <v>0</v>
      </c>
    </row>
    <row r="22" spans="1:100" ht="15" customHeight="1" x14ac:dyDescent="0.15">
      <c r="A22" s="1684" t="s">
        <v>92</v>
      </c>
      <c r="B22" s="1234" t="s">
        <v>90</v>
      </c>
      <c r="C22" s="273">
        <f>SUM(D22:M22)</f>
        <v>0</v>
      </c>
      <c r="D22" s="274">
        <v>0</v>
      </c>
      <c r="E22" s="274">
        <v>0</v>
      </c>
      <c r="F22" s="274">
        <v>0</v>
      </c>
      <c r="G22" s="274">
        <v>0</v>
      </c>
      <c r="H22" s="274">
        <v>0</v>
      </c>
      <c r="I22" s="274">
        <v>0</v>
      </c>
      <c r="J22" s="274">
        <v>0</v>
      </c>
      <c r="K22" s="274">
        <v>0</v>
      </c>
      <c r="L22" s="274">
        <v>0</v>
      </c>
      <c r="M22" s="274">
        <v>0</v>
      </c>
      <c r="N22" s="636"/>
      <c r="O22" s="636"/>
      <c r="P22" s="825"/>
      <c r="Q22" s="1018">
        <v>0</v>
      </c>
      <c r="R22" s="288">
        <v>0</v>
      </c>
      <c r="S22" s="276">
        <v>0</v>
      </c>
      <c r="T22" s="276">
        <v>0</v>
      </c>
      <c r="U22" s="274">
        <v>0</v>
      </c>
      <c r="V22" s="1318"/>
      <c r="W22" s="688">
        <v>0</v>
      </c>
      <c r="X22" s="688">
        <v>0</v>
      </c>
      <c r="Y22" s="1105" t="str">
        <f t="shared" si="5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315" t="str">
        <f t="shared" si="16"/>
        <v/>
      </c>
      <c r="CB22" s="1315" t="str">
        <f t="shared" si="7"/>
        <v/>
      </c>
      <c r="CC22" s="1315" t="str">
        <f t="shared" si="8"/>
        <v/>
      </c>
      <c r="CD22" s="1315" t="str">
        <f t="shared" si="17"/>
        <v/>
      </c>
      <c r="CE22" s="1315" t="str">
        <f>IF(AND($C22&lt;&gt;0,U22=""),"* No olvide ingresar la variable "&amp;U$10&amp;""&amp;". Digite CERO si no tiene.",IF(U22&gt;$C22,"* El Número de Trans masculino no puede superar el Total. ",""))</f>
        <v/>
      </c>
      <c r="CF22" s="1316"/>
      <c r="CG22" s="1315" t="str">
        <f t="shared" si="1"/>
        <v/>
      </c>
      <c r="CH22" s="1315" t="str">
        <f t="shared" si="10"/>
        <v/>
      </c>
      <c r="CO22" s="1048">
        <f t="shared" si="11"/>
        <v>0</v>
      </c>
      <c r="CP22" s="1048">
        <f t="shared" si="12"/>
        <v>0</v>
      </c>
      <c r="CQ22" s="1048">
        <f t="shared" si="13"/>
        <v>0</v>
      </c>
      <c r="CR22" s="1048">
        <f t="shared" si="14"/>
        <v>0</v>
      </c>
      <c r="CS22" s="1048">
        <f t="shared" si="15"/>
        <v>0</v>
      </c>
      <c r="CT22" s="1087"/>
      <c r="CU22" s="1048">
        <f t="shared" si="2"/>
        <v>0</v>
      </c>
      <c r="CV22" s="1048">
        <f t="shared" si="3"/>
        <v>0</v>
      </c>
    </row>
    <row r="23" spans="1:100" ht="15" customHeight="1" x14ac:dyDescent="0.15">
      <c r="A23" s="1685"/>
      <c r="B23" s="1235" t="s">
        <v>91</v>
      </c>
      <c r="C23" s="372">
        <f>SUM(D23:M23)</f>
        <v>0</v>
      </c>
      <c r="D23" s="268">
        <v>0</v>
      </c>
      <c r="E23" s="268">
        <v>0</v>
      </c>
      <c r="F23" s="268">
        <v>0</v>
      </c>
      <c r="G23" s="268">
        <v>0</v>
      </c>
      <c r="H23" s="268">
        <v>0</v>
      </c>
      <c r="I23" s="268">
        <v>0</v>
      </c>
      <c r="J23" s="268">
        <v>0</v>
      </c>
      <c r="K23" s="268">
        <v>0</v>
      </c>
      <c r="L23" s="268">
        <v>0</v>
      </c>
      <c r="M23" s="268">
        <v>0</v>
      </c>
      <c r="N23" s="639"/>
      <c r="O23" s="639"/>
      <c r="P23" s="828"/>
      <c r="Q23" s="1020">
        <v>0</v>
      </c>
      <c r="R23" s="290">
        <v>0</v>
      </c>
      <c r="S23" s="284">
        <v>0</v>
      </c>
      <c r="T23" s="284">
        <v>0</v>
      </c>
      <c r="U23" s="1320"/>
      <c r="V23" s="268">
        <v>0</v>
      </c>
      <c r="W23" s="312">
        <v>0</v>
      </c>
      <c r="X23" s="312">
        <v>0</v>
      </c>
      <c r="Y23" s="1105" t="str">
        <f t="shared" si="5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315" t="str">
        <f t="shared" si="16"/>
        <v/>
      </c>
      <c r="CB23" s="1315" t="str">
        <f t="shared" si="7"/>
        <v/>
      </c>
      <c r="CC23" s="1315" t="str">
        <f t="shared" si="8"/>
        <v/>
      </c>
      <c r="CD23" s="1315" t="str">
        <f t="shared" si="17"/>
        <v/>
      </c>
      <c r="CE23" s="1316"/>
      <c r="CF23" s="1315" t="str">
        <f>IF(AND($C23&lt;&gt;0,V23=""),"* No olvide ingresar la variable "&amp;V$10&amp;""&amp;". Digite CERO si no tiene.",IF(V23&gt;$C23,"* El Número de Trans femenino no puede superar el Total. ",""))</f>
        <v/>
      </c>
      <c r="CG23" s="1315" t="str">
        <f t="shared" si="1"/>
        <v/>
      </c>
      <c r="CH23" s="1315" t="str">
        <f t="shared" si="10"/>
        <v/>
      </c>
      <c r="CO23" s="1048">
        <f t="shared" si="11"/>
        <v>0</v>
      </c>
      <c r="CP23" s="1048">
        <f t="shared" si="12"/>
        <v>0</v>
      </c>
      <c r="CQ23" s="1048">
        <f t="shared" si="13"/>
        <v>0</v>
      </c>
      <c r="CR23" s="1048">
        <f t="shared" si="14"/>
        <v>0</v>
      </c>
      <c r="CS23" s="1087"/>
      <c r="CT23" s="1048">
        <f>IF(AND($C23&lt;&gt;0,V23=""),1,IF(V23&gt;$C23,1,0))</f>
        <v>0</v>
      </c>
      <c r="CU23" s="1048">
        <f t="shared" si="2"/>
        <v>0</v>
      </c>
      <c r="CV23" s="1048">
        <f t="shared" si="3"/>
        <v>0</v>
      </c>
    </row>
    <row r="24" spans="1:100" ht="15" customHeight="1" x14ac:dyDescent="0.15">
      <c r="A24" s="1680" t="s">
        <v>93</v>
      </c>
      <c r="B24" s="1681"/>
      <c r="C24" s="1294">
        <f>SUM(D23:M23)</f>
        <v>0</v>
      </c>
      <c r="D24" s="285">
        <v>0</v>
      </c>
      <c r="E24" s="285">
        <v>0</v>
      </c>
      <c r="F24" s="285">
        <v>0</v>
      </c>
      <c r="G24" s="285">
        <v>0</v>
      </c>
      <c r="H24" s="285">
        <v>0</v>
      </c>
      <c r="I24" s="285">
        <v>0</v>
      </c>
      <c r="J24" s="285">
        <v>0</v>
      </c>
      <c r="K24" s="285">
        <v>0</v>
      </c>
      <c r="L24" s="285">
        <v>0</v>
      </c>
      <c r="M24" s="285">
        <v>0</v>
      </c>
      <c r="N24" s="1005"/>
      <c r="O24" s="1006"/>
      <c r="P24" s="1007"/>
      <c r="Q24" s="1019">
        <v>0</v>
      </c>
      <c r="R24" s="750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105" t="str">
        <f t="shared" si="5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315" t="str">
        <f t="shared" si="16"/>
        <v/>
      </c>
      <c r="CB24" s="1315" t="str">
        <f t="shared" si="7"/>
        <v/>
      </c>
      <c r="CC24" s="1315" t="str">
        <f t="shared" si="8"/>
        <v/>
      </c>
      <c r="CD24" s="1315" t="str">
        <f t="shared" si="17"/>
        <v/>
      </c>
      <c r="CE24" s="1315" t="str">
        <f>IF(AND($C24&lt;&gt;0,U24=""),"* No olvide ingresar la variable "&amp;U$10&amp;""&amp;". Digite CERO si no tiene.",IF(U24&gt;$C24,"* El Número de Trans masculino no puede superar el Total. ",""))</f>
        <v/>
      </c>
      <c r="CF24" s="1315" t="str">
        <f>IF(AND($C24&lt;&gt;0,V24=""),"* No olvide ingresar la variable "&amp;V$10&amp;""&amp;". Digite CERO si no tiene.",IF(V24&gt;$C24,"* El Número de Trans femenino no puede superar el Total. ",""))</f>
        <v/>
      </c>
      <c r="CG24" s="1315" t="str">
        <f t="shared" si="1"/>
        <v/>
      </c>
      <c r="CH24" s="1315" t="str">
        <f t="shared" si="10"/>
        <v/>
      </c>
      <c r="CO24" s="1048">
        <f t="shared" si="11"/>
        <v>0</v>
      </c>
      <c r="CP24" s="1048">
        <f t="shared" si="12"/>
        <v>0</v>
      </c>
      <c r="CQ24" s="1048">
        <f t="shared" si="13"/>
        <v>0</v>
      </c>
      <c r="CR24" s="1048">
        <f t="shared" si="14"/>
        <v>0</v>
      </c>
      <c r="CS24" s="1048">
        <f t="shared" si="15"/>
        <v>0</v>
      </c>
      <c r="CT24" s="1048">
        <f>IF(AND($C24&lt;&gt;0,V24=""),1,IF(V24&gt;$C24,1,0))</f>
        <v>0</v>
      </c>
      <c r="CU24" s="1048">
        <f t="shared" si="2"/>
        <v>0</v>
      </c>
      <c r="CV24" s="1048">
        <f t="shared" si="3"/>
        <v>0</v>
      </c>
    </row>
    <row r="25" spans="1:100" ht="15" customHeight="1" thickBot="1" x14ac:dyDescent="0.2">
      <c r="A25" s="1669" t="s">
        <v>94</v>
      </c>
      <c r="B25" s="1670"/>
      <c r="C25" s="1356">
        <f>SUM(D25:P25)</f>
        <v>16</v>
      </c>
      <c r="D25" s="1357">
        <f>SUM(D11:D24)</f>
        <v>0</v>
      </c>
      <c r="E25" s="1358">
        <f t="shared" ref="E25:M25" si="18">SUM(E11:E24)</f>
        <v>3</v>
      </c>
      <c r="F25" s="1358">
        <f t="shared" si="18"/>
        <v>3</v>
      </c>
      <c r="G25" s="1358">
        <f t="shared" si="18"/>
        <v>2</v>
      </c>
      <c r="H25" s="1358">
        <f t="shared" si="18"/>
        <v>0</v>
      </c>
      <c r="I25" s="1358">
        <f t="shared" si="18"/>
        <v>4</v>
      </c>
      <c r="J25" s="1358">
        <f t="shared" si="18"/>
        <v>1</v>
      </c>
      <c r="K25" s="1358">
        <f t="shared" si="18"/>
        <v>3</v>
      </c>
      <c r="L25" s="1358">
        <f t="shared" si="18"/>
        <v>0</v>
      </c>
      <c r="M25" s="1358">
        <f t="shared" si="18"/>
        <v>0</v>
      </c>
      <c r="N25" s="830"/>
      <c r="O25" s="831"/>
      <c r="P25" s="832"/>
      <c r="Q25" s="1021">
        <f t="shared" ref="Q25" si="19">SUM(Q11:Q24)</f>
        <v>8</v>
      </c>
      <c r="R25" s="1026">
        <f t="shared" ref="R25:S25" si="20">SUM(R11:R24)</f>
        <v>0</v>
      </c>
      <c r="S25" s="817">
        <f t="shared" si="20"/>
        <v>0</v>
      </c>
      <c r="T25" s="817">
        <f t="shared" ref="T25" si="21">SUM(T11:T24)</f>
        <v>0</v>
      </c>
      <c r="U25" s="816">
        <f t="shared" ref="U25" si="22">SUM(U11:U24)</f>
        <v>0</v>
      </c>
      <c r="V25" s="816">
        <f t="shared" ref="V25" si="23">SUM(V11:V24)</f>
        <v>0</v>
      </c>
      <c r="W25" s="817">
        <f>SUM(W11:W24)</f>
        <v>0</v>
      </c>
      <c r="X25" s="817">
        <f t="shared" ref="X25" si="24">SUM(X11:X24)</f>
        <v>0</v>
      </c>
      <c r="Y25" s="1105"/>
      <c r="Z25" s="107"/>
      <c r="AA25" s="107"/>
      <c r="AB25" s="107"/>
      <c r="AC25" s="172"/>
      <c r="BJ25" s="176"/>
      <c r="BK25" s="176"/>
      <c r="BL25" s="176"/>
      <c r="BM25" s="176"/>
      <c r="BN25" s="176"/>
      <c r="CA25" s="1317"/>
      <c r="CB25" s="1317"/>
      <c r="CC25" s="1317"/>
      <c r="CD25" s="1317"/>
      <c r="CE25" s="1317"/>
      <c r="CF25" s="1105"/>
      <c r="CG25" s="1105"/>
      <c r="CH25" s="1105"/>
    </row>
    <row r="26" spans="1:100" ht="15" customHeight="1" thickTop="1" x14ac:dyDescent="0.15">
      <c r="A26" s="1673" t="s">
        <v>95</v>
      </c>
      <c r="B26" s="1674"/>
      <c r="C26" s="291">
        <f>SUM(D26:P26)</f>
        <v>1</v>
      </c>
      <c r="D26" s="829">
        <v>0</v>
      </c>
      <c r="E26" s="292">
        <v>0</v>
      </c>
      <c r="F26" s="292">
        <v>0</v>
      </c>
      <c r="G26" s="292">
        <v>0</v>
      </c>
      <c r="H26" s="292">
        <v>0</v>
      </c>
      <c r="I26" s="292">
        <v>0</v>
      </c>
      <c r="J26" s="292">
        <v>0</v>
      </c>
      <c r="K26" s="292">
        <v>1</v>
      </c>
      <c r="L26" s="293">
        <v>0</v>
      </c>
      <c r="M26" s="293">
        <v>0</v>
      </c>
      <c r="N26" s="635"/>
      <c r="O26" s="635"/>
      <c r="P26" s="271"/>
      <c r="Q26" s="1017">
        <v>1</v>
      </c>
      <c r="R26" s="749">
        <v>0</v>
      </c>
      <c r="S26" s="272">
        <v>0</v>
      </c>
      <c r="T26" s="272">
        <v>0</v>
      </c>
      <c r="U26" s="267">
        <v>0</v>
      </c>
      <c r="V26" s="935"/>
      <c r="W26" s="687">
        <v>0</v>
      </c>
      <c r="X26" s="687">
        <v>0</v>
      </c>
      <c r="Y26" s="1105" t="str">
        <f t="shared" si="5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315" t="str">
        <f>IF(AND($C26&lt;&gt;0,Q26=""),"* No olvide ingresar la variable "&amp;Q$9&amp;""&amp;". Digite CERO si no tiene.",IF(Q26&gt;$C26,"* El Número de Pueblos Originarios no puede superar el Total. ",""))</f>
        <v/>
      </c>
      <c r="CB26" s="1315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315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315" t="str">
        <f>IF(AND($C26&lt;&gt;0,T26=""),"* No olvide ingresar la variable "&amp;T$9&amp;""&amp;". Digite CERO si no tiene.",IF(T26&gt;$C26,"* El Número de PV-VIH (personas viviendo con VIH) no puede superar el Total. ",""))</f>
        <v/>
      </c>
      <c r="CE26" s="1315" t="str">
        <f>IF(AND($C26&lt;&gt;0,U26=""),"* No olvide ingresar la variable "&amp;U$10&amp;""&amp;". Digite CERO si no tiene.",IF(U26&gt;$C26,"* El Número de Trans masculino no puede superar el Total. ",""))</f>
        <v/>
      </c>
      <c r="CF26" s="1316"/>
      <c r="CG26" s="1315" t="str">
        <f t="shared" ref="CG26:CG31" si="25">IF(AND($C26&lt;&gt;0,W26=""),"* No olvide ingresar la variable "&amp;W$10&amp;""&amp;". Digite CERO si no tiene.",IF(W26&gt;$C26,"* El Número de No Binarie no puede superar el Total. ",""))</f>
        <v/>
      </c>
      <c r="CH26" s="1315" t="str">
        <f t="shared" si="10"/>
        <v/>
      </c>
      <c r="CO26" s="1048">
        <f t="shared" si="11"/>
        <v>0</v>
      </c>
      <c r="CP26" s="1048">
        <f t="shared" si="12"/>
        <v>0</v>
      </c>
      <c r="CQ26" s="1048">
        <f t="shared" si="13"/>
        <v>0</v>
      </c>
      <c r="CR26" s="1048">
        <f t="shared" si="14"/>
        <v>0</v>
      </c>
      <c r="CS26" s="1048">
        <f t="shared" si="15"/>
        <v>0</v>
      </c>
      <c r="CT26" s="1087"/>
      <c r="CU26" s="1048">
        <f t="shared" ref="CU26:CV30" si="26">IF(AND($C26&lt;&gt;0,W26=""),1,IF(W26&gt;$C26,1,0))</f>
        <v>0</v>
      </c>
      <c r="CV26" s="1048">
        <f t="shared" si="26"/>
        <v>0</v>
      </c>
    </row>
    <row r="27" spans="1:100" ht="15" customHeight="1" x14ac:dyDescent="0.15">
      <c r="A27" s="1691" t="s">
        <v>96</v>
      </c>
      <c r="B27" s="835" t="s">
        <v>97</v>
      </c>
      <c r="C27" s="273">
        <f>SUM(D27:M27)</f>
        <v>0</v>
      </c>
      <c r="D27" s="288">
        <v>0</v>
      </c>
      <c r="E27" s="275">
        <v>0</v>
      </c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v>0</v>
      </c>
      <c r="M27" s="275">
        <v>0</v>
      </c>
      <c r="N27" s="636"/>
      <c r="O27" s="636"/>
      <c r="P27" s="825"/>
      <c r="Q27" s="1022">
        <v>0</v>
      </c>
      <c r="R27" s="1027">
        <v>0</v>
      </c>
      <c r="S27" s="1028">
        <v>0</v>
      </c>
      <c r="T27" s="810">
        <v>0</v>
      </c>
      <c r="U27" s="818">
        <v>0</v>
      </c>
      <c r="V27" s="1321"/>
      <c r="W27" s="810">
        <v>0</v>
      </c>
      <c r="X27" s="810">
        <v>0</v>
      </c>
      <c r="Y27" s="1105" t="str">
        <f t="shared" si="5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315" t="str">
        <f t="shared" ref="CA27:CA29" si="27">IF(AND($C27&lt;&gt;0,Q27=""),"* No olvide ingresar la variable "&amp;Q$9&amp;""&amp;". Digite CERO si no tiene.",IF(Q27&gt;$C27,"* El Número de Pueblos Originarios no puede superar el Total. ",""))</f>
        <v/>
      </c>
      <c r="CB27" s="1315" t="str">
        <f t="shared" si="7"/>
        <v/>
      </c>
      <c r="CC27" s="1315" t="str">
        <f t="shared" ref="CC27:CC31" si="28">IF(AND($C27&gt;0,S27=""),"* No olvide ingresar la variable "&amp;R$9&amp;""&amp;" 20 años y más. Digite CERO si no tiene.",IF(S27&gt;$C27,"* El Número de Migrantes 20 años y más no puede superar el Total. ",""))</f>
        <v/>
      </c>
      <c r="CD27" s="1315" t="str">
        <f t="shared" ref="CD27:CD30" si="29">IF(AND($C27&lt;&gt;0,T27=""),"* No olvide ingresar la variable "&amp;T$9&amp;""&amp;". Digite CERO si no tiene.",IF(T27&gt;$C27,"* El Número de PV-VIH (personas viviendo con VIH) no puede superar el Total. ",""))</f>
        <v/>
      </c>
      <c r="CE27" s="1315" t="str">
        <f t="shared" ref="CE27:CE30" si="30">IF(AND($C27&lt;&gt;0,U27=""),"* No olvide ingresar la variable "&amp;U$10&amp;""&amp;". Digite CERO si no tiene.",IF(U27&gt;$C27,"* El Número de Trans masculino no puede superar el Total. ",""))</f>
        <v/>
      </c>
      <c r="CF27" s="1316"/>
      <c r="CG27" s="1315" t="str">
        <f t="shared" si="25"/>
        <v/>
      </c>
      <c r="CH27" s="1315" t="str">
        <f t="shared" si="10"/>
        <v/>
      </c>
      <c r="CO27" s="1048">
        <f t="shared" si="11"/>
        <v>0</v>
      </c>
      <c r="CP27" s="1048">
        <f t="shared" si="12"/>
        <v>0</v>
      </c>
      <c r="CQ27" s="1048">
        <f t="shared" si="13"/>
        <v>0</v>
      </c>
      <c r="CR27" s="1048">
        <f t="shared" si="14"/>
        <v>0</v>
      </c>
      <c r="CS27" s="1048">
        <f>IF(AND($C27&lt;&gt;0,$U27=""),1,IF($U27&gt;$C27,1,0))</f>
        <v>0</v>
      </c>
      <c r="CT27" s="1087"/>
      <c r="CU27" s="1048">
        <f t="shared" si="26"/>
        <v>0</v>
      </c>
      <c r="CV27" s="1048">
        <f t="shared" si="26"/>
        <v>0</v>
      </c>
    </row>
    <row r="28" spans="1:100" ht="15" customHeight="1" x14ac:dyDescent="0.15">
      <c r="A28" s="1679"/>
      <c r="B28" s="836" t="s">
        <v>98</v>
      </c>
      <c r="C28" s="266">
        <f t="shared" ref="C28:C30" si="31">SUM(D28:M28)</f>
        <v>0</v>
      </c>
      <c r="D28" s="749">
        <v>0</v>
      </c>
      <c r="E28" s="270">
        <v>0</v>
      </c>
      <c r="F28" s="270">
        <v>0</v>
      </c>
      <c r="G28" s="270">
        <v>0</v>
      </c>
      <c r="H28" s="270">
        <v>0</v>
      </c>
      <c r="I28" s="270">
        <v>0</v>
      </c>
      <c r="J28" s="270">
        <v>0</v>
      </c>
      <c r="K28" s="270">
        <v>0</v>
      </c>
      <c r="L28" s="270">
        <v>0</v>
      </c>
      <c r="M28" s="270">
        <v>0</v>
      </c>
      <c r="N28" s="635"/>
      <c r="O28" s="635"/>
      <c r="P28" s="271"/>
      <c r="Q28" s="1023">
        <v>0</v>
      </c>
      <c r="R28" s="1010">
        <v>0</v>
      </c>
      <c r="S28" s="1029">
        <v>0</v>
      </c>
      <c r="T28" s="813">
        <v>0</v>
      </c>
      <c r="U28" s="819">
        <v>0</v>
      </c>
      <c r="V28" s="1322"/>
      <c r="W28" s="813">
        <v>0</v>
      </c>
      <c r="X28" s="813">
        <v>0</v>
      </c>
      <c r="Y28" s="1105" t="str">
        <f t="shared" si="5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315" t="str">
        <f t="shared" si="27"/>
        <v/>
      </c>
      <c r="CB28" s="1315" t="str">
        <f t="shared" si="7"/>
        <v/>
      </c>
      <c r="CC28" s="1315" t="str">
        <f t="shared" si="28"/>
        <v/>
      </c>
      <c r="CD28" s="1315" t="str">
        <f t="shared" si="29"/>
        <v/>
      </c>
      <c r="CE28" s="1315" t="str">
        <f t="shared" si="30"/>
        <v/>
      </c>
      <c r="CF28" s="1316"/>
      <c r="CG28" s="1315" t="str">
        <f t="shared" si="25"/>
        <v/>
      </c>
      <c r="CH28" s="1315" t="str">
        <f t="shared" si="10"/>
        <v/>
      </c>
      <c r="CO28" s="1048">
        <f t="shared" si="11"/>
        <v>0</v>
      </c>
      <c r="CP28" s="1048">
        <f t="shared" si="12"/>
        <v>0</v>
      </c>
      <c r="CQ28" s="1048">
        <f t="shared" si="13"/>
        <v>0</v>
      </c>
      <c r="CR28" s="1048">
        <f t="shared" si="14"/>
        <v>0</v>
      </c>
      <c r="CS28" s="1048">
        <f t="shared" si="15"/>
        <v>0</v>
      </c>
      <c r="CT28" s="1087"/>
      <c r="CU28" s="1048">
        <f t="shared" si="26"/>
        <v>0</v>
      </c>
      <c r="CV28" s="1048">
        <f t="shared" si="26"/>
        <v>0</v>
      </c>
    </row>
    <row r="29" spans="1:100" ht="15" customHeight="1" x14ac:dyDescent="0.15">
      <c r="A29" s="1678" t="s">
        <v>99</v>
      </c>
      <c r="B29" s="837" t="s">
        <v>97</v>
      </c>
      <c r="C29" s="260">
        <f t="shared" si="31"/>
        <v>0</v>
      </c>
      <c r="D29" s="261">
        <v>0</v>
      </c>
      <c r="E29" s="263">
        <v>0</v>
      </c>
      <c r="F29" s="263">
        <v>0</v>
      </c>
      <c r="G29" s="263">
        <v>0</v>
      </c>
      <c r="H29" s="263">
        <v>0</v>
      </c>
      <c r="I29" s="263">
        <v>0</v>
      </c>
      <c r="J29" s="263">
        <v>0</v>
      </c>
      <c r="K29" s="263">
        <v>0</v>
      </c>
      <c r="L29" s="263">
        <v>0</v>
      </c>
      <c r="M29" s="263">
        <v>0</v>
      </c>
      <c r="N29" s="634"/>
      <c r="O29" s="634"/>
      <c r="P29" s="824"/>
      <c r="Q29" s="1024">
        <v>0</v>
      </c>
      <c r="R29" s="1030">
        <v>0</v>
      </c>
      <c r="S29" s="1031">
        <v>0</v>
      </c>
      <c r="T29" s="814">
        <v>0</v>
      </c>
      <c r="U29" s="820">
        <v>0</v>
      </c>
      <c r="V29" s="1323"/>
      <c r="W29" s="814">
        <v>0</v>
      </c>
      <c r="X29" s="814">
        <v>0</v>
      </c>
      <c r="Y29" s="1105" t="str">
        <f t="shared" si="5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315" t="str">
        <f t="shared" si="27"/>
        <v/>
      </c>
      <c r="CB29" s="1315" t="str">
        <f t="shared" si="7"/>
        <v/>
      </c>
      <c r="CC29" s="1315" t="str">
        <f t="shared" si="28"/>
        <v/>
      </c>
      <c r="CD29" s="1315" t="str">
        <f t="shared" si="29"/>
        <v/>
      </c>
      <c r="CE29" s="1315" t="str">
        <f t="shared" si="30"/>
        <v/>
      </c>
      <c r="CF29" s="1316"/>
      <c r="CG29" s="1315" t="str">
        <f t="shared" si="25"/>
        <v/>
      </c>
      <c r="CH29" s="1315" t="str">
        <f t="shared" si="10"/>
        <v/>
      </c>
      <c r="CO29" s="1048">
        <f t="shared" si="11"/>
        <v>0</v>
      </c>
      <c r="CP29" s="1048">
        <f t="shared" si="12"/>
        <v>0</v>
      </c>
      <c r="CQ29" s="1048">
        <f t="shared" si="13"/>
        <v>0</v>
      </c>
      <c r="CR29" s="1048">
        <f t="shared" si="14"/>
        <v>0</v>
      </c>
      <c r="CS29" s="1048">
        <f t="shared" si="15"/>
        <v>0</v>
      </c>
      <c r="CT29" s="1087"/>
      <c r="CU29" s="1048">
        <f t="shared" si="26"/>
        <v>0</v>
      </c>
      <c r="CV29" s="1048">
        <f t="shared" si="26"/>
        <v>0</v>
      </c>
    </row>
    <row r="30" spans="1:100" ht="15" customHeight="1" x14ac:dyDescent="0.15">
      <c r="A30" s="1679"/>
      <c r="B30" s="836" t="s">
        <v>98</v>
      </c>
      <c r="C30" s="266">
        <f t="shared" si="31"/>
        <v>0</v>
      </c>
      <c r="D30" s="749">
        <v>0</v>
      </c>
      <c r="E30" s="270">
        <v>0</v>
      </c>
      <c r="F30" s="270">
        <v>0</v>
      </c>
      <c r="G30" s="270">
        <v>0</v>
      </c>
      <c r="H30" s="270">
        <v>0</v>
      </c>
      <c r="I30" s="270">
        <v>0</v>
      </c>
      <c r="J30" s="270">
        <v>0</v>
      </c>
      <c r="K30" s="270">
        <v>0</v>
      </c>
      <c r="L30" s="270">
        <v>0</v>
      </c>
      <c r="M30" s="270">
        <v>0</v>
      </c>
      <c r="N30" s="635"/>
      <c r="O30" s="635"/>
      <c r="P30" s="271"/>
      <c r="Q30" s="1023">
        <v>0</v>
      </c>
      <c r="R30" s="1010">
        <v>0</v>
      </c>
      <c r="S30" s="1029">
        <v>0</v>
      </c>
      <c r="T30" s="813">
        <v>0</v>
      </c>
      <c r="U30" s="819">
        <v>0</v>
      </c>
      <c r="V30" s="1322"/>
      <c r="W30" s="813">
        <v>0</v>
      </c>
      <c r="X30" s="813">
        <v>0</v>
      </c>
      <c r="Y30" s="1105" t="str">
        <f t="shared" si="5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315" t="str">
        <f>IF(AND($C30&lt;&gt;0,Q30=""),"* No olvide ingresar la variable "&amp;Q$9&amp;""&amp;". Digite CERO si no tiene.",IF(Q30&gt;$C30,"* El Número de Pueblos Originarios no puede superar el Total. ",""))</f>
        <v/>
      </c>
      <c r="CB30" s="1315" t="str">
        <f t="shared" si="7"/>
        <v/>
      </c>
      <c r="CC30" s="1315" t="str">
        <f t="shared" si="28"/>
        <v/>
      </c>
      <c r="CD30" s="1315" t="str">
        <f t="shared" si="29"/>
        <v/>
      </c>
      <c r="CE30" s="1315" t="str">
        <f t="shared" si="30"/>
        <v/>
      </c>
      <c r="CF30" s="1316"/>
      <c r="CG30" s="1315" t="str">
        <f t="shared" si="25"/>
        <v/>
      </c>
      <c r="CH30" s="1315" t="str">
        <f t="shared" si="10"/>
        <v/>
      </c>
      <c r="CO30" s="1048">
        <f t="shared" si="11"/>
        <v>0</v>
      </c>
      <c r="CP30" s="1048">
        <f t="shared" si="12"/>
        <v>0</v>
      </c>
      <c r="CQ30" s="1048">
        <f t="shared" si="13"/>
        <v>0</v>
      </c>
      <c r="CR30" s="1048">
        <f t="shared" si="14"/>
        <v>0</v>
      </c>
      <c r="CS30" s="1048">
        <f t="shared" si="15"/>
        <v>0</v>
      </c>
      <c r="CT30" s="1087"/>
      <c r="CU30" s="1048">
        <f t="shared" si="26"/>
        <v>0</v>
      </c>
      <c r="CV30" s="1048">
        <f t="shared" si="26"/>
        <v>0</v>
      </c>
    </row>
    <row r="31" spans="1:100" ht="15" customHeight="1" x14ac:dyDescent="0.15">
      <c r="A31" s="1671" t="s">
        <v>100</v>
      </c>
      <c r="B31" s="1672"/>
      <c r="C31" s="1359">
        <f>SUM(D31:M31)</f>
        <v>0</v>
      </c>
      <c r="D31" s="1360">
        <v>0</v>
      </c>
      <c r="E31" s="811">
        <v>0</v>
      </c>
      <c r="F31" s="811">
        <v>0</v>
      </c>
      <c r="G31" s="811">
        <v>0</v>
      </c>
      <c r="H31" s="811">
        <v>0</v>
      </c>
      <c r="I31" s="811">
        <v>0</v>
      </c>
      <c r="J31" s="811">
        <v>0</v>
      </c>
      <c r="K31" s="811">
        <v>0</v>
      </c>
      <c r="L31" s="811">
        <v>0</v>
      </c>
      <c r="M31" s="811">
        <v>0</v>
      </c>
      <c r="N31" s="812"/>
      <c r="O31" s="812"/>
      <c r="P31" s="1361"/>
      <c r="Q31" s="1025">
        <v>0</v>
      </c>
      <c r="R31" s="1360">
        <v>0</v>
      </c>
      <c r="S31" s="1362">
        <v>0</v>
      </c>
      <c r="T31" s="1362">
        <v>0</v>
      </c>
      <c r="U31" s="1363">
        <v>0</v>
      </c>
      <c r="V31" s="1364"/>
      <c r="W31" s="815">
        <v>0</v>
      </c>
      <c r="X31" s="815">
        <v>0</v>
      </c>
      <c r="Y31" s="1105" t="str">
        <f t="shared" si="5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315" t="str">
        <f>IF(AND($C31&lt;&gt;0,Q31=""),"* No olvide ingresar la variable "&amp;Q$9&amp;""&amp;". Digite CERO si no tiene.",IF(Q31&gt;$C31,"* El Número de Pueblos Originarios no puede superar el Total. ",""))</f>
        <v/>
      </c>
      <c r="CB31" s="1315" t="str">
        <f t="shared" si="7"/>
        <v/>
      </c>
      <c r="CC31" s="1315" t="str">
        <f t="shared" si="28"/>
        <v/>
      </c>
      <c r="CD31" s="1315" t="str">
        <f t="shared" ref="CD31" si="32">IF(AND($C31&lt;&gt;0,T31=""),"* No olvide ingresar la variable "&amp;T$9&amp;""&amp;". Digite CERO si no tiene.",IF(T31&gt;$C31,"* El Número de PV-VIH (personas viviendo con VIH) no puede superar el Total. ",""))</f>
        <v/>
      </c>
      <c r="CE31" s="1315" t="str">
        <f t="shared" ref="CE31" si="33">IF(AND($C31&lt;&gt;0,U31=""),"* No olvide ingresar la variable "&amp;U$10&amp;""&amp;". Digite CERO si no tiene.",IF(U31&gt;$C31,"* El Número de Trans masculino no puede superar el Total. ",""))</f>
        <v/>
      </c>
      <c r="CF31" s="1316"/>
      <c r="CG31" s="1315" t="str">
        <f t="shared" si="25"/>
        <v/>
      </c>
      <c r="CH31" s="1315" t="str">
        <f t="shared" ref="CH31" si="34">IF(AND($C31&lt;&gt;0,X31=""),"* No olvide ingresar la variable "&amp;X$9&amp;""&amp;". Digite CERO si no tiene.",IF(X31&gt;$C31,"* El Número de Personas con discapacidad no puede superar el Total. ",""))</f>
        <v/>
      </c>
    </row>
    <row r="32" spans="1:100" ht="17.100000000000001" customHeight="1" x14ac:dyDescent="0.15">
      <c r="A32" s="1610" t="s">
        <v>101</v>
      </c>
      <c r="B32" s="1611"/>
      <c r="C32" s="1611"/>
      <c r="D32" s="1611"/>
      <c r="E32" s="1611"/>
      <c r="F32" s="1611"/>
      <c r="G32" s="1611"/>
      <c r="H32" s="1611"/>
      <c r="I32" s="1611"/>
      <c r="J32" s="1611"/>
      <c r="K32" s="1611"/>
      <c r="L32" s="1611"/>
      <c r="M32" s="1611"/>
      <c r="N32" s="1366"/>
      <c r="O32" s="1366"/>
      <c r="P32" s="1366"/>
      <c r="Q32" s="1366"/>
      <c r="R32" s="1366"/>
      <c r="S32" s="1366"/>
      <c r="Y32" s="107"/>
    </row>
    <row r="33" spans="1:100" ht="15" customHeight="1" x14ac:dyDescent="0.15">
      <c r="A33" s="1623" t="s">
        <v>53</v>
      </c>
      <c r="B33" s="1624"/>
      <c r="C33" s="1692" t="s">
        <v>54</v>
      </c>
      <c r="D33" s="1675" t="s">
        <v>55</v>
      </c>
      <c r="E33" s="1676"/>
      <c r="F33" s="1676"/>
      <c r="G33" s="1676"/>
      <c r="H33" s="1676"/>
      <c r="I33" s="1676"/>
      <c r="J33" s="1676"/>
      <c r="K33" s="1676"/>
      <c r="L33" s="1676"/>
      <c r="M33" s="1676"/>
      <c r="N33" s="1676"/>
      <c r="O33" s="1676"/>
      <c r="P33" s="1677"/>
      <c r="Q33" s="1629" t="s">
        <v>56</v>
      </c>
      <c r="R33" s="1651" t="s">
        <v>57</v>
      </c>
      <c r="S33" s="1653"/>
      <c r="T33" s="1656" t="s">
        <v>58</v>
      </c>
      <c r="U33" s="1651" t="s">
        <v>59</v>
      </c>
      <c r="V33" s="1652"/>
      <c r="W33" s="1653"/>
      <c r="X33" s="1658" t="s">
        <v>60</v>
      </c>
      <c r="Y33" s="107"/>
      <c r="BJ33" s="176"/>
    </row>
    <row r="34" spans="1:100" ht="24" customHeight="1" x14ac:dyDescent="0.15">
      <c r="A34" s="1625"/>
      <c r="B34" s="1626"/>
      <c r="C34" s="1693"/>
      <c r="D34" s="1353" t="s">
        <v>61</v>
      </c>
      <c r="E34" s="821" t="s">
        <v>62</v>
      </c>
      <c r="F34" s="821" t="s">
        <v>63</v>
      </c>
      <c r="G34" s="822" t="s">
        <v>64</v>
      </c>
      <c r="H34" s="822" t="s">
        <v>65</v>
      </c>
      <c r="I34" s="822" t="s">
        <v>66</v>
      </c>
      <c r="J34" s="822" t="s">
        <v>67</v>
      </c>
      <c r="K34" s="822" t="s">
        <v>68</v>
      </c>
      <c r="L34" s="822" t="s">
        <v>69</v>
      </c>
      <c r="M34" s="1008" t="s">
        <v>70</v>
      </c>
      <c r="N34" s="822" t="s">
        <v>71</v>
      </c>
      <c r="O34" s="822" t="s">
        <v>72</v>
      </c>
      <c r="P34" s="124" t="s">
        <v>73</v>
      </c>
      <c r="Q34" s="1630"/>
      <c r="R34" s="1227" t="s">
        <v>74</v>
      </c>
      <c r="S34" s="1225" t="s">
        <v>75</v>
      </c>
      <c r="T34" s="1657"/>
      <c r="U34" s="1355" t="s">
        <v>76</v>
      </c>
      <c r="V34" s="1228" t="s">
        <v>77</v>
      </c>
      <c r="W34" s="1236" t="s">
        <v>78</v>
      </c>
      <c r="X34" s="1659"/>
      <c r="Y34" s="107"/>
      <c r="BJ34" s="176"/>
    </row>
    <row r="35" spans="1:100" ht="15" customHeight="1" x14ac:dyDescent="0.15">
      <c r="A35" s="1619" t="s">
        <v>102</v>
      </c>
      <c r="B35" s="38" t="s">
        <v>90</v>
      </c>
      <c r="C35" s="260">
        <f>SUM(D35:P35)</f>
        <v>1</v>
      </c>
      <c r="D35" s="261">
        <v>0</v>
      </c>
      <c r="E35" s="263">
        <v>0</v>
      </c>
      <c r="F35" s="263">
        <v>0</v>
      </c>
      <c r="G35" s="263">
        <v>0</v>
      </c>
      <c r="H35" s="263">
        <v>0</v>
      </c>
      <c r="I35" s="263">
        <v>1</v>
      </c>
      <c r="J35" s="263">
        <v>0</v>
      </c>
      <c r="K35" s="263">
        <v>0</v>
      </c>
      <c r="L35" s="263">
        <v>0</v>
      </c>
      <c r="M35" s="263">
        <v>0</v>
      </c>
      <c r="N35" s="263">
        <v>0</v>
      </c>
      <c r="O35" s="263">
        <v>0</v>
      </c>
      <c r="P35" s="579">
        <v>0</v>
      </c>
      <c r="Q35" s="295">
        <v>1</v>
      </c>
      <c r="R35" s="261">
        <v>0</v>
      </c>
      <c r="S35" s="309">
        <v>0</v>
      </c>
      <c r="T35" s="265">
        <v>0</v>
      </c>
      <c r="U35" s="261">
        <v>0</v>
      </c>
      <c r="V35" s="634"/>
      <c r="W35" s="309">
        <v>0</v>
      </c>
      <c r="X35" s="299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de edad menor de 15 años +15 a 19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5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87"/>
      <c r="CG35" s="191" t="str">
        <f t="shared" ref="CG35:CG40" si="36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37">IF(AND($C35&lt;&gt;0,X35=""),"* No olvide ingresar la variable "&amp;X$33&amp;""&amp;". Digite CERO si no tiene.",IF(X35&gt;$C35,"* El Número de Personas con discapacidad no puede superar el Total. ",""))</f>
        <v/>
      </c>
      <c r="CO35" s="1048">
        <f>IF(AND($C35&lt;&gt;0,$Q35=""),1,IF($Q35&gt;$C35,1,0))</f>
        <v>0</v>
      </c>
      <c r="CP35" s="1048">
        <f>IF(AND($C35&lt;&gt;0,$R35=""),1,IF($R35&gt;$C35,1,0))</f>
        <v>0</v>
      </c>
      <c r="CQ35" s="1048">
        <f>IF(AND($C35&lt;&gt;0,$S35=""),1,IF($S35&gt;$C35,1,0))</f>
        <v>0</v>
      </c>
      <c r="CR35" s="1048">
        <f>IF(AND($C35&lt;&gt;0,$T35=""),1,IF($T35&gt;$C35,1,0))</f>
        <v>0</v>
      </c>
      <c r="CS35" s="1048">
        <f>IF(AND($C35&lt;&gt;0,$U35=""),1,IF($U35&gt;$C35,1,0))</f>
        <v>0</v>
      </c>
      <c r="CT35" s="1087"/>
      <c r="CU35" s="1048">
        <f t="shared" ref="CU35:CV40" si="38">IF(AND($C35&lt;&gt;0,W35=""),1,IF(W35&gt;$C35,1,0))</f>
        <v>0</v>
      </c>
      <c r="CV35" s="1048">
        <f t="shared" si="38"/>
        <v>0</v>
      </c>
    </row>
    <row r="36" spans="1:100" ht="15" customHeight="1" x14ac:dyDescent="0.15">
      <c r="A36" s="1620"/>
      <c r="B36" s="605" t="s">
        <v>91</v>
      </c>
      <c r="C36" s="1294">
        <f>SUM(D36:P36)</f>
        <v>0</v>
      </c>
      <c r="D36" s="750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86">
        <v>0</v>
      </c>
      <c r="K36" s="286">
        <v>0</v>
      </c>
      <c r="L36" s="286">
        <v>0</v>
      </c>
      <c r="M36" s="286">
        <v>0</v>
      </c>
      <c r="N36" s="286">
        <v>0</v>
      </c>
      <c r="O36" s="286">
        <v>0</v>
      </c>
      <c r="P36" s="580">
        <v>0</v>
      </c>
      <c r="Q36" s="1019">
        <v>0</v>
      </c>
      <c r="R36" s="750">
        <v>0</v>
      </c>
      <c r="S36" s="689">
        <v>0</v>
      </c>
      <c r="T36" s="287">
        <v>0</v>
      </c>
      <c r="U36" s="1324"/>
      <c r="V36" s="286">
        <v>0</v>
      </c>
      <c r="W36" s="689">
        <v>0</v>
      </c>
      <c r="X36" s="1295">
        <v>0</v>
      </c>
      <c r="Y36" s="107" t="str">
        <f>$CA36&amp;CB36&amp;CD36&amp;CE36&amp;CF36&amp;CG36&amp;CH36</f>
        <v/>
      </c>
      <c r="BJ36" s="176"/>
      <c r="CA36" s="191" t="str">
        <f t="shared" ref="CA36:CA40" si="39">IF(AND($C36&lt;&gt;0,Q36=""),"* No olvide ingresar la variable "&amp;Q$33&amp;""&amp;". Digite CERO si no tiene.",IF(Q36&gt;$C36,"* El Número de Pueblos Originarios no puede superar el Total. ",""))</f>
        <v/>
      </c>
      <c r="CB36" s="191" t="str">
        <f t="shared" ref="CB36:CB40" si="40">IF(AND($C36&lt;&gt;0,R36=""),"* No olvide ingresar la variable "&amp;R$33&amp;""&amp;" Menor de 20 años. Digite CERO si no tiene.",IF(R36&gt;$C36,"* El Número de Migrantes Menor de 20 años. no puede superar el Total. ",""))</f>
        <v/>
      </c>
      <c r="CC36" s="191" t="str">
        <f t="shared" ref="CC36:CC40" si="41">IF(AND($C36&lt;&gt;0,S36=""),"* No olvide ingresar la variable "&amp;R$33&amp;""&amp;" 20 años y más. Digite CERO si no tiene.",IF(S36&gt;$C36,"* El Número de Migrantes 20 años y más. no puede superar el Total. ",""))</f>
        <v/>
      </c>
      <c r="CD36" s="191" t="str">
        <f t="shared" si="35"/>
        <v/>
      </c>
      <c r="CE36" s="1087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6"/>
        <v/>
      </c>
      <c r="CH36" s="191" t="str">
        <f t="shared" si="37"/>
        <v/>
      </c>
      <c r="CO36" s="1048">
        <f t="shared" ref="CO36:CO40" si="42">IF(AND($C36&lt;&gt;0,$Q36=""),1,IF($Q36&gt;$C36,1,0))</f>
        <v>0</v>
      </c>
      <c r="CP36" s="1048">
        <f t="shared" ref="CP36:CP40" si="43">IF(AND($C36&lt;&gt;0,$R36=""),1,IF($R36&gt;$C36,1,0))</f>
        <v>0</v>
      </c>
      <c r="CQ36" s="1048">
        <f t="shared" ref="CQ36:CQ40" si="44">IF(AND($C36&lt;&gt;0,$S36=""),1,IF($S36&gt;$C36,1,0))</f>
        <v>0</v>
      </c>
      <c r="CR36" s="1048">
        <f t="shared" ref="CR36:CR40" si="45">IF(AND($C36&lt;&gt;0,$T36=""),1,IF($T36&gt;$C36,1,0))</f>
        <v>0</v>
      </c>
      <c r="CS36" s="1087"/>
      <c r="CT36" s="1048">
        <f>IF(AND($C36&lt;&gt;0,V36=""),1,IF(V36&gt;$C36,1,0))</f>
        <v>0</v>
      </c>
      <c r="CU36" s="1048">
        <f t="shared" si="38"/>
        <v>0</v>
      </c>
      <c r="CV36" s="1048">
        <f t="shared" si="38"/>
        <v>0</v>
      </c>
    </row>
    <row r="37" spans="1:100" ht="15" customHeight="1" x14ac:dyDescent="0.15">
      <c r="A37" s="1619" t="s">
        <v>103</v>
      </c>
      <c r="B37" s="38" t="s">
        <v>90</v>
      </c>
      <c r="C37" s="260">
        <f>SUM(D37:P37)</f>
        <v>0</v>
      </c>
      <c r="D37" s="261">
        <v>0</v>
      </c>
      <c r="E37" s="263">
        <v>0</v>
      </c>
      <c r="F37" s="263">
        <v>0</v>
      </c>
      <c r="G37" s="263">
        <v>0</v>
      </c>
      <c r="H37" s="263">
        <v>0</v>
      </c>
      <c r="I37" s="263">
        <v>0</v>
      </c>
      <c r="J37" s="263">
        <v>0</v>
      </c>
      <c r="K37" s="263">
        <v>0</v>
      </c>
      <c r="L37" s="263">
        <v>0</v>
      </c>
      <c r="M37" s="263">
        <v>0</v>
      </c>
      <c r="N37" s="263">
        <v>0</v>
      </c>
      <c r="O37" s="263">
        <v>0</v>
      </c>
      <c r="P37" s="579">
        <v>0</v>
      </c>
      <c r="Q37" s="295">
        <v>0</v>
      </c>
      <c r="R37" s="261">
        <v>0</v>
      </c>
      <c r="S37" s="309">
        <v>0</v>
      </c>
      <c r="T37" s="265">
        <v>0</v>
      </c>
      <c r="U37" s="261">
        <v>0</v>
      </c>
      <c r="V37" s="634"/>
      <c r="W37" s="309">
        <v>0</v>
      </c>
      <c r="X37" s="299">
        <v>0</v>
      </c>
      <c r="Y37" s="107" t="str">
        <f>$CA37&amp;CB37&amp;CD37&amp;CE37&amp;CF37&amp;CG37&amp;CH37</f>
        <v/>
      </c>
      <c r="BJ37" s="176"/>
      <c r="CA37" s="191" t="str">
        <f t="shared" si="39"/>
        <v/>
      </c>
      <c r="CB37" s="191" t="str">
        <f t="shared" si="40"/>
        <v/>
      </c>
      <c r="CC37" s="191" t="str">
        <f t="shared" si="41"/>
        <v/>
      </c>
      <c r="CD37" s="191" t="str">
        <f t="shared" si="35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87"/>
      <c r="CG37" s="191" t="str">
        <f t="shared" si="36"/>
        <v/>
      </c>
      <c r="CH37" s="191" t="str">
        <f t="shared" si="37"/>
        <v/>
      </c>
      <c r="CO37" s="1048">
        <f t="shared" si="42"/>
        <v>0</v>
      </c>
      <c r="CP37" s="1048">
        <f t="shared" si="43"/>
        <v>0</v>
      </c>
      <c r="CQ37" s="1048">
        <f t="shared" si="44"/>
        <v>0</v>
      </c>
      <c r="CR37" s="1048">
        <f t="shared" si="45"/>
        <v>0</v>
      </c>
      <c r="CS37" s="1048">
        <f t="shared" ref="CS37:CS40" si="46">IF(AND($C37&lt;&gt;0,$U37=""),1,IF($U37&gt;$C37,1,0))</f>
        <v>0</v>
      </c>
      <c r="CT37" s="1087"/>
      <c r="CU37" s="1048">
        <f t="shared" si="38"/>
        <v>0</v>
      </c>
      <c r="CV37" s="1048">
        <f t="shared" si="38"/>
        <v>0</v>
      </c>
    </row>
    <row r="38" spans="1:100" ht="15" customHeight="1" x14ac:dyDescent="0.15">
      <c r="A38" s="1620"/>
      <c r="B38" s="606" t="s">
        <v>91</v>
      </c>
      <c r="C38" s="266">
        <f>SUM(D38:P38)</f>
        <v>0</v>
      </c>
      <c r="D38" s="749">
        <v>0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581">
        <v>0</v>
      </c>
      <c r="Q38" s="1017">
        <v>0</v>
      </c>
      <c r="R38" s="749">
        <v>0</v>
      </c>
      <c r="S38" s="687">
        <v>0</v>
      </c>
      <c r="T38" s="272">
        <v>0</v>
      </c>
      <c r="U38" s="997"/>
      <c r="V38" s="270">
        <v>0</v>
      </c>
      <c r="W38" s="687">
        <v>0</v>
      </c>
      <c r="X38" s="1011">
        <v>0</v>
      </c>
      <c r="Y38" s="107" t="str">
        <f>$CA38&amp;CB38&amp;CD38&amp;CE38&amp;CF38&amp;CG38&amp;CH38</f>
        <v/>
      </c>
      <c r="BJ38" s="176"/>
      <c r="CA38" s="191" t="str">
        <f t="shared" si="39"/>
        <v/>
      </c>
      <c r="CB38" s="191" t="str">
        <f t="shared" si="40"/>
        <v/>
      </c>
      <c r="CC38" s="191" t="str">
        <f t="shared" si="41"/>
        <v/>
      </c>
      <c r="CD38" s="191" t="str">
        <f t="shared" si="35"/>
        <v/>
      </c>
      <c r="CE38" s="1087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6"/>
        <v/>
      </c>
      <c r="CH38" s="191" t="str">
        <f t="shared" si="37"/>
        <v/>
      </c>
      <c r="CO38" s="1048">
        <f t="shared" si="42"/>
        <v>0</v>
      </c>
      <c r="CP38" s="1048">
        <f t="shared" si="43"/>
        <v>0</v>
      </c>
      <c r="CQ38" s="1048">
        <f t="shared" si="44"/>
        <v>0</v>
      </c>
      <c r="CR38" s="1048">
        <f t="shared" si="45"/>
        <v>0</v>
      </c>
      <c r="CS38" s="1087"/>
      <c r="CT38" s="1048">
        <f>IF(AND($C38&lt;&gt;0,V38=""),1,IF(V38&gt;$C38,1,0))</f>
        <v>0</v>
      </c>
      <c r="CU38" s="1048">
        <f t="shared" si="38"/>
        <v>0</v>
      </c>
      <c r="CV38" s="1048">
        <f t="shared" si="38"/>
        <v>0</v>
      </c>
    </row>
    <row r="39" spans="1:100" ht="15" customHeight="1" x14ac:dyDescent="0.15">
      <c r="A39" s="1689" t="s">
        <v>104</v>
      </c>
      <c r="B39" s="1690"/>
      <c r="C39" s="266">
        <f>SUM(D39:P39)</f>
        <v>0</v>
      </c>
      <c r="D39" s="749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81">
        <v>0</v>
      </c>
      <c r="Q39" s="1017">
        <v>0</v>
      </c>
      <c r="R39" s="749">
        <v>0</v>
      </c>
      <c r="S39" s="687">
        <v>0</v>
      </c>
      <c r="T39" s="272">
        <v>0</v>
      </c>
      <c r="U39" s="749">
        <v>0</v>
      </c>
      <c r="V39" s="635"/>
      <c r="W39" s="687">
        <v>0</v>
      </c>
      <c r="X39" s="1011">
        <v>0</v>
      </c>
      <c r="Y39" s="107" t="str">
        <f>$CA39&amp;CB39&amp;CD39&amp;CE39&amp;CF39&amp;CG39&amp;CH39</f>
        <v/>
      </c>
      <c r="BJ39" s="176"/>
      <c r="CA39" s="191" t="str">
        <f t="shared" si="39"/>
        <v/>
      </c>
      <c r="CB39" s="191" t="str">
        <f t="shared" si="40"/>
        <v/>
      </c>
      <c r="CC39" s="191" t="str">
        <f t="shared" si="41"/>
        <v/>
      </c>
      <c r="CD39" s="191" t="str">
        <f t="shared" si="35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87"/>
      <c r="CG39" s="191" t="str">
        <f t="shared" si="36"/>
        <v/>
      </c>
      <c r="CH39" s="191" t="str">
        <f t="shared" si="37"/>
        <v/>
      </c>
      <c r="CO39" s="1048">
        <f t="shared" si="42"/>
        <v>0</v>
      </c>
      <c r="CP39" s="1048">
        <f t="shared" si="43"/>
        <v>0</v>
      </c>
      <c r="CQ39" s="1048">
        <f t="shared" si="44"/>
        <v>0</v>
      </c>
      <c r="CR39" s="1048">
        <f t="shared" si="45"/>
        <v>0</v>
      </c>
      <c r="CS39" s="1048">
        <f t="shared" si="46"/>
        <v>0</v>
      </c>
      <c r="CT39" s="1087"/>
      <c r="CU39" s="1048">
        <f t="shared" si="38"/>
        <v>0</v>
      </c>
      <c r="CV39" s="1048">
        <f t="shared" si="38"/>
        <v>0</v>
      </c>
    </row>
    <row r="40" spans="1:100" ht="15" customHeight="1" x14ac:dyDescent="0.15">
      <c r="A40" s="1682" t="s">
        <v>105</v>
      </c>
      <c r="B40" s="1683"/>
      <c r="C40" s="266">
        <f>SUM(D40:M40)</f>
        <v>0</v>
      </c>
      <c r="D40" s="749">
        <v>0</v>
      </c>
      <c r="E40" s="270">
        <v>0</v>
      </c>
      <c r="F40" s="270">
        <v>0</v>
      </c>
      <c r="G40" s="270">
        <v>0</v>
      </c>
      <c r="H40" s="270">
        <v>0</v>
      </c>
      <c r="I40" s="270">
        <v>0</v>
      </c>
      <c r="J40" s="270">
        <v>0</v>
      </c>
      <c r="K40" s="270">
        <v>0</v>
      </c>
      <c r="L40" s="270">
        <v>0</v>
      </c>
      <c r="M40" s="270">
        <v>0</v>
      </c>
      <c r="N40" s="635"/>
      <c r="O40" s="635"/>
      <c r="P40" s="1009"/>
      <c r="Q40" s="1023">
        <v>0</v>
      </c>
      <c r="R40" s="749">
        <v>0</v>
      </c>
      <c r="S40" s="687">
        <v>0</v>
      </c>
      <c r="T40" s="272">
        <v>0</v>
      </c>
      <c r="U40" s="1010">
        <v>0</v>
      </c>
      <c r="V40" s="635"/>
      <c r="W40" s="687">
        <v>0</v>
      </c>
      <c r="X40" s="1011">
        <v>0</v>
      </c>
      <c r="Y40" s="107" t="str">
        <f>$CA40&amp;CB40&amp;CD40&amp;CE40&amp;CF40&amp;CG40&amp;CH40</f>
        <v/>
      </c>
      <c r="BJ40" s="176"/>
      <c r="CA40" s="191" t="str">
        <f t="shared" si="39"/>
        <v/>
      </c>
      <c r="CB40" s="191" t="str">
        <f t="shared" si="40"/>
        <v/>
      </c>
      <c r="CC40" s="191" t="str">
        <f t="shared" si="41"/>
        <v/>
      </c>
      <c r="CD40" s="191" t="str">
        <f t="shared" si="35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87"/>
      <c r="CG40" s="191" t="str">
        <f t="shared" si="36"/>
        <v/>
      </c>
      <c r="CH40" s="191" t="str">
        <f t="shared" si="37"/>
        <v/>
      </c>
      <c r="CO40" s="1048">
        <f t="shared" si="42"/>
        <v>0</v>
      </c>
      <c r="CP40" s="1048">
        <f t="shared" si="43"/>
        <v>0</v>
      </c>
      <c r="CQ40" s="1048">
        <f t="shared" si="44"/>
        <v>0</v>
      </c>
      <c r="CR40" s="1048">
        <f t="shared" si="45"/>
        <v>0</v>
      </c>
      <c r="CS40" s="1048">
        <f t="shared" si="46"/>
        <v>0</v>
      </c>
      <c r="CT40" s="1087"/>
      <c r="CU40" s="1048">
        <f t="shared" si="38"/>
        <v>0</v>
      </c>
      <c r="CV40" s="1048">
        <f t="shared" si="38"/>
        <v>0</v>
      </c>
    </row>
    <row r="41" spans="1:100" ht="17.100000000000001" customHeight="1" x14ac:dyDescent="0.15">
      <c r="A41" s="1335" t="s">
        <v>106</v>
      </c>
      <c r="B41" s="1365"/>
      <c r="C41" s="1365"/>
      <c r="D41" s="1224"/>
      <c r="E41" s="1224"/>
      <c r="F41" s="1224"/>
      <c r="G41" s="35"/>
      <c r="H41" s="35"/>
    </row>
    <row r="42" spans="1:100" ht="15" customHeight="1" x14ac:dyDescent="0.15">
      <c r="A42" s="1665" t="s">
        <v>107</v>
      </c>
      <c r="B42" s="1688" t="s">
        <v>108</v>
      </c>
      <c r="C42" s="1668" t="s">
        <v>109</v>
      </c>
      <c r="D42" s="1666" t="s">
        <v>110</v>
      </c>
      <c r="E42" s="1666" t="s">
        <v>111</v>
      </c>
      <c r="F42" s="1686" t="s">
        <v>112</v>
      </c>
      <c r="G42" s="1660" t="s">
        <v>56</v>
      </c>
      <c r="H42" s="1686" t="s">
        <v>113</v>
      </c>
      <c r="I42" s="1662" t="s">
        <v>59</v>
      </c>
      <c r="J42" s="1622"/>
      <c r="K42" s="1663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65"/>
      <c r="B43" s="1688"/>
      <c r="C43" s="1668"/>
      <c r="D43" s="1667"/>
      <c r="E43" s="1667"/>
      <c r="F43" s="1687"/>
      <c r="G43" s="1661"/>
      <c r="H43" s="1687"/>
      <c r="I43" s="1226" t="s">
        <v>76</v>
      </c>
      <c r="J43" s="1237" t="s">
        <v>78</v>
      </c>
      <c r="K43" s="1664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4">
        <v>0</v>
      </c>
      <c r="C44" s="1178">
        <v>0</v>
      </c>
      <c r="D44" s="263">
        <v>0</v>
      </c>
      <c r="E44" s="263">
        <v>0</v>
      </c>
      <c r="F44" s="264">
        <v>0</v>
      </c>
      <c r="G44" s="1178">
        <v>0</v>
      </c>
      <c r="H44" s="264">
        <v>0</v>
      </c>
      <c r="I44" s="1178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47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48">IF(AND(B44&lt;&gt;0,H44=""),"* No olvide escribir en la celda de 'Población Migrantes' (Digite CERO si no tiene). ","")</f>
        <v/>
      </c>
      <c r="CN44" s="1048">
        <f>IF($B44&lt;$C44,1,0)</f>
        <v>0</v>
      </c>
      <c r="CO44" s="1048">
        <f>IF($C44&lt;$E44,1,0)</f>
        <v>0</v>
      </c>
      <c r="CP44" s="1048">
        <f>IF($B44&lt;$D44,1,0)</f>
        <v>0</v>
      </c>
      <c r="CQ44" s="1048">
        <f>IF($B44&lt;$F44,1,0)</f>
        <v>0</v>
      </c>
      <c r="CR44" s="1048">
        <f>IF(AND($B44&lt;&gt;0,G44=""),1,IF(G44&gt;$B44,1,0))</f>
        <v>0</v>
      </c>
      <c r="CS44" s="1048">
        <f>IF(AND($B44&lt;&gt;0,$H44=""),1,IF($H44&gt;$B44,1,0))</f>
        <v>0</v>
      </c>
      <c r="CT44" s="1048">
        <f>IF(AND($B44&lt;&gt;0,$I44=""),1,IF($I44&gt;$B44,1,0))</f>
        <v>0</v>
      </c>
      <c r="CU44" s="1048">
        <f>IF(AND($B44&lt;&gt;0,$J44=""),1,IF($J44&gt;$B44,1,0))</f>
        <v>0</v>
      </c>
      <c r="CV44" s="1048">
        <f>IF(AND($B44&lt;&gt;0,$K44=""),1,IF($K44&gt;$B44,1,0))</f>
        <v>0</v>
      </c>
    </row>
    <row r="45" spans="1:100" ht="15" customHeight="1" x14ac:dyDescent="0.15">
      <c r="A45" s="41" t="s">
        <v>62</v>
      </c>
      <c r="B45" s="296">
        <v>0</v>
      </c>
      <c r="C45" s="1179">
        <v>0</v>
      </c>
      <c r="D45" s="278">
        <v>0</v>
      </c>
      <c r="E45" s="278">
        <v>0</v>
      </c>
      <c r="F45" s="279">
        <v>0</v>
      </c>
      <c r="G45" s="1179">
        <v>0</v>
      </c>
      <c r="H45" s="279">
        <v>0</v>
      </c>
      <c r="I45" s="1179">
        <v>0</v>
      </c>
      <c r="J45" s="280">
        <v>0</v>
      </c>
      <c r="K45" s="280">
        <v>0</v>
      </c>
      <c r="L45" s="107" t="str">
        <f t="shared" ref="L45:L51" si="49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0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1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2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47"/>
        <v/>
      </c>
      <c r="CI45" s="191" t="str">
        <f t="shared" ref="CI45:CI52" si="53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48">
        <f t="shared" ref="CN45:CN52" si="54">IF($B45&lt;$C45,1,0)</f>
        <v>0</v>
      </c>
      <c r="CO45" s="1048">
        <f t="shared" ref="CO45:CO52" si="55">IF($C45&lt;$E45,1,0)</f>
        <v>0</v>
      </c>
      <c r="CP45" s="1048">
        <f t="shared" ref="CP45:CP52" si="56">IF($B45&lt;$D45,1,0)</f>
        <v>0</v>
      </c>
      <c r="CQ45" s="1048">
        <f t="shared" ref="CQ45:CQ52" si="57">IF($B45&lt;$F45,1,0)</f>
        <v>0</v>
      </c>
      <c r="CR45" s="1048">
        <f t="shared" ref="CR45:CR52" si="58">IF(AND($B45&lt;&gt;0,G45=""),1,IF(G45&gt;$B45,1,0))</f>
        <v>0</v>
      </c>
      <c r="CS45" s="1048">
        <f t="shared" ref="CS45:CS52" si="59">IF(AND($B45&lt;&gt;0,$H45=""),1,IF($H45&gt;$B45,1,0))</f>
        <v>0</v>
      </c>
      <c r="CT45" s="1048">
        <f t="shared" ref="CT45:CT52" si="60">IF(AND($B45&lt;&gt;0,$I45=""),1,IF($I45&gt;$B45,1,0))</f>
        <v>0</v>
      </c>
      <c r="CU45" s="1048">
        <f t="shared" ref="CU45:CU52" si="61">IF(AND($B45&lt;&gt;0,$J45=""),1,IF($J45&gt;$B45,1,0))</f>
        <v>0</v>
      </c>
      <c r="CV45" s="1048">
        <f t="shared" ref="CV45:CV52" si="62">IF(AND($B45&lt;&gt;0,$K45=""),1,IF($K45&gt;$B45,1,0))</f>
        <v>0</v>
      </c>
    </row>
    <row r="46" spans="1:100" ht="15" customHeight="1" x14ac:dyDescent="0.15">
      <c r="A46" s="41" t="s">
        <v>63</v>
      </c>
      <c r="B46" s="296">
        <v>0</v>
      </c>
      <c r="C46" s="1179">
        <v>0</v>
      </c>
      <c r="D46" s="278">
        <v>0</v>
      </c>
      <c r="E46" s="278">
        <v>0</v>
      </c>
      <c r="F46" s="279">
        <v>0</v>
      </c>
      <c r="G46" s="1179">
        <v>0</v>
      </c>
      <c r="H46" s="279">
        <v>0</v>
      </c>
      <c r="I46" s="1179">
        <v>0</v>
      </c>
      <c r="J46" s="280">
        <v>0</v>
      </c>
      <c r="K46" s="280">
        <v>0</v>
      </c>
      <c r="L46" s="107" t="str">
        <f t="shared" si="49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0"/>
        <v/>
      </c>
      <c r="CF46" s="191" t="str">
        <f t="shared" si="51"/>
        <v/>
      </c>
      <c r="CG46" s="191" t="str">
        <f t="shared" si="52"/>
        <v/>
      </c>
      <c r="CH46" s="191" t="str">
        <f t="shared" si="47"/>
        <v/>
      </c>
      <c r="CI46" s="191" t="str">
        <f t="shared" si="53"/>
        <v/>
      </c>
      <c r="CN46" s="1048">
        <f t="shared" si="54"/>
        <v>0</v>
      </c>
      <c r="CO46" s="1048">
        <f t="shared" si="55"/>
        <v>0</v>
      </c>
      <c r="CP46" s="1048">
        <f t="shared" si="56"/>
        <v>0</v>
      </c>
      <c r="CQ46" s="1048">
        <f t="shared" si="57"/>
        <v>0</v>
      </c>
      <c r="CR46" s="1048">
        <f t="shared" si="58"/>
        <v>0</v>
      </c>
      <c r="CS46" s="1048">
        <f t="shared" si="59"/>
        <v>0</v>
      </c>
      <c r="CT46" s="1048">
        <f t="shared" si="60"/>
        <v>0</v>
      </c>
      <c r="CU46" s="1048">
        <f t="shared" si="61"/>
        <v>0</v>
      </c>
      <c r="CV46" s="1048">
        <f t="shared" si="62"/>
        <v>0</v>
      </c>
    </row>
    <row r="47" spans="1:100" ht="15" customHeight="1" x14ac:dyDescent="0.15">
      <c r="A47" s="41" t="s">
        <v>64</v>
      </c>
      <c r="B47" s="298">
        <v>0</v>
      </c>
      <c r="C47" s="1180">
        <v>0</v>
      </c>
      <c r="D47" s="282">
        <v>0</v>
      </c>
      <c r="E47" s="282">
        <v>0</v>
      </c>
      <c r="F47" s="1182">
        <v>0</v>
      </c>
      <c r="G47" s="1180">
        <v>0</v>
      </c>
      <c r="H47" s="1182">
        <v>0</v>
      </c>
      <c r="I47" s="1180">
        <v>0</v>
      </c>
      <c r="J47" s="283">
        <v>0</v>
      </c>
      <c r="K47" s="283">
        <v>0</v>
      </c>
      <c r="L47" s="107" t="str">
        <f t="shared" si="49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0"/>
        <v/>
      </c>
      <c r="CF47" s="191" t="str">
        <f t="shared" si="51"/>
        <v/>
      </c>
      <c r="CG47" s="191" t="str">
        <f t="shared" si="52"/>
        <v/>
      </c>
      <c r="CH47" s="191" t="str">
        <f t="shared" si="47"/>
        <v/>
      </c>
      <c r="CI47" s="191" t="str">
        <f t="shared" si="53"/>
        <v/>
      </c>
      <c r="CN47" s="1048">
        <f t="shared" si="54"/>
        <v>0</v>
      </c>
      <c r="CO47" s="1048">
        <f t="shared" si="55"/>
        <v>0</v>
      </c>
      <c r="CP47" s="1048">
        <f t="shared" si="56"/>
        <v>0</v>
      </c>
      <c r="CQ47" s="1048">
        <f t="shared" si="57"/>
        <v>0</v>
      </c>
      <c r="CR47" s="1048">
        <f t="shared" si="58"/>
        <v>0</v>
      </c>
      <c r="CS47" s="1048">
        <f t="shared" si="59"/>
        <v>0</v>
      </c>
      <c r="CT47" s="1048">
        <f t="shared" si="60"/>
        <v>0</v>
      </c>
      <c r="CU47" s="1048">
        <f t="shared" si="61"/>
        <v>0</v>
      </c>
      <c r="CV47" s="1048">
        <f t="shared" si="62"/>
        <v>0</v>
      </c>
    </row>
    <row r="48" spans="1:100" ht="15" customHeight="1" x14ac:dyDescent="0.15">
      <c r="A48" s="41" t="s">
        <v>65</v>
      </c>
      <c r="B48" s="298">
        <v>0</v>
      </c>
      <c r="C48" s="1180">
        <v>0</v>
      </c>
      <c r="D48" s="282">
        <v>0</v>
      </c>
      <c r="E48" s="282">
        <v>0</v>
      </c>
      <c r="F48" s="1182">
        <v>0</v>
      </c>
      <c r="G48" s="1180">
        <v>0</v>
      </c>
      <c r="H48" s="1182">
        <v>0</v>
      </c>
      <c r="I48" s="1180">
        <v>0</v>
      </c>
      <c r="J48" s="283">
        <v>0</v>
      </c>
      <c r="K48" s="283">
        <v>0</v>
      </c>
      <c r="L48" s="107" t="str">
        <f t="shared" si="49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0"/>
        <v/>
      </c>
      <c r="CF48" s="191" t="str">
        <f t="shared" si="51"/>
        <v/>
      </c>
      <c r="CG48" s="191" t="str">
        <f t="shared" si="52"/>
        <v/>
      </c>
      <c r="CH48" s="191" t="str">
        <f t="shared" si="47"/>
        <v/>
      </c>
      <c r="CI48" s="191" t="str">
        <f t="shared" si="53"/>
        <v/>
      </c>
      <c r="CN48" s="1048">
        <f t="shared" si="54"/>
        <v>0</v>
      </c>
      <c r="CO48" s="1048">
        <f t="shared" si="55"/>
        <v>0</v>
      </c>
      <c r="CP48" s="1048">
        <f t="shared" si="56"/>
        <v>0</v>
      </c>
      <c r="CQ48" s="1048">
        <f t="shared" si="57"/>
        <v>0</v>
      </c>
      <c r="CR48" s="1048">
        <f t="shared" si="58"/>
        <v>0</v>
      </c>
      <c r="CS48" s="1048">
        <f t="shared" si="59"/>
        <v>0</v>
      </c>
      <c r="CT48" s="1048">
        <f t="shared" si="60"/>
        <v>0</v>
      </c>
      <c r="CU48" s="1048">
        <f t="shared" si="61"/>
        <v>0</v>
      </c>
      <c r="CV48" s="1048">
        <f t="shared" si="62"/>
        <v>0</v>
      </c>
    </row>
    <row r="49" spans="1:100" ht="15" customHeight="1" x14ac:dyDescent="0.15">
      <c r="A49" s="41" t="s">
        <v>66</v>
      </c>
      <c r="B49" s="298">
        <v>0</v>
      </c>
      <c r="C49" s="1180">
        <v>0</v>
      </c>
      <c r="D49" s="282">
        <v>0</v>
      </c>
      <c r="E49" s="282">
        <v>0</v>
      </c>
      <c r="F49" s="1182">
        <v>0</v>
      </c>
      <c r="G49" s="1180">
        <v>0</v>
      </c>
      <c r="H49" s="1182">
        <v>0</v>
      </c>
      <c r="I49" s="1180">
        <v>0</v>
      </c>
      <c r="J49" s="283">
        <v>0</v>
      </c>
      <c r="K49" s="283">
        <v>0</v>
      </c>
      <c r="L49" s="107" t="str">
        <f t="shared" si="49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0"/>
        <v/>
      </c>
      <c r="CF49" s="191" t="str">
        <f t="shared" si="51"/>
        <v/>
      </c>
      <c r="CG49" s="191" t="str">
        <f t="shared" si="52"/>
        <v/>
      </c>
      <c r="CH49" s="191" t="str">
        <f t="shared" si="47"/>
        <v/>
      </c>
      <c r="CI49" s="191" t="str">
        <f t="shared" si="53"/>
        <v/>
      </c>
      <c r="CN49" s="1048">
        <f t="shared" si="54"/>
        <v>0</v>
      </c>
      <c r="CO49" s="1048">
        <f t="shared" si="55"/>
        <v>0</v>
      </c>
      <c r="CP49" s="1048">
        <f t="shared" si="56"/>
        <v>0</v>
      </c>
      <c r="CQ49" s="1048">
        <f t="shared" si="57"/>
        <v>0</v>
      </c>
      <c r="CR49" s="1048">
        <f t="shared" si="58"/>
        <v>0</v>
      </c>
      <c r="CS49" s="1048">
        <f t="shared" si="59"/>
        <v>0</v>
      </c>
      <c r="CT49" s="1048">
        <f t="shared" si="60"/>
        <v>0</v>
      </c>
      <c r="CU49" s="1048">
        <f t="shared" si="61"/>
        <v>0</v>
      </c>
      <c r="CV49" s="1048">
        <f t="shared" si="62"/>
        <v>0</v>
      </c>
    </row>
    <row r="50" spans="1:100" ht="15" customHeight="1" x14ac:dyDescent="0.15">
      <c r="A50" s="41" t="s">
        <v>67</v>
      </c>
      <c r="B50" s="298">
        <v>0</v>
      </c>
      <c r="C50" s="1180">
        <v>0</v>
      </c>
      <c r="D50" s="282">
        <v>0</v>
      </c>
      <c r="E50" s="282">
        <v>0</v>
      </c>
      <c r="F50" s="1182">
        <v>0</v>
      </c>
      <c r="G50" s="1180">
        <v>0</v>
      </c>
      <c r="H50" s="1182">
        <v>0</v>
      </c>
      <c r="I50" s="1180">
        <v>0</v>
      </c>
      <c r="J50" s="283">
        <v>0</v>
      </c>
      <c r="K50" s="283">
        <v>0</v>
      </c>
      <c r="L50" s="107" t="str">
        <f t="shared" si="49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0"/>
        <v/>
      </c>
      <c r="CF50" s="191" t="str">
        <f t="shared" si="51"/>
        <v/>
      </c>
      <c r="CG50" s="191" t="str">
        <f t="shared" si="52"/>
        <v/>
      </c>
      <c r="CH50" s="191" t="str">
        <f t="shared" si="47"/>
        <v/>
      </c>
      <c r="CI50" s="191" t="str">
        <f t="shared" si="53"/>
        <v/>
      </c>
      <c r="CN50" s="1048">
        <f t="shared" si="54"/>
        <v>0</v>
      </c>
      <c r="CO50" s="1048">
        <f t="shared" si="55"/>
        <v>0</v>
      </c>
      <c r="CP50" s="1048">
        <f t="shared" si="56"/>
        <v>0</v>
      </c>
      <c r="CQ50" s="1048">
        <f t="shared" si="57"/>
        <v>0</v>
      </c>
      <c r="CR50" s="1048">
        <f t="shared" si="58"/>
        <v>0</v>
      </c>
      <c r="CS50" s="1048">
        <f t="shared" si="59"/>
        <v>0</v>
      </c>
      <c r="CT50" s="1048">
        <f t="shared" si="60"/>
        <v>0</v>
      </c>
      <c r="CU50" s="1048">
        <f t="shared" si="61"/>
        <v>0</v>
      </c>
      <c r="CV50" s="1048">
        <f t="shared" si="62"/>
        <v>0</v>
      </c>
    </row>
    <row r="51" spans="1:100" ht="15" customHeight="1" x14ac:dyDescent="0.15">
      <c r="A51" s="41" t="s">
        <v>68</v>
      </c>
      <c r="B51" s="298">
        <v>0</v>
      </c>
      <c r="C51" s="1180">
        <v>0</v>
      </c>
      <c r="D51" s="282">
        <v>0</v>
      </c>
      <c r="E51" s="282">
        <v>0</v>
      </c>
      <c r="F51" s="1182">
        <v>0</v>
      </c>
      <c r="G51" s="1180">
        <v>0</v>
      </c>
      <c r="H51" s="1182">
        <v>0</v>
      </c>
      <c r="I51" s="1180">
        <v>0</v>
      </c>
      <c r="J51" s="283">
        <v>0</v>
      </c>
      <c r="K51" s="283">
        <v>0</v>
      </c>
      <c r="L51" s="107" t="str">
        <f t="shared" si="49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0"/>
        <v/>
      </c>
      <c r="CF51" s="191" t="str">
        <f t="shared" si="51"/>
        <v/>
      </c>
      <c r="CG51" s="191" t="str">
        <f t="shared" si="52"/>
        <v/>
      </c>
      <c r="CH51" s="191" t="str">
        <f t="shared" si="47"/>
        <v/>
      </c>
      <c r="CI51" s="191" t="str">
        <f t="shared" si="53"/>
        <v/>
      </c>
      <c r="CN51" s="1048">
        <f t="shared" si="54"/>
        <v>0</v>
      </c>
      <c r="CO51" s="1048">
        <f t="shared" si="55"/>
        <v>0</v>
      </c>
      <c r="CP51" s="1048">
        <f t="shared" si="56"/>
        <v>0</v>
      </c>
      <c r="CQ51" s="1048">
        <f t="shared" si="57"/>
        <v>0</v>
      </c>
      <c r="CR51" s="1048">
        <f t="shared" si="58"/>
        <v>0</v>
      </c>
      <c r="CS51" s="1048">
        <f t="shared" si="59"/>
        <v>0</v>
      </c>
      <c r="CT51" s="1048">
        <f t="shared" si="60"/>
        <v>0</v>
      </c>
      <c r="CU51" s="1048">
        <f t="shared" si="61"/>
        <v>0</v>
      </c>
      <c r="CV51" s="1048">
        <f t="shared" si="62"/>
        <v>0</v>
      </c>
    </row>
    <row r="52" spans="1:100" ht="15" customHeight="1" x14ac:dyDescent="0.15">
      <c r="A52" s="41" t="s">
        <v>69</v>
      </c>
      <c r="B52" s="298">
        <v>0</v>
      </c>
      <c r="C52" s="1180">
        <v>0</v>
      </c>
      <c r="D52" s="282">
        <v>0</v>
      </c>
      <c r="E52" s="282">
        <v>0</v>
      </c>
      <c r="F52" s="1182">
        <v>0</v>
      </c>
      <c r="G52" s="1180">
        <v>0</v>
      </c>
      <c r="H52" s="1182">
        <v>0</v>
      </c>
      <c r="I52" s="1180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0"/>
        <v/>
      </c>
      <c r="CF52" s="191" t="str">
        <f t="shared" si="51"/>
        <v/>
      </c>
      <c r="CG52" s="191" t="str">
        <f t="shared" si="52"/>
        <v/>
      </c>
      <c r="CH52" s="191" t="str">
        <f t="shared" si="47"/>
        <v/>
      </c>
      <c r="CI52" s="191" t="str">
        <f t="shared" si="53"/>
        <v/>
      </c>
      <c r="CN52" s="1048">
        <f t="shared" si="54"/>
        <v>0</v>
      </c>
      <c r="CO52" s="1048">
        <f t="shared" si="55"/>
        <v>0</v>
      </c>
      <c r="CP52" s="1048">
        <f t="shared" si="56"/>
        <v>0</v>
      </c>
      <c r="CQ52" s="1048">
        <f t="shared" si="57"/>
        <v>0</v>
      </c>
      <c r="CR52" s="1048">
        <f t="shared" si="58"/>
        <v>0</v>
      </c>
      <c r="CS52" s="1048">
        <f t="shared" si="59"/>
        <v>0</v>
      </c>
      <c r="CT52" s="1048">
        <f t="shared" si="60"/>
        <v>0</v>
      </c>
      <c r="CU52" s="1048">
        <f t="shared" si="61"/>
        <v>0</v>
      </c>
      <c r="CV52" s="1048">
        <f t="shared" si="62"/>
        <v>0</v>
      </c>
    </row>
    <row r="53" spans="1:100" ht="15" customHeight="1" x14ac:dyDescent="0.15">
      <c r="A53" s="1369" t="s">
        <v>94</v>
      </c>
      <c r="B53" s="1370">
        <f t="shared" ref="B53:K53" si="63">SUM(B44:B52)</f>
        <v>0</v>
      </c>
      <c r="C53" s="1181">
        <f t="shared" si="63"/>
        <v>0</v>
      </c>
      <c r="D53" s="1183">
        <f>SUM(D44:D52)</f>
        <v>0</v>
      </c>
      <c r="E53" s="1183">
        <f t="shared" si="63"/>
        <v>0</v>
      </c>
      <c r="F53" s="1371">
        <f t="shared" si="63"/>
        <v>0</v>
      </c>
      <c r="G53" s="1181">
        <f t="shared" si="63"/>
        <v>0</v>
      </c>
      <c r="H53" s="1371">
        <f t="shared" si="63"/>
        <v>0</v>
      </c>
      <c r="I53" s="1181">
        <f t="shared" si="63"/>
        <v>0</v>
      </c>
      <c r="J53" s="1370">
        <f t="shared" si="63"/>
        <v>0</v>
      </c>
      <c r="K53" s="1370">
        <f t="shared" si="63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06" t="s">
        <v>115</v>
      </c>
      <c r="B54" s="1607"/>
      <c r="C54" s="1607"/>
      <c r="D54" s="1607"/>
      <c r="E54" s="1607"/>
      <c r="F54" s="220"/>
      <c r="G54" s="220"/>
      <c r="H54" s="220"/>
      <c r="I54" s="220"/>
      <c r="J54" s="220"/>
      <c r="K54" s="220"/>
    </row>
    <row r="55" spans="1:100" ht="15" customHeight="1" x14ac:dyDescent="0.15">
      <c r="A55" s="1665" t="s">
        <v>116</v>
      </c>
      <c r="B55" s="1665" t="s">
        <v>117</v>
      </c>
      <c r="C55" s="1665" t="s">
        <v>118</v>
      </c>
      <c r="D55" s="1665" t="s">
        <v>119</v>
      </c>
      <c r="E55" s="33"/>
    </row>
    <row r="56" spans="1:100" ht="12" customHeight="1" x14ac:dyDescent="0.15">
      <c r="A56" s="1665"/>
      <c r="B56" s="1665"/>
      <c r="C56" s="1665"/>
      <c r="D56" s="1665"/>
      <c r="E56" s="33"/>
    </row>
    <row r="57" spans="1:100" ht="15" customHeight="1" x14ac:dyDescent="0.15">
      <c r="A57" s="40" t="s">
        <v>120</v>
      </c>
      <c r="B57" s="299">
        <v>0</v>
      </c>
      <c r="C57" s="260">
        <f>B57*1</f>
        <v>0</v>
      </c>
      <c r="D57" s="299">
        <v>0</v>
      </c>
      <c r="E57" s="107" t="str">
        <f>($CA57&amp;$CB57)</f>
        <v/>
      </c>
      <c r="CA57" s="191" t="str">
        <f>IF($C$57&lt;&gt;$B$57*1,"* NO ALTERE LAS FÓRMULAS, 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48">
        <f>IF($C$57&lt;&gt;$B$57*1,1,0)</f>
        <v>0</v>
      </c>
      <c r="CO57" s="1048">
        <f>IF(AND($B57&lt;&gt;0,$D57=""),1,0)</f>
        <v>0</v>
      </c>
    </row>
    <row r="58" spans="1:100" ht="15" customHeight="1" x14ac:dyDescent="0.15">
      <c r="A58" s="41" t="s">
        <v>121</v>
      </c>
      <c r="B58" s="300">
        <v>0</v>
      </c>
      <c r="C58" s="301">
        <f>B58*2</f>
        <v>0</v>
      </c>
      <c r="D58" s="300">
        <v>0</v>
      </c>
      <c r="E58" s="107" t="str">
        <f t="shared" ref="E58:E59" si="64">($CA58&amp;$CB58)</f>
        <v/>
      </c>
      <c r="CA58" s="191" t="str">
        <f>IF($C$58&lt;&gt;$B$58*1,"* NO ALTERE LAS FÓRMULAS, el Total de Visitas equivale a 1 visita por gestante. ","")</f>
        <v/>
      </c>
      <c r="CB58" s="191" t="str">
        <f t="shared" ref="CB58:CB59" si="65">IF(AND($B58&lt;&gt;0,D58=""),"* No olvide ingresar la variable "&amp;D$55&amp;""&amp;". Digite CERO si no tiene. ","")</f>
        <v/>
      </c>
      <c r="CN58" s="1048">
        <f>IF($C$58&lt;&gt;$B$58*1,1,0)</f>
        <v>0</v>
      </c>
      <c r="CO58" s="1048">
        <f t="shared" ref="CO58:CO60" si="66">IF(AND($B58&lt;&gt;0,$D58=""),1,0)</f>
        <v>0</v>
      </c>
    </row>
    <row r="59" spans="1:100" ht="15" customHeight="1" x14ac:dyDescent="0.15">
      <c r="A59" s="41" t="s">
        <v>122</v>
      </c>
      <c r="B59" s="300">
        <v>0</v>
      </c>
      <c r="C59" s="289">
        <f>B59*3</f>
        <v>0</v>
      </c>
      <c r="D59" s="300">
        <v>0</v>
      </c>
      <c r="E59" s="107" t="str">
        <f t="shared" si="64"/>
        <v/>
      </c>
      <c r="CA59" s="191" t="str">
        <f>IF($C$59&lt;&gt;$B$59*1,"* NO ALTERE LAS FÓRMULAS, el Total de Visitas equivale a 1 visita por gestante. ","")</f>
        <v/>
      </c>
      <c r="CB59" s="191" t="str">
        <f t="shared" si="65"/>
        <v/>
      </c>
      <c r="CN59" s="1048">
        <f>IF($C$59&lt;&gt;$B$59*1,1,0)</f>
        <v>0</v>
      </c>
      <c r="CO59" s="1048">
        <f t="shared" si="66"/>
        <v>0</v>
      </c>
    </row>
    <row r="60" spans="1:100" ht="15" customHeight="1" x14ac:dyDescent="0.15">
      <c r="A60" s="42" t="s">
        <v>123</v>
      </c>
      <c r="B60" s="302">
        <v>0</v>
      </c>
      <c r="C60" s="372">
        <f>B60*1</f>
        <v>0</v>
      </c>
      <c r="D60" s="302">
        <v>0</v>
      </c>
      <c r="E60" s="107" t="str">
        <f>($CA60&amp;$CB60)</f>
        <v/>
      </c>
      <c r="CA60" s="191" t="str">
        <f>IF($C$60&lt;&gt;$B$60*1,"* NO ALTERE LAS FÓRMULAS, el Total de Visitas equivale a 1 visita por gestante. ","")</f>
        <v/>
      </c>
      <c r="CB60" s="191" t="str">
        <f t="shared" ref="CB60" si="67">IF(AND($B60&lt;&gt;0,D60=""),"* No olvide ingresar la variable "&amp;D$55&amp;""&amp;". Digite CERO si no tiene. ","")</f>
        <v/>
      </c>
      <c r="CN60" s="1048">
        <f>IF($C$60&lt;&gt;$B$60*1,1,0)</f>
        <v>0</v>
      </c>
      <c r="CO60" s="1048">
        <f t="shared" si="66"/>
        <v>0</v>
      </c>
    </row>
    <row r="61" spans="1:100" ht="15" customHeight="1" x14ac:dyDescent="0.15">
      <c r="A61" s="1369" t="s">
        <v>94</v>
      </c>
      <c r="B61" s="1359">
        <f>SUM(B57:B60)</f>
        <v>0</v>
      </c>
      <c r="C61" s="1359">
        <f>SUM(C57:C60)</f>
        <v>0</v>
      </c>
      <c r="D61" s="1359">
        <f>SUM(D57:D60)</f>
        <v>0</v>
      </c>
      <c r="E61" s="33"/>
    </row>
    <row r="62" spans="1:100" ht="17.100000000000001" customHeight="1" x14ac:dyDescent="0.15">
      <c r="A62" s="1608" t="s">
        <v>124</v>
      </c>
      <c r="B62" s="1609"/>
      <c r="C62" s="1609"/>
      <c r="D62" s="1609"/>
      <c r="E62" s="1609"/>
      <c r="F62" s="1609"/>
      <c r="G62" s="1609"/>
      <c r="H62" s="1609"/>
      <c r="I62" s="1609"/>
      <c r="J62" s="1609"/>
      <c r="K62" s="1609"/>
      <c r="L62" s="1609"/>
    </row>
    <row r="63" spans="1:100" ht="15" customHeight="1" x14ac:dyDescent="0.15">
      <c r="A63" s="1692" t="s">
        <v>125</v>
      </c>
      <c r="B63" s="1619" t="s">
        <v>126</v>
      </c>
      <c r="C63" s="1619" t="s">
        <v>54</v>
      </c>
      <c r="D63" s="1621" t="s">
        <v>55</v>
      </c>
      <c r="E63" s="1662"/>
      <c r="F63" s="1662"/>
      <c r="G63" s="1662"/>
      <c r="H63" s="1662"/>
      <c r="I63" s="1662"/>
      <c r="J63" s="1662"/>
      <c r="K63" s="1662"/>
      <c r="L63" s="1622"/>
    </row>
    <row r="64" spans="1:100" ht="15" customHeight="1" x14ac:dyDescent="0.15">
      <c r="A64" s="1693"/>
      <c r="B64" s="1620"/>
      <c r="C64" s="1620"/>
      <c r="D64" s="1373" t="s">
        <v>127</v>
      </c>
      <c r="E64" s="1207" t="s">
        <v>62</v>
      </c>
      <c r="F64" s="1207" t="s">
        <v>63</v>
      </c>
      <c r="G64" s="822" t="s">
        <v>64</v>
      </c>
      <c r="H64" s="822" t="s">
        <v>65</v>
      </c>
      <c r="I64" s="822" t="s">
        <v>66</v>
      </c>
      <c r="J64" s="822" t="s">
        <v>67</v>
      </c>
      <c r="K64" s="822" t="s">
        <v>68</v>
      </c>
      <c r="L64" s="1374" t="s">
        <v>69</v>
      </c>
      <c r="M64" s="33"/>
    </row>
    <row r="65" spans="1:100" ht="15" customHeight="1" x14ac:dyDescent="0.15">
      <c r="A65" s="1619" t="s">
        <v>128</v>
      </c>
      <c r="B65" s="43" t="s">
        <v>129</v>
      </c>
      <c r="C65" s="303">
        <f>SUM(D65:L65)</f>
        <v>0</v>
      </c>
      <c r="D65" s="261">
        <v>0</v>
      </c>
      <c r="E65" s="263">
        <v>0</v>
      </c>
      <c r="F65" s="263">
        <v>0</v>
      </c>
      <c r="G65" s="263">
        <v>0</v>
      </c>
      <c r="H65" s="263">
        <v>0</v>
      </c>
      <c r="I65" s="263">
        <v>0</v>
      </c>
      <c r="J65" s="263">
        <v>0</v>
      </c>
      <c r="K65" s="263">
        <v>0</v>
      </c>
      <c r="L65" s="265">
        <v>0</v>
      </c>
    </row>
    <row r="66" spans="1:100" ht="15" customHeight="1" x14ac:dyDescent="0.15">
      <c r="A66" s="1698"/>
      <c r="B66" s="44" t="s">
        <v>130</v>
      </c>
      <c r="C66" s="304">
        <f>SUM(D66:L66)</f>
        <v>0</v>
      </c>
      <c r="D66" s="310">
        <v>0</v>
      </c>
      <c r="E66" s="278">
        <v>0</v>
      </c>
      <c r="F66" s="278">
        <v>0</v>
      </c>
      <c r="G66" s="278">
        <v>0</v>
      </c>
      <c r="H66" s="278">
        <v>0</v>
      </c>
      <c r="I66" s="278">
        <v>0</v>
      </c>
      <c r="J66" s="278">
        <v>0</v>
      </c>
      <c r="K66" s="278">
        <v>0</v>
      </c>
      <c r="L66" s="280">
        <v>0</v>
      </c>
    </row>
    <row r="67" spans="1:100" ht="15" customHeight="1" x14ac:dyDescent="0.15">
      <c r="A67" s="1698"/>
      <c r="B67" s="44" t="s">
        <v>131</v>
      </c>
      <c r="C67" s="304">
        <f t="shared" ref="C67:C73" si="68">SUM(D67:L67)</f>
        <v>0</v>
      </c>
      <c r="D67" s="310">
        <v>0</v>
      </c>
      <c r="E67" s="278">
        <v>0</v>
      </c>
      <c r="F67" s="278">
        <v>0</v>
      </c>
      <c r="G67" s="278">
        <v>0</v>
      </c>
      <c r="H67" s="278">
        <v>0</v>
      </c>
      <c r="I67" s="278">
        <v>0</v>
      </c>
      <c r="J67" s="278">
        <v>0</v>
      </c>
      <c r="K67" s="278">
        <v>0</v>
      </c>
      <c r="L67" s="280">
        <v>0</v>
      </c>
    </row>
    <row r="68" spans="1:100" ht="15" customHeight="1" x14ac:dyDescent="0.15">
      <c r="A68" s="1698"/>
      <c r="B68" s="45" t="s">
        <v>132</v>
      </c>
      <c r="C68" s="305">
        <f>SUM(D68:L68)</f>
        <v>0</v>
      </c>
      <c r="D68" s="373">
        <v>0</v>
      </c>
      <c r="E68" s="282">
        <v>0</v>
      </c>
      <c r="F68" s="282">
        <v>0</v>
      </c>
      <c r="G68" s="282">
        <v>0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20"/>
      <c r="B69" s="1369" t="s">
        <v>94</v>
      </c>
      <c r="C69" s="1359">
        <f>SUM(D69:L69)</f>
        <v>0</v>
      </c>
      <c r="D69" s="1375">
        <f>SUM(D65:D68)</f>
        <v>0</v>
      </c>
      <c r="E69" s="1183">
        <f t="shared" ref="E69:L69" si="69">SUM(E65:E68)</f>
        <v>0</v>
      </c>
      <c r="F69" s="1183">
        <f t="shared" si="69"/>
        <v>0</v>
      </c>
      <c r="G69" s="1183">
        <f t="shared" si="69"/>
        <v>0</v>
      </c>
      <c r="H69" s="1183">
        <f t="shared" si="69"/>
        <v>0</v>
      </c>
      <c r="I69" s="1183">
        <f t="shared" si="69"/>
        <v>0</v>
      </c>
      <c r="J69" s="1183">
        <f t="shared" si="69"/>
        <v>0</v>
      </c>
      <c r="K69" s="1183">
        <f t="shared" si="69"/>
        <v>0</v>
      </c>
      <c r="L69" s="1370">
        <f t="shared" si="69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48">
        <f>IF($B$44&lt;&gt;$D69,1,0)</f>
        <v>0</v>
      </c>
      <c r="CO69" s="1048">
        <f>IF($B$45&lt;&gt;$E69,1,0)</f>
        <v>0</v>
      </c>
      <c r="CP69" s="1048">
        <f>IF($B$46&lt;&gt;$F69,1,0)</f>
        <v>0</v>
      </c>
      <c r="CQ69" s="1048">
        <f>IF($B$47&lt;&gt;$G69,1,0)</f>
        <v>0</v>
      </c>
      <c r="CR69" s="1048">
        <f>IF($B$48&lt;&gt;$H69,1,0)</f>
        <v>0</v>
      </c>
      <c r="CS69" s="1048">
        <f>IF($B$49&lt;&gt;$I69,1,0)</f>
        <v>0</v>
      </c>
      <c r="CT69" s="1048">
        <f>IF($B$50&lt;&gt;$J69,1,0)</f>
        <v>0</v>
      </c>
      <c r="CU69" s="1048">
        <f>IF($B$51&lt;&gt;$K69,1,0)</f>
        <v>0</v>
      </c>
      <c r="CV69" s="1048">
        <f>IF($B$52&lt;&gt;$L69,1,0)</f>
        <v>0</v>
      </c>
    </row>
    <row r="70" spans="1:100" ht="15" customHeight="1" x14ac:dyDescent="0.15">
      <c r="A70" s="1619" t="s">
        <v>133</v>
      </c>
      <c r="B70" s="43" t="s">
        <v>129</v>
      </c>
      <c r="C70" s="303">
        <f>SUM(D70:L70)</f>
        <v>0</v>
      </c>
      <c r="D70" s="261">
        <v>0</v>
      </c>
      <c r="E70" s="263">
        <v>0</v>
      </c>
      <c r="F70" s="263">
        <v>0</v>
      </c>
      <c r="G70" s="263">
        <v>0</v>
      </c>
      <c r="H70" s="263">
        <v>0</v>
      </c>
      <c r="I70" s="263">
        <v>0</v>
      </c>
      <c r="J70" s="263">
        <v>0</v>
      </c>
      <c r="K70" s="263">
        <v>0</v>
      </c>
      <c r="L70" s="265">
        <v>0</v>
      </c>
    </row>
    <row r="71" spans="1:100" ht="15" customHeight="1" x14ac:dyDescent="0.15">
      <c r="A71" s="1698"/>
      <c r="B71" s="44" t="s">
        <v>130</v>
      </c>
      <c r="C71" s="304">
        <f t="shared" si="68"/>
        <v>0</v>
      </c>
      <c r="D71" s="310">
        <v>0</v>
      </c>
      <c r="E71" s="278">
        <v>0</v>
      </c>
      <c r="F71" s="278">
        <v>0</v>
      </c>
      <c r="G71" s="278">
        <v>0</v>
      </c>
      <c r="H71" s="278">
        <v>0</v>
      </c>
      <c r="I71" s="278">
        <v>0</v>
      </c>
      <c r="J71" s="278">
        <v>0</v>
      </c>
      <c r="K71" s="278">
        <v>0</v>
      </c>
      <c r="L71" s="280">
        <v>0</v>
      </c>
    </row>
    <row r="72" spans="1:100" ht="15" customHeight="1" x14ac:dyDescent="0.15">
      <c r="A72" s="1698"/>
      <c r="B72" s="44" t="s">
        <v>131</v>
      </c>
      <c r="C72" s="304">
        <f t="shared" si="68"/>
        <v>0</v>
      </c>
      <c r="D72" s="310">
        <v>0</v>
      </c>
      <c r="E72" s="278">
        <v>0</v>
      </c>
      <c r="F72" s="278">
        <v>0</v>
      </c>
      <c r="G72" s="278">
        <v>0</v>
      </c>
      <c r="H72" s="278">
        <v>0</v>
      </c>
      <c r="I72" s="278">
        <v>0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698"/>
      <c r="B73" s="45" t="s">
        <v>132</v>
      </c>
      <c r="C73" s="305">
        <f t="shared" si="68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20"/>
      <c r="B74" s="1369" t="s">
        <v>94</v>
      </c>
      <c r="C74" s="1376">
        <f>SUM(D74:L74)</f>
        <v>0</v>
      </c>
      <c r="D74" s="1377">
        <f>SUM(D70:D73)</f>
        <v>0</v>
      </c>
      <c r="E74" s="1208">
        <f>SUM(E70:E73)</f>
        <v>0</v>
      </c>
      <c r="F74" s="1208">
        <f t="shared" ref="F74:L74" si="70">SUM(F70:F73)</f>
        <v>0</v>
      </c>
      <c r="G74" s="1208">
        <f>SUM(G70:G73)</f>
        <v>0</v>
      </c>
      <c r="H74" s="1208">
        <f t="shared" si="70"/>
        <v>0</v>
      </c>
      <c r="I74" s="1208">
        <f t="shared" si="70"/>
        <v>0</v>
      </c>
      <c r="J74" s="1208">
        <f>SUM(J70:J73)</f>
        <v>0</v>
      </c>
      <c r="K74" s="1208">
        <f t="shared" si="70"/>
        <v>0</v>
      </c>
      <c r="L74" s="1378">
        <f t="shared" si="70"/>
        <v>0</v>
      </c>
    </row>
    <row r="75" spans="1:100" ht="17.100000000000001" customHeight="1" x14ac:dyDescent="0.15">
      <c r="A75" s="1606" t="s">
        <v>134</v>
      </c>
      <c r="B75" s="1607"/>
      <c r="C75" s="1607"/>
      <c r="D75" s="1379"/>
      <c r="E75" s="1379"/>
      <c r="F75" s="1379"/>
      <c r="G75" s="1379"/>
      <c r="H75" s="1379"/>
      <c r="I75" s="1379"/>
      <c r="J75" s="1379"/>
      <c r="K75" s="1379"/>
      <c r="L75" s="1379"/>
    </row>
    <row r="76" spans="1:100" ht="15" customHeight="1" x14ac:dyDescent="0.15">
      <c r="A76" s="1372" t="s">
        <v>135</v>
      </c>
      <c r="B76" s="1367" t="s">
        <v>54</v>
      </c>
      <c r="C76" s="1238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9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48">
        <f>IF($B$77&lt;=$C$68,0,1)</f>
        <v>0</v>
      </c>
    </row>
    <row r="78" spans="1:100" ht="15" customHeight="1" x14ac:dyDescent="0.15">
      <c r="A78" s="47" t="s">
        <v>137</v>
      </c>
      <c r="B78" s="300">
        <v>0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48">
        <f>IF($B$78&lt;=$C$65,0,1)</f>
        <v>0</v>
      </c>
    </row>
    <row r="79" spans="1:100" ht="15" customHeight="1" x14ac:dyDescent="0.15">
      <c r="A79" s="47" t="s">
        <v>138</v>
      </c>
      <c r="B79" s="300">
        <v>0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48">
        <f>IF($B$79&lt;=$C$66,0,1)</f>
        <v>0</v>
      </c>
    </row>
    <row r="80" spans="1:100" ht="15" customHeight="1" x14ac:dyDescent="0.15">
      <c r="A80" s="47" t="s">
        <v>139</v>
      </c>
      <c r="B80" s="300">
        <v>0</v>
      </c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2">
        <v>0</v>
      </c>
      <c r="D81" s="35"/>
      <c r="E81" s="35"/>
      <c r="F81" s="35"/>
      <c r="G81" s="35"/>
      <c r="H81" s="35"/>
    </row>
    <row r="82" spans="1:96" ht="17.100000000000001" customHeight="1" x14ac:dyDescent="0.15">
      <c r="A82" s="1608" t="s">
        <v>141</v>
      </c>
      <c r="B82" s="1609"/>
      <c r="C82" s="1609"/>
      <c r="D82" s="1117"/>
      <c r="E82" s="1117"/>
      <c r="F82" s="35"/>
      <c r="G82" s="35"/>
      <c r="H82" s="35"/>
    </row>
    <row r="83" spans="1:96" ht="26.25" customHeight="1" x14ac:dyDescent="0.15">
      <c r="A83" s="1367" t="s">
        <v>125</v>
      </c>
      <c r="B83" s="1373" t="s">
        <v>142</v>
      </c>
      <c r="C83" s="1380" t="s">
        <v>143</v>
      </c>
      <c r="D83" s="1226" t="s">
        <v>76</v>
      </c>
      <c r="E83" s="1207" t="s">
        <v>56</v>
      </c>
      <c r="F83" s="1368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81" t="s">
        <v>144</v>
      </c>
      <c r="B84" s="1360">
        <v>0</v>
      </c>
      <c r="C84" s="1382">
        <v>0</v>
      </c>
      <c r="D84" s="1184">
        <v>0</v>
      </c>
      <c r="E84" s="811">
        <v>0</v>
      </c>
      <c r="F84" s="1362">
        <v>0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48">
        <f t="shared" ref="CP84:CP89" si="71">IF(AND($B84+C84&lt;&gt;0,D84=""),1,IF(D84&gt;$B84+$C84,1,0))</f>
        <v>0</v>
      </c>
      <c r="CQ84" s="1048">
        <f t="shared" ref="CQ84:CQ89" si="72">IF(AND($B84+$C84&lt;&gt;0,E84=""),1,IF(E84&gt;$B84+$C84,1,0))</f>
        <v>0</v>
      </c>
      <c r="CR84" s="1048">
        <f t="shared" ref="CR84:CR89" si="73">IF(AND($B84+C84&lt;&gt;0,F84=""),1,IF(F84&gt;$B84+$C84,1,0))</f>
        <v>0</v>
      </c>
    </row>
    <row r="85" spans="1:96" ht="15" customHeight="1" x14ac:dyDescent="0.15">
      <c r="A85" s="173" t="s">
        <v>145</v>
      </c>
      <c r="B85" s="288">
        <v>0</v>
      </c>
      <c r="C85" s="721">
        <v>0</v>
      </c>
      <c r="D85" s="1185">
        <v>0</v>
      </c>
      <c r="E85" s="275">
        <v>0</v>
      </c>
      <c r="F85" s="276">
        <v>0</v>
      </c>
      <c r="G85" s="107" t="str">
        <f t="shared" ref="G85:G90" si="74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48">
        <f>IF($B85&gt;$B84,1,0)</f>
        <v>0</v>
      </c>
      <c r="CO85" s="1048">
        <f>IF($C85&gt;$C84,1,0)</f>
        <v>0</v>
      </c>
      <c r="CP85" s="1048">
        <f t="shared" si="71"/>
        <v>0</v>
      </c>
      <c r="CQ85" s="1048">
        <f t="shared" si="72"/>
        <v>0</v>
      </c>
      <c r="CR85" s="1048">
        <f t="shared" si="73"/>
        <v>0</v>
      </c>
    </row>
    <row r="86" spans="1:96" ht="15" customHeight="1" x14ac:dyDescent="0.15">
      <c r="A86" s="174" t="s">
        <v>146</v>
      </c>
      <c r="B86" s="310">
        <v>0</v>
      </c>
      <c r="C86" s="279">
        <v>0</v>
      </c>
      <c r="D86" s="1179">
        <v>0</v>
      </c>
      <c r="E86" s="278">
        <v>0</v>
      </c>
      <c r="F86" s="280">
        <v>0</v>
      </c>
      <c r="G86" s="107" t="str">
        <f t="shared" si="74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48"/>
      <c r="CO86" s="1048"/>
      <c r="CP86" s="1048">
        <f t="shared" si="71"/>
        <v>0</v>
      </c>
      <c r="CQ86" s="1048">
        <f t="shared" si="72"/>
        <v>0</v>
      </c>
      <c r="CR86" s="1048">
        <f t="shared" si="73"/>
        <v>0</v>
      </c>
    </row>
    <row r="87" spans="1:96" ht="15" customHeight="1" x14ac:dyDescent="0.15">
      <c r="A87" s="174" t="s">
        <v>147</v>
      </c>
      <c r="B87" s="310">
        <v>0</v>
      </c>
      <c r="C87" s="279">
        <v>0</v>
      </c>
      <c r="D87" s="1179">
        <v>0</v>
      </c>
      <c r="E87" s="278">
        <v>0</v>
      </c>
      <c r="F87" s="280">
        <v>0</v>
      </c>
      <c r="G87" s="107" t="str">
        <f t="shared" si="74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48"/>
      <c r="CO87" s="1048"/>
      <c r="CP87" s="1048">
        <f t="shared" si="71"/>
        <v>0</v>
      </c>
      <c r="CQ87" s="1048">
        <f t="shared" si="72"/>
        <v>0</v>
      </c>
      <c r="CR87" s="1048">
        <f t="shared" si="73"/>
        <v>0</v>
      </c>
    </row>
    <row r="88" spans="1:96" ht="15" customHeight="1" x14ac:dyDescent="0.15">
      <c r="A88" s="1012" t="s">
        <v>148</v>
      </c>
      <c r="B88" s="750">
        <v>0</v>
      </c>
      <c r="C88" s="1188">
        <v>0</v>
      </c>
      <c r="D88" s="1186">
        <v>0</v>
      </c>
      <c r="E88" s="286">
        <v>0</v>
      </c>
      <c r="F88" s="287">
        <v>0</v>
      </c>
      <c r="G88" s="107" t="str">
        <f t="shared" si="74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48">
        <f>IF($B88&gt;$B85,1,0)</f>
        <v>0</v>
      </c>
      <c r="CO88" s="1048">
        <f>IF($C88&gt;$C85,1,0)</f>
        <v>0</v>
      </c>
      <c r="CP88" s="1048">
        <f t="shared" si="71"/>
        <v>0</v>
      </c>
      <c r="CQ88" s="1048">
        <f t="shared" si="72"/>
        <v>0</v>
      </c>
      <c r="CR88" s="1048">
        <f t="shared" si="73"/>
        <v>0</v>
      </c>
    </row>
    <row r="89" spans="1:96" ht="21.75" customHeight="1" x14ac:dyDescent="0.15">
      <c r="A89" s="174" t="s">
        <v>149</v>
      </c>
      <c r="B89" s="310">
        <v>0</v>
      </c>
      <c r="C89" s="279">
        <v>0</v>
      </c>
      <c r="D89" s="1325"/>
      <c r="E89" s="278">
        <v>0</v>
      </c>
      <c r="F89" s="280">
        <v>0</v>
      </c>
      <c r="G89" s="107" t="str">
        <f t="shared" si="74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51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48">
        <f>IF($B89&gt;$B88,1,0)</f>
        <v>0</v>
      </c>
      <c r="CO89" s="1048">
        <f>IF($B89&gt;$B88,1,0)</f>
        <v>0</v>
      </c>
      <c r="CP89" s="1051">
        <f t="shared" si="71"/>
        <v>0</v>
      </c>
      <c r="CQ89" s="1048">
        <f t="shared" si="72"/>
        <v>0</v>
      </c>
      <c r="CR89" s="1048">
        <f t="shared" si="73"/>
        <v>0</v>
      </c>
    </row>
    <row r="90" spans="1:96" ht="21" customHeight="1" x14ac:dyDescent="0.15">
      <c r="A90" s="1239" t="s">
        <v>150</v>
      </c>
      <c r="B90" s="310">
        <v>0</v>
      </c>
      <c r="C90" s="279">
        <v>0</v>
      </c>
      <c r="D90" s="1325"/>
      <c r="E90" s="278">
        <v>0</v>
      </c>
      <c r="F90" s="280">
        <v>0</v>
      </c>
      <c r="G90" s="107" t="str">
        <f t="shared" si="74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51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51">
        <f>IF(AND($B90+C90&lt;&gt;0,D90=""),1,IF(D90&gt;$B90+$C90,1,0))</f>
        <v>0</v>
      </c>
      <c r="CQ90" s="1048">
        <f>IF(AND($B90+$C90&lt;&gt;0,E90=""),1,IF(E90&gt;$B90+$C90,1,0))</f>
        <v>0</v>
      </c>
      <c r="CR90" s="1048">
        <f>IF(AND($B90+C90&lt;&gt;0,F90=""),1,IF(F90&gt;$B90+$C90,1,0))</f>
        <v>0</v>
      </c>
    </row>
    <row r="91" spans="1:96" ht="15" customHeight="1" x14ac:dyDescent="0.15">
      <c r="A91" s="838" t="s">
        <v>151</v>
      </c>
      <c r="B91" s="749">
        <v>0</v>
      </c>
      <c r="C91" s="1036">
        <v>0</v>
      </c>
      <c r="D91" s="1187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48">
        <f>IF(AND($B91+C91&lt;&gt;0,D91=""),1,IF(D91&gt;$B91+$C91,1,0))</f>
        <v>0</v>
      </c>
      <c r="CQ91" s="1048">
        <f>IF(AND($B91+$C91&lt;&gt;0,E91=""),1,IF(E91&gt;$B91+$C91,1,0))</f>
        <v>0</v>
      </c>
      <c r="CR91" s="1048">
        <f>IF(AND($B91+C91&lt;&gt;0,F91=""),1,IF(F91&gt;$B91+$C91,1,0))</f>
        <v>0</v>
      </c>
    </row>
    <row r="92" spans="1:96" ht="17.100000000000001" customHeight="1" x14ac:dyDescent="0.15">
      <c r="A92" s="1697" t="s">
        <v>152</v>
      </c>
      <c r="B92" s="1697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08" t="s">
        <v>153</v>
      </c>
      <c r="B93" s="1609"/>
      <c r="C93" s="1609"/>
      <c r="D93" s="1609"/>
      <c r="E93" s="1609"/>
      <c r="F93" s="1609"/>
      <c r="G93" s="1609"/>
      <c r="H93" s="1609"/>
      <c r="I93" s="219"/>
      <c r="J93" s="219"/>
      <c r="K93" s="220"/>
      <c r="L93" s="220"/>
      <c r="M93" s="220"/>
      <c r="N93" s="220"/>
    </row>
    <row r="94" spans="1:96" ht="15" customHeight="1" x14ac:dyDescent="0.15">
      <c r="A94" s="1623" t="s">
        <v>53</v>
      </c>
      <c r="B94" s="1624"/>
      <c r="C94" s="1627" t="s">
        <v>54</v>
      </c>
      <c r="D94" s="1675" t="s">
        <v>55</v>
      </c>
      <c r="E94" s="1676"/>
      <c r="F94" s="1676"/>
      <c r="G94" s="1676"/>
      <c r="H94" s="1677"/>
      <c r="I94" s="1629" t="s">
        <v>56</v>
      </c>
      <c r="J94" s="1656" t="s">
        <v>57</v>
      </c>
    </row>
    <row r="95" spans="1:96" ht="21" x14ac:dyDescent="0.15">
      <c r="A95" s="1625"/>
      <c r="B95" s="1626"/>
      <c r="C95" s="1628"/>
      <c r="D95" s="1353" t="s">
        <v>154</v>
      </c>
      <c r="E95" s="821" t="s">
        <v>68</v>
      </c>
      <c r="F95" s="821" t="s">
        <v>69</v>
      </c>
      <c r="G95" s="822" t="s">
        <v>155</v>
      </c>
      <c r="H95" s="822" t="s">
        <v>71</v>
      </c>
      <c r="I95" s="1630"/>
      <c r="J95" s="1657"/>
    </row>
    <row r="96" spans="1:96" ht="15" customHeight="1" x14ac:dyDescent="0.15">
      <c r="A96" s="1614" t="s">
        <v>156</v>
      </c>
      <c r="B96" s="1615"/>
      <c r="C96" s="260">
        <f>SUM(D96:H96)</f>
        <v>0</v>
      </c>
      <c r="D96" s="261">
        <v>0</v>
      </c>
      <c r="E96" s="262">
        <v>0</v>
      </c>
      <c r="F96" s="262">
        <v>0</v>
      </c>
      <c r="G96" s="262">
        <v>0</v>
      </c>
      <c r="H96" s="262">
        <v>0</v>
      </c>
      <c r="I96" s="295">
        <v>0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48">
        <f>IF(AND($C96&lt;&gt;0,$I96=""),1,IF($I96&gt;$C96,1,0))</f>
        <v>0</v>
      </c>
      <c r="CO96" s="1048">
        <f>IF(AND($C96&lt;&gt;0,J96=""),1,IF(J96&gt;$C96,1,0))</f>
        <v>0</v>
      </c>
    </row>
    <row r="97" spans="1:93" ht="15" customHeight="1" x14ac:dyDescent="0.15">
      <c r="A97" s="1240" t="s">
        <v>157</v>
      </c>
      <c r="B97" s="1241"/>
      <c r="C97" s="301">
        <f t="shared" ref="C97:C102" si="75">SUM(D97:H97)</f>
        <v>0</v>
      </c>
      <c r="D97" s="277">
        <v>0</v>
      </c>
      <c r="E97" s="277">
        <v>0</v>
      </c>
      <c r="F97" s="278">
        <v>0</v>
      </c>
      <c r="G97" s="278">
        <v>0</v>
      </c>
      <c r="H97" s="278">
        <v>0</v>
      </c>
      <c r="I97" s="297">
        <v>0</v>
      </c>
      <c r="J97" s="280">
        <v>0</v>
      </c>
      <c r="K97" s="107" t="str">
        <f t="shared" ref="K97:K101" si="76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48">
        <f t="shared" ref="CN97:CN102" si="77">IF(AND($C97&lt;&gt;0,$I97=""),1,IF($I97&gt;$C97,1,0))</f>
        <v>0</v>
      </c>
      <c r="CO97" s="1048">
        <f t="shared" ref="CO97:CO101" si="78">IF(AND($C97&lt;&gt;0,J97=""),1,IF(J97&gt;$C97,1,0))</f>
        <v>0</v>
      </c>
    </row>
    <row r="98" spans="1:93" ht="15" customHeight="1" x14ac:dyDescent="0.15">
      <c r="A98" s="1649" t="s">
        <v>158</v>
      </c>
      <c r="B98" s="1650"/>
      <c r="C98" s="273">
        <f t="shared" si="75"/>
        <v>0</v>
      </c>
      <c r="D98" s="274">
        <v>0</v>
      </c>
      <c r="E98" s="274">
        <v>0</v>
      </c>
      <c r="F98" s="274">
        <v>0</v>
      </c>
      <c r="G98" s="274">
        <v>0</v>
      </c>
      <c r="H98" s="274">
        <v>0</v>
      </c>
      <c r="I98" s="1018">
        <v>0</v>
      </c>
      <c r="J98" s="276">
        <v>0</v>
      </c>
      <c r="K98" s="107" t="str">
        <f t="shared" si="76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48">
        <f t="shared" si="77"/>
        <v>0</v>
      </c>
      <c r="CO98" s="1048">
        <f t="shared" si="78"/>
        <v>0</v>
      </c>
    </row>
    <row r="99" spans="1:93" ht="15" customHeight="1" x14ac:dyDescent="0.15">
      <c r="A99" s="1612" t="s">
        <v>159</v>
      </c>
      <c r="B99" s="1613"/>
      <c r="C99" s="301">
        <f t="shared" si="75"/>
        <v>0</v>
      </c>
      <c r="D99" s="277">
        <v>0</v>
      </c>
      <c r="E99" s="277">
        <v>0</v>
      </c>
      <c r="F99" s="277">
        <v>0</v>
      </c>
      <c r="G99" s="277">
        <v>0</v>
      </c>
      <c r="H99" s="277">
        <v>0</v>
      </c>
      <c r="I99" s="297">
        <v>0</v>
      </c>
      <c r="J99" s="280">
        <v>0</v>
      </c>
      <c r="K99" s="107" t="str">
        <f t="shared" si="76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48">
        <f t="shared" si="77"/>
        <v>0</v>
      </c>
      <c r="CO99" s="1048">
        <f t="shared" si="78"/>
        <v>0</v>
      </c>
    </row>
    <row r="100" spans="1:93" ht="15" customHeight="1" x14ac:dyDescent="0.15">
      <c r="A100" s="1612" t="s">
        <v>160</v>
      </c>
      <c r="B100" s="1613"/>
      <c r="C100" s="301">
        <f t="shared" si="75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7">
        <v>0</v>
      </c>
      <c r="J100" s="280">
        <v>0</v>
      </c>
      <c r="K100" s="107" t="str">
        <f t="shared" si="76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48">
        <f t="shared" si="77"/>
        <v>0</v>
      </c>
      <c r="CO100" s="1048">
        <f t="shared" si="78"/>
        <v>0</v>
      </c>
    </row>
    <row r="101" spans="1:93" ht="15" customHeight="1" x14ac:dyDescent="0.15">
      <c r="A101" s="1612" t="s">
        <v>161</v>
      </c>
      <c r="B101" s="1613"/>
      <c r="C101" s="301">
        <f t="shared" si="75"/>
        <v>0</v>
      </c>
      <c r="D101" s="277">
        <v>0</v>
      </c>
      <c r="E101" s="277">
        <v>0</v>
      </c>
      <c r="F101" s="277">
        <v>0</v>
      </c>
      <c r="G101" s="277">
        <v>0</v>
      </c>
      <c r="H101" s="277">
        <v>0</v>
      </c>
      <c r="I101" s="297">
        <v>0</v>
      </c>
      <c r="J101" s="280">
        <v>0</v>
      </c>
      <c r="K101" s="107" t="str">
        <f t="shared" si="76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48">
        <f>IF(AND($C101&lt;&gt;0,$I101=""),1,IF($I101&gt;$C101,1,0))</f>
        <v>0</v>
      </c>
      <c r="CO101" s="1048">
        <f t="shared" si="78"/>
        <v>0</v>
      </c>
    </row>
    <row r="102" spans="1:93" ht="15" customHeight="1" x14ac:dyDescent="0.15">
      <c r="A102" s="1694" t="s">
        <v>162</v>
      </c>
      <c r="B102" s="1695"/>
      <c r="C102" s="372">
        <f t="shared" si="75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20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48">
        <f t="shared" si="77"/>
        <v>0</v>
      </c>
      <c r="CO102" s="1048">
        <f>IF(AND($C102&lt;&gt;0,J102=""),1,IF(J102&gt;$C102,1,0))</f>
        <v>0</v>
      </c>
    </row>
    <row r="103" spans="1:93" ht="17.100000000000001" customHeight="1" x14ac:dyDescent="0.15">
      <c r="A103" s="1610" t="s">
        <v>163</v>
      </c>
      <c r="B103" s="1611"/>
      <c r="C103" s="1611"/>
      <c r="D103" s="1611"/>
      <c r="E103" s="1611"/>
      <c r="F103" s="220"/>
      <c r="G103" s="220"/>
      <c r="H103" s="220"/>
    </row>
    <row r="104" spans="1:93" ht="15" customHeight="1" x14ac:dyDescent="0.15">
      <c r="A104" s="1619" t="s">
        <v>125</v>
      </c>
      <c r="B104" s="1621" t="s">
        <v>164</v>
      </c>
      <c r="C104" s="1622"/>
      <c r="D104" s="1645" t="s">
        <v>165</v>
      </c>
      <c r="E104" s="1647" t="s">
        <v>166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20"/>
      <c r="B105" s="1373" t="s">
        <v>167</v>
      </c>
      <c r="C105" s="1383" t="s">
        <v>168</v>
      </c>
      <c r="D105" s="1646"/>
      <c r="E105" s="1648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169</v>
      </c>
      <c r="B106" s="261">
        <v>0</v>
      </c>
      <c r="C106" s="309">
        <v>0</v>
      </c>
      <c r="D106" s="261">
        <v>0</v>
      </c>
      <c r="E106" s="309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170</v>
      </c>
      <c r="B107" s="310">
        <v>0</v>
      </c>
      <c r="C107" s="311">
        <v>0</v>
      </c>
      <c r="D107" s="310">
        <v>0</v>
      </c>
      <c r="E107" s="311">
        <v>0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171</v>
      </c>
      <c r="B108" s="310">
        <v>0</v>
      </c>
      <c r="C108" s="311">
        <v>0</v>
      </c>
      <c r="D108" s="310">
        <v>0</v>
      </c>
      <c r="E108" s="311">
        <v>0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172</v>
      </c>
      <c r="B109" s="310">
        <v>0</v>
      </c>
      <c r="C109" s="311">
        <v>0</v>
      </c>
      <c r="D109" s="310">
        <v>0</v>
      </c>
      <c r="E109" s="311">
        <v>0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173</v>
      </c>
      <c r="B110" s="310">
        <v>0</v>
      </c>
      <c r="C110" s="311">
        <v>0</v>
      </c>
      <c r="D110" s="310">
        <v>0</v>
      </c>
      <c r="E110" s="311">
        <v>0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174</v>
      </c>
      <c r="B111" s="310">
        <v>0</v>
      </c>
      <c r="C111" s="311">
        <v>0</v>
      </c>
      <c r="D111" s="310">
        <v>0</v>
      </c>
      <c r="E111" s="311">
        <v>0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175</v>
      </c>
      <c r="B112" s="310">
        <v>0</v>
      </c>
      <c r="C112" s="311">
        <v>0</v>
      </c>
      <c r="D112" s="310">
        <v>0</v>
      </c>
      <c r="E112" s="311">
        <v>0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176</v>
      </c>
      <c r="B113" s="310">
        <v>0</v>
      </c>
      <c r="C113" s="311">
        <v>0</v>
      </c>
      <c r="D113" s="310">
        <v>0</v>
      </c>
      <c r="E113" s="311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177</v>
      </c>
      <c r="B114" s="290">
        <v>0</v>
      </c>
      <c r="C114" s="312">
        <v>0</v>
      </c>
      <c r="D114" s="290">
        <v>0</v>
      </c>
      <c r="E114" s="312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375">
        <f>SUM(B106:B114)</f>
        <v>0</v>
      </c>
      <c r="C115" s="746">
        <f>SUM(C106:C114)</f>
        <v>0</v>
      </c>
      <c r="D115" s="1050">
        <f>SUM(D106:D114)</f>
        <v>0</v>
      </c>
      <c r="E115" s="746">
        <f>SUM(E106:E114)</f>
        <v>0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84" t="s">
        <v>178</v>
      </c>
      <c r="B116" s="1360">
        <v>0</v>
      </c>
      <c r="C116" s="815">
        <v>0</v>
      </c>
      <c r="D116" s="1360">
        <v>0</v>
      </c>
      <c r="E116" s="815">
        <v>0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08" t="s">
        <v>179</v>
      </c>
      <c r="B117" s="1609"/>
      <c r="C117" s="1609"/>
      <c r="D117" s="1609"/>
      <c r="E117" s="1609"/>
      <c r="F117" s="1609"/>
      <c r="G117" s="1609"/>
      <c r="H117" s="1609"/>
      <c r="I117" s="1609"/>
      <c r="J117" s="1609"/>
      <c r="K117" s="1609"/>
      <c r="L117" s="1609"/>
    </row>
    <row r="118" spans="1:95" ht="15" customHeight="1" x14ac:dyDescent="0.15">
      <c r="A118" s="1619" t="s">
        <v>125</v>
      </c>
      <c r="B118" s="1619" t="s">
        <v>126</v>
      </c>
      <c r="C118" s="1619" t="s">
        <v>54</v>
      </c>
      <c r="D118" s="1696" t="s">
        <v>55</v>
      </c>
      <c r="E118" s="1696"/>
      <c r="F118" s="1696"/>
      <c r="G118" s="1696"/>
      <c r="H118" s="1696"/>
      <c r="I118" s="1696"/>
      <c r="J118" s="1696"/>
      <c r="K118" s="1696"/>
      <c r="L118" s="1696"/>
    </row>
    <row r="119" spans="1:95" ht="15" customHeight="1" x14ac:dyDescent="0.15">
      <c r="A119" s="1620"/>
      <c r="B119" s="1620"/>
      <c r="C119" s="1620"/>
      <c r="D119" s="1373" t="s">
        <v>127</v>
      </c>
      <c r="E119" s="1207" t="s">
        <v>62</v>
      </c>
      <c r="F119" s="1207" t="s">
        <v>63</v>
      </c>
      <c r="G119" s="1207" t="s">
        <v>64</v>
      </c>
      <c r="H119" s="1207" t="s">
        <v>65</v>
      </c>
      <c r="I119" s="1207" t="s">
        <v>66</v>
      </c>
      <c r="J119" s="1207" t="s">
        <v>67</v>
      </c>
      <c r="K119" s="1207" t="s">
        <v>68</v>
      </c>
      <c r="L119" s="1209" t="s">
        <v>69</v>
      </c>
    </row>
    <row r="120" spans="1:95" ht="15" customHeight="1" x14ac:dyDescent="0.15">
      <c r="A120" s="1616" t="s">
        <v>180</v>
      </c>
      <c r="B120" s="613" t="s">
        <v>129</v>
      </c>
      <c r="C120" s="614">
        <f>SUM(D120:L120)</f>
        <v>6</v>
      </c>
      <c r="D120" s="625">
        <v>0</v>
      </c>
      <c r="E120" s="626">
        <v>0</v>
      </c>
      <c r="F120" s="626">
        <v>1</v>
      </c>
      <c r="G120" s="626">
        <v>0</v>
      </c>
      <c r="H120" s="626">
        <v>0</v>
      </c>
      <c r="I120" s="626">
        <v>2</v>
      </c>
      <c r="J120" s="626">
        <v>1</v>
      </c>
      <c r="K120" s="626">
        <v>2</v>
      </c>
      <c r="L120" s="627">
        <v>0</v>
      </c>
      <c r="M120" s="1242"/>
      <c r="O120" s="35"/>
      <c r="P120" s="35"/>
    </row>
    <row r="121" spans="1:95" ht="15" customHeight="1" x14ac:dyDescent="0.15">
      <c r="A121" s="1617"/>
      <c r="B121" s="615" t="s">
        <v>130</v>
      </c>
      <c r="C121" s="616">
        <f>SUM(D121:L121)</f>
        <v>5</v>
      </c>
      <c r="D121" s="628">
        <v>0</v>
      </c>
      <c r="E121" s="629">
        <v>0</v>
      </c>
      <c r="F121" s="629">
        <v>1</v>
      </c>
      <c r="G121" s="629">
        <v>1</v>
      </c>
      <c r="H121" s="629">
        <v>0</v>
      </c>
      <c r="I121" s="629">
        <v>2</v>
      </c>
      <c r="J121" s="629">
        <v>0</v>
      </c>
      <c r="K121" s="629">
        <v>1</v>
      </c>
      <c r="L121" s="630">
        <v>0</v>
      </c>
      <c r="M121" s="1242"/>
      <c r="O121" s="35"/>
      <c r="P121" s="35"/>
    </row>
    <row r="122" spans="1:95" ht="15" customHeight="1" x14ac:dyDescent="0.15">
      <c r="A122" s="1617"/>
      <c r="B122" s="615" t="s">
        <v>131</v>
      </c>
      <c r="C122" s="616">
        <f>SUM(D122:L122)</f>
        <v>2</v>
      </c>
      <c r="D122" s="628">
        <v>0</v>
      </c>
      <c r="E122" s="629">
        <v>1</v>
      </c>
      <c r="F122" s="629">
        <v>0</v>
      </c>
      <c r="G122" s="629">
        <v>1</v>
      </c>
      <c r="H122" s="629">
        <v>0</v>
      </c>
      <c r="I122" s="629">
        <v>0</v>
      </c>
      <c r="J122" s="629">
        <v>0</v>
      </c>
      <c r="K122" s="629">
        <v>0</v>
      </c>
      <c r="L122" s="630">
        <v>0</v>
      </c>
      <c r="M122" s="1242"/>
      <c r="N122" s="35"/>
      <c r="O122" s="35"/>
      <c r="P122" s="35"/>
    </row>
    <row r="123" spans="1:95" ht="15" customHeight="1" x14ac:dyDescent="0.15">
      <c r="A123" s="1617"/>
      <c r="B123" s="617" t="s">
        <v>181</v>
      </c>
      <c r="C123" s="618">
        <f>SUM(D123:L123)</f>
        <v>0</v>
      </c>
      <c r="D123" s="631">
        <v>0</v>
      </c>
      <c r="E123" s="632">
        <v>0</v>
      </c>
      <c r="F123" s="632">
        <v>0</v>
      </c>
      <c r="G123" s="632">
        <v>0</v>
      </c>
      <c r="H123" s="632">
        <v>0</v>
      </c>
      <c r="I123" s="632">
        <v>0</v>
      </c>
      <c r="J123" s="632">
        <v>0</v>
      </c>
      <c r="K123" s="632">
        <v>0</v>
      </c>
      <c r="L123" s="633">
        <v>0</v>
      </c>
      <c r="M123" s="1242"/>
      <c r="N123" s="35"/>
      <c r="O123" s="35"/>
      <c r="P123" s="35"/>
    </row>
    <row r="124" spans="1:95" ht="15" customHeight="1" x14ac:dyDescent="0.15">
      <c r="A124" s="1618"/>
      <c r="B124" s="1385" t="s">
        <v>94</v>
      </c>
      <c r="C124" s="1386">
        <f>SUM(D124:L124)</f>
        <v>13</v>
      </c>
      <c r="D124" s="1387">
        <f>SUM(D120:D123)</f>
        <v>0</v>
      </c>
      <c r="E124" s="1210">
        <f t="shared" ref="E124:L124" si="79">SUM(E120:E123)</f>
        <v>1</v>
      </c>
      <c r="F124" s="1210">
        <f t="shared" si="79"/>
        <v>2</v>
      </c>
      <c r="G124" s="1210">
        <f t="shared" si="79"/>
        <v>2</v>
      </c>
      <c r="H124" s="1210">
        <f t="shared" si="79"/>
        <v>0</v>
      </c>
      <c r="I124" s="1210">
        <f t="shared" si="79"/>
        <v>4</v>
      </c>
      <c r="J124" s="1210">
        <f t="shared" si="79"/>
        <v>1</v>
      </c>
      <c r="K124" s="1210">
        <f t="shared" si="79"/>
        <v>3</v>
      </c>
      <c r="L124" s="1211">
        <f t="shared" si="79"/>
        <v>0</v>
      </c>
      <c r="N124" s="35"/>
      <c r="O124" s="35"/>
      <c r="P124" s="35"/>
    </row>
    <row r="125" spans="1:95" ht="17.100000000000001" customHeight="1" x14ac:dyDescent="0.15">
      <c r="A125" s="1602" t="s">
        <v>182</v>
      </c>
      <c r="B125" s="1603"/>
      <c r="C125" s="1603"/>
      <c r="D125" s="1603"/>
      <c r="E125" s="1603"/>
      <c r="F125" s="1603"/>
      <c r="G125" s="1603"/>
      <c r="H125" s="757"/>
      <c r="I125" s="757"/>
      <c r="J125" s="757"/>
      <c r="K125" s="757"/>
      <c r="L125" s="757"/>
      <c r="N125" s="35"/>
      <c r="O125" s="35"/>
      <c r="P125" s="35"/>
    </row>
    <row r="126" spans="1:95" ht="15" customHeight="1" x14ac:dyDescent="0.15">
      <c r="A126" s="1639" t="s">
        <v>125</v>
      </c>
      <c r="B126" s="1616" t="s">
        <v>183</v>
      </c>
      <c r="C126" s="1641" t="s">
        <v>184</v>
      </c>
      <c r="D126" s="1634" t="s">
        <v>185</v>
      </c>
      <c r="E126" s="1643" t="s">
        <v>186</v>
      </c>
      <c r="F126" s="1632" t="s">
        <v>187</v>
      </c>
      <c r="G126" s="1634" t="s">
        <v>188</v>
      </c>
      <c r="H126" s="1636" t="s">
        <v>56</v>
      </c>
      <c r="I126" s="1637"/>
      <c r="J126" s="1638" t="s">
        <v>113</v>
      </c>
      <c r="K126" s="1637"/>
      <c r="L126" s="757"/>
      <c r="M126" s="757"/>
      <c r="N126" s="757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40"/>
      <c r="B127" s="1618"/>
      <c r="C127" s="1642"/>
      <c r="D127" s="1635"/>
      <c r="E127" s="1644"/>
      <c r="F127" s="1633"/>
      <c r="G127" s="1635"/>
      <c r="H127" s="1243" t="s">
        <v>184</v>
      </c>
      <c r="I127" s="1389" t="s">
        <v>185</v>
      </c>
      <c r="J127" s="1355" t="s">
        <v>184</v>
      </c>
      <c r="K127" s="1389" t="s">
        <v>185</v>
      </c>
      <c r="L127" s="757"/>
      <c r="M127" s="757"/>
      <c r="N127" s="757"/>
      <c r="O127" s="757"/>
      <c r="P127" s="757"/>
      <c r="Q127" s="757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42" t="s">
        <v>169</v>
      </c>
      <c r="B128" s="921">
        <v>0</v>
      </c>
      <c r="C128" s="1194">
        <v>0</v>
      </c>
      <c r="D128" s="1197">
        <v>0</v>
      </c>
      <c r="E128" s="1189">
        <v>0</v>
      </c>
      <c r="F128" s="1200">
        <v>0</v>
      </c>
      <c r="G128" s="1197">
        <v>0</v>
      </c>
      <c r="H128" s="1189">
        <v>0</v>
      </c>
      <c r="I128" s="922">
        <v>0</v>
      </c>
      <c r="J128" s="1194">
        <v>0</v>
      </c>
      <c r="K128" s="922">
        <v>0</v>
      </c>
      <c r="L128" s="107" t="str">
        <f>($CA128&amp;$CB128&amp;$CC128&amp;$CD128)</f>
        <v/>
      </c>
      <c r="M128" s="757"/>
      <c r="N128" s="757"/>
      <c r="O128" s="757"/>
      <c r="P128" s="757"/>
      <c r="Q128" s="757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48">
        <f>IF(AND($C128&lt;&gt;0,H128=""),1,IF(H128&gt;$C128,1,0))</f>
        <v>0</v>
      </c>
      <c r="CO128" s="1048">
        <f>IF(AND($D128&lt;&gt;0,I128=""),1,IF(I128&gt;$D128,1,0))</f>
        <v>0</v>
      </c>
      <c r="CP128" s="1048">
        <f>IF(AND($C128&lt;&gt;0,J128=""),1,IF(J128&gt;$C128,1,0))</f>
        <v>0</v>
      </c>
      <c r="CQ128" s="1048">
        <f>IF(AND($D128&lt;&gt;0,K128=""),1,IF(K128&gt;$D128,1,0))</f>
        <v>0</v>
      </c>
    </row>
    <row r="129" spans="1:95" ht="15" customHeight="1" x14ac:dyDescent="0.15">
      <c r="A129" s="839" t="s">
        <v>170</v>
      </c>
      <c r="B129" s="923">
        <v>0</v>
      </c>
      <c r="C129" s="1195">
        <v>0</v>
      </c>
      <c r="D129" s="1198">
        <v>0</v>
      </c>
      <c r="E129" s="1190">
        <v>0</v>
      </c>
      <c r="F129" s="1201">
        <v>0</v>
      </c>
      <c r="G129" s="1198">
        <v>0</v>
      </c>
      <c r="H129" s="1190">
        <v>0</v>
      </c>
      <c r="I129" s="924">
        <v>0</v>
      </c>
      <c r="J129" s="1195">
        <v>0</v>
      </c>
      <c r="K129" s="924">
        <v>0</v>
      </c>
      <c r="L129" s="107" t="str">
        <f t="shared" ref="L129:L138" si="80">($CA129&amp;$CB129&amp;$CC129&amp;$CD129)</f>
        <v/>
      </c>
      <c r="M129" s="757"/>
      <c r="N129" s="757"/>
      <c r="O129" s="757"/>
      <c r="P129" s="757"/>
      <c r="Q129" s="757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1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2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3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48">
        <f t="shared" ref="CN129:CN135" si="84">IF(AND($C129&lt;&gt;0,H129=""),1,IF(H129&gt;$C129,1,0))</f>
        <v>0</v>
      </c>
      <c r="CO129" s="1048">
        <f>IF(AND($D129&lt;&gt;0,$I129=""),1,IF($I129&gt;$D129,1,0))</f>
        <v>0</v>
      </c>
      <c r="CP129" s="1048">
        <f>IF(AND($C129&lt;&gt;0,J129=""),1,IF(J129&gt;$C129,1,0))</f>
        <v>0</v>
      </c>
      <c r="CQ129" s="1048">
        <f t="shared" ref="CQ129:CQ135" si="85">IF(AND($D129&lt;&gt;0,K129=""),1,IF(K129&gt;$D129,1,0))</f>
        <v>0</v>
      </c>
    </row>
    <row r="130" spans="1:95" ht="15" customHeight="1" x14ac:dyDescent="0.15">
      <c r="A130" s="839" t="s">
        <v>171</v>
      </c>
      <c r="B130" s="923">
        <v>0</v>
      </c>
      <c r="C130" s="1195">
        <v>0</v>
      </c>
      <c r="D130" s="1198">
        <v>0</v>
      </c>
      <c r="E130" s="1190">
        <v>0</v>
      </c>
      <c r="F130" s="1201">
        <v>0</v>
      </c>
      <c r="G130" s="1198">
        <v>0</v>
      </c>
      <c r="H130" s="1190">
        <v>0</v>
      </c>
      <c r="I130" s="924">
        <v>0</v>
      </c>
      <c r="J130" s="1195">
        <v>0</v>
      </c>
      <c r="K130" s="924">
        <v>0</v>
      </c>
      <c r="L130" s="107" t="str">
        <f t="shared" si="80"/>
        <v/>
      </c>
      <c r="M130" s="757"/>
      <c r="N130" s="757"/>
      <c r="O130" s="757"/>
      <c r="P130" s="757"/>
      <c r="Q130" s="757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1"/>
        <v/>
      </c>
      <c r="CB130" s="191" t="str">
        <f t="shared" si="82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3"/>
        <v/>
      </c>
      <c r="CN130" s="1048">
        <f t="shared" si="84"/>
        <v>0</v>
      </c>
      <c r="CO130" s="1048">
        <f t="shared" ref="CO130:CO135" si="86">IF(AND($D130&lt;&gt;0,I130=""),1,IF(I130&gt;$D130,1,0))</f>
        <v>0</v>
      </c>
      <c r="CP130" s="1048">
        <f>IF(AND($C130&lt;&gt;0,J130=""),1,IF(J130&gt;$C130,1,0))</f>
        <v>0</v>
      </c>
      <c r="CQ130" s="1048">
        <f t="shared" si="85"/>
        <v>0</v>
      </c>
    </row>
    <row r="131" spans="1:95" ht="15" customHeight="1" x14ac:dyDescent="0.15">
      <c r="A131" s="839" t="s">
        <v>172</v>
      </c>
      <c r="B131" s="923">
        <v>0</v>
      </c>
      <c r="C131" s="1195">
        <v>0</v>
      </c>
      <c r="D131" s="1198">
        <v>0</v>
      </c>
      <c r="E131" s="1190">
        <v>0</v>
      </c>
      <c r="F131" s="1201">
        <v>0</v>
      </c>
      <c r="G131" s="1198">
        <v>0</v>
      </c>
      <c r="H131" s="1190">
        <v>0</v>
      </c>
      <c r="I131" s="924">
        <v>0</v>
      </c>
      <c r="J131" s="1195">
        <v>0</v>
      </c>
      <c r="K131" s="924">
        <v>0</v>
      </c>
      <c r="L131" s="107" t="str">
        <f t="shared" si="80"/>
        <v/>
      </c>
      <c r="M131" s="757"/>
      <c r="N131" s="757"/>
      <c r="O131" s="757"/>
      <c r="P131" s="757"/>
      <c r="Q131" s="757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1"/>
        <v/>
      </c>
      <c r="CB131" s="191" t="str">
        <f t="shared" si="82"/>
        <v/>
      </c>
      <c r="CC131" s="191" t="str">
        <f t="shared" ref="CC131:CC136" si="87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3"/>
        <v/>
      </c>
      <c r="CN131" s="1048">
        <f t="shared" si="84"/>
        <v>0</v>
      </c>
      <c r="CO131" s="1048">
        <f t="shared" si="86"/>
        <v>0</v>
      </c>
      <c r="CP131" s="1048">
        <f t="shared" ref="CP131:CP135" si="88">IF(AND($C131&lt;&gt;0,J131=""),1,IF(J131&gt;$C131,1,0))</f>
        <v>0</v>
      </c>
      <c r="CQ131" s="1048">
        <f t="shared" si="85"/>
        <v>0</v>
      </c>
    </row>
    <row r="132" spans="1:95" ht="15" customHeight="1" x14ac:dyDescent="0.15">
      <c r="A132" s="839" t="s">
        <v>173</v>
      </c>
      <c r="B132" s="923">
        <v>0</v>
      </c>
      <c r="C132" s="1195">
        <v>0</v>
      </c>
      <c r="D132" s="1198">
        <v>0</v>
      </c>
      <c r="E132" s="1190">
        <v>0</v>
      </c>
      <c r="F132" s="1201">
        <v>0</v>
      </c>
      <c r="G132" s="1198">
        <v>0</v>
      </c>
      <c r="H132" s="1190">
        <v>0</v>
      </c>
      <c r="I132" s="924">
        <v>0</v>
      </c>
      <c r="J132" s="1195">
        <v>0</v>
      </c>
      <c r="K132" s="924">
        <v>0</v>
      </c>
      <c r="L132" s="107" t="str">
        <f t="shared" si="80"/>
        <v/>
      </c>
      <c r="M132" s="757"/>
      <c r="N132" s="757"/>
      <c r="O132" s="757"/>
      <c r="P132" s="757"/>
      <c r="Q132" s="757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1"/>
        <v/>
      </c>
      <c r="CB132" s="191" t="str">
        <f t="shared" si="82"/>
        <v/>
      </c>
      <c r="CC132" s="191" t="str">
        <f t="shared" si="87"/>
        <v/>
      </c>
      <c r="CD132" s="191" t="str">
        <f t="shared" si="83"/>
        <v/>
      </c>
      <c r="CN132" s="1048">
        <f t="shared" si="84"/>
        <v>0</v>
      </c>
      <c r="CO132" s="1048">
        <f t="shared" si="86"/>
        <v>0</v>
      </c>
      <c r="CP132" s="1048">
        <f t="shared" si="88"/>
        <v>0</v>
      </c>
      <c r="CQ132" s="1048">
        <f t="shared" si="85"/>
        <v>0</v>
      </c>
    </row>
    <row r="133" spans="1:95" ht="15" customHeight="1" x14ac:dyDescent="0.15">
      <c r="A133" s="839" t="s">
        <v>174</v>
      </c>
      <c r="B133" s="923">
        <v>0</v>
      </c>
      <c r="C133" s="1195">
        <v>0</v>
      </c>
      <c r="D133" s="1198">
        <v>0</v>
      </c>
      <c r="E133" s="1190">
        <v>0</v>
      </c>
      <c r="F133" s="1201">
        <v>0</v>
      </c>
      <c r="G133" s="1198">
        <v>0</v>
      </c>
      <c r="H133" s="1190">
        <v>0</v>
      </c>
      <c r="I133" s="924">
        <v>0</v>
      </c>
      <c r="J133" s="1195">
        <v>0</v>
      </c>
      <c r="K133" s="924">
        <v>0</v>
      </c>
      <c r="L133" s="107" t="str">
        <f t="shared" si="80"/>
        <v/>
      </c>
      <c r="M133" s="757"/>
      <c r="N133" s="757"/>
      <c r="O133" s="757"/>
      <c r="P133" s="757"/>
      <c r="Q133" s="757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1"/>
        <v/>
      </c>
      <c r="CB133" s="191" t="str">
        <f t="shared" si="82"/>
        <v/>
      </c>
      <c r="CC133" s="191" t="str">
        <f t="shared" si="87"/>
        <v/>
      </c>
      <c r="CD133" s="191" t="str">
        <f t="shared" si="83"/>
        <v/>
      </c>
      <c r="CN133" s="1048">
        <f t="shared" si="84"/>
        <v>0</v>
      </c>
      <c r="CO133" s="1048">
        <f t="shared" si="86"/>
        <v>0</v>
      </c>
      <c r="CP133" s="1048">
        <f t="shared" si="88"/>
        <v>0</v>
      </c>
      <c r="CQ133" s="1048">
        <f t="shared" si="85"/>
        <v>0</v>
      </c>
    </row>
    <row r="134" spans="1:95" ht="15" customHeight="1" x14ac:dyDescent="0.15">
      <c r="A134" s="839" t="s">
        <v>175</v>
      </c>
      <c r="B134" s="923">
        <v>0</v>
      </c>
      <c r="C134" s="1195">
        <v>0</v>
      </c>
      <c r="D134" s="1198">
        <v>0</v>
      </c>
      <c r="E134" s="1190">
        <v>0</v>
      </c>
      <c r="F134" s="1201">
        <v>0</v>
      </c>
      <c r="G134" s="1198">
        <v>0</v>
      </c>
      <c r="H134" s="1190">
        <v>0</v>
      </c>
      <c r="I134" s="924">
        <v>0</v>
      </c>
      <c r="J134" s="1195">
        <v>0</v>
      </c>
      <c r="K134" s="924">
        <v>0</v>
      </c>
      <c r="L134" s="107" t="str">
        <f t="shared" si="80"/>
        <v/>
      </c>
      <c r="M134" s="757"/>
      <c r="N134" s="757"/>
      <c r="O134" s="757"/>
      <c r="P134" s="757"/>
      <c r="Q134" s="757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1"/>
        <v/>
      </c>
      <c r="CB134" s="191" t="str">
        <f t="shared" si="82"/>
        <v/>
      </c>
      <c r="CC134" s="191" t="str">
        <f t="shared" si="87"/>
        <v/>
      </c>
      <c r="CD134" s="191" t="str">
        <f t="shared" si="83"/>
        <v/>
      </c>
      <c r="CN134" s="1048">
        <f t="shared" si="84"/>
        <v>0</v>
      </c>
      <c r="CO134" s="1048">
        <f t="shared" si="86"/>
        <v>0</v>
      </c>
      <c r="CP134" s="1048">
        <f t="shared" si="88"/>
        <v>0</v>
      </c>
      <c r="CQ134" s="1048">
        <f t="shared" si="85"/>
        <v>0</v>
      </c>
    </row>
    <row r="135" spans="1:95" ht="15" customHeight="1" x14ac:dyDescent="0.15">
      <c r="A135" s="839" t="s">
        <v>176</v>
      </c>
      <c r="B135" s="923">
        <v>0</v>
      </c>
      <c r="C135" s="1195">
        <v>0</v>
      </c>
      <c r="D135" s="1198">
        <v>0</v>
      </c>
      <c r="E135" s="1190">
        <v>0</v>
      </c>
      <c r="F135" s="1201">
        <v>0</v>
      </c>
      <c r="G135" s="1198">
        <v>0</v>
      </c>
      <c r="H135" s="1190">
        <v>0</v>
      </c>
      <c r="I135" s="924">
        <v>0</v>
      </c>
      <c r="J135" s="1195">
        <v>0</v>
      </c>
      <c r="K135" s="924">
        <v>0</v>
      </c>
      <c r="L135" s="107" t="str">
        <f t="shared" si="80"/>
        <v/>
      </c>
      <c r="M135" s="757"/>
      <c r="N135" s="757"/>
      <c r="O135" s="757"/>
      <c r="P135" s="757"/>
      <c r="Q135" s="757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1"/>
        <v/>
      </c>
      <c r="CB135" s="191" t="str">
        <f t="shared" si="82"/>
        <v/>
      </c>
      <c r="CC135" s="191" t="str">
        <f t="shared" si="87"/>
        <v/>
      </c>
      <c r="CD135" s="191" t="str">
        <f t="shared" si="83"/>
        <v/>
      </c>
      <c r="CN135" s="1048">
        <f t="shared" si="84"/>
        <v>0</v>
      </c>
      <c r="CO135" s="1048">
        <f t="shared" si="86"/>
        <v>0</v>
      </c>
      <c r="CP135" s="1048">
        <f t="shared" si="88"/>
        <v>0</v>
      </c>
      <c r="CQ135" s="1048">
        <f t="shared" si="85"/>
        <v>0</v>
      </c>
    </row>
    <row r="136" spans="1:95" ht="15" customHeight="1" x14ac:dyDescent="0.15">
      <c r="A136" s="833" t="s">
        <v>177</v>
      </c>
      <c r="B136" s="925">
        <v>0</v>
      </c>
      <c r="C136" s="1196">
        <v>0</v>
      </c>
      <c r="D136" s="1199">
        <v>0</v>
      </c>
      <c r="E136" s="1191">
        <v>0</v>
      </c>
      <c r="F136" s="1202">
        <v>0</v>
      </c>
      <c r="G136" s="1199">
        <v>0</v>
      </c>
      <c r="H136" s="1191">
        <v>0</v>
      </c>
      <c r="I136" s="926">
        <v>0</v>
      </c>
      <c r="J136" s="1196">
        <v>0</v>
      </c>
      <c r="K136" s="926">
        <v>0</v>
      </c>
      <c r="L136" s="107" t="str">
        <f t="shared" si="80"/>
        <v/>
      </c>
      <c r="M136" s="757"/>
      <c r="N136" s="757"/>
      <c r="O136" s="757"/>
      <c r="P136" s="757"/>
      <c r="Q136" s="757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2"/>
        <v/>
      </c>
      <c r="CC136" s="191" t="str">
        <f t="shared" si="87"/>
        <v/>
      </c>
      <c r="CD136" s="191" t="str">
        <f t="shared" si="83"/>
        <v/>
      </c>
      <c r="CN136" s="1048">
        <f>IF(AND($C136&lt;&gt;0,H136=""),1,IF(H136&gt;$C136,1,0))</f>
        <v>0</v>
      </c>
      <c r="CO136" s="1048">
        <f>IF(AND($D136&lt;&gt;0,I136=""),1,IF(I136&gt;$D136,1,0))</f>
        <v>0</v>
      </c>
      <c r="CP136" s="1048">
        <f>IF(AND($C136&lt;&gt;0,J136=""),1,IF(J136&gt;$C136,1,0))</f>
        <v>0</v>
      </c>
      <c r="CQ136" s="1048">
        <f>IF(AND($D136&lt;&gt;0,K136=""),1,IF(K136&gt;$D136,1,0))</f>
        <v>0</v>
      </c>
    </row>
    <row r="137" spans="1:95" ht="15" customHeight="1" x14ac:dyDescent="0.15">
      <c r="A137" s="1390" t="s">
        <v>94</v>
      </c>
      <c r="B137" s="1391">
        <f>SUM(B128:B136)</f>
        <v>0</v>
      </c>
      <c r="C137" s="1392">
        <f t="shared" ref="C137:G137" si="89">SUM(C128:C136)</f>
        <v>0</v>
      </c>
      <c r="D137" s="1393">
        <f t="shared" si="89"/>
        <v>0</v>
      </c>
      <c r="E137" s="1203">
        <f t="shared" si="89"/>
        <v>0</v>
      </c>
      <c r="F137" s="1204">
        <f t="shared" si="89"/>
        <v>0</v>
      </c>
      <c r="G137" s="1394">
        <f t="shared" si="89"/>
        <v>0</v>
      </c>
      <c r="H137" s="1192">
        <f t="shared" ref="H137:I137" si="90">SUM(H128:H136)</f>
        <v>0</v>
      </c>
      <c r="I137" s="1395">
        <f t="shared" si="90"/>
        <v>0</v>
      </c>
      <c r="J137" s="1392">
        <f t="shared" ref="J137:K137" si="91">SUM(J128:J136)</f>
        <v>0</v>
      </c>
      <c r="K137" s="1395">
        <f t="shared" si="91"/>
        <v>0</v>
      </c>
      <c r="L137" s="757"/>
      <c r="M137" s="757"/>
      <c r="N137" s="757"/>
      <c r="O137" s="757"/>
      <c r="P137" s="757"/>
      <c r="Q137" s="757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390" t="s">
        <v>189</v>
      </c>
      <c r="B138" s="1396"/>
      <c r="C138" s="1397">
        <v>0</v>
      </c>
      <c r="D138" s="1398">
        <v>0</v>
      </c>
      <c r="E138" s="1205"/>
      <c r="F138" s="1206">
        <v>0</v>
      </c>
      <c r="G138" s="1398">
        <v>0</v>
      </c>
      <c r="H138" s="1193">
        <v>0</v>
      </c>
      <c r="I138" s="1399">
        <v>0</v>
      </c>
      <c r="J138" s="1397">
        <v>0</v>
      </c>
      <c r="K138" s="1399">
        <v>0</v>
      </c>
      <c r="L138" s="107" t="str">
        <f t="shared" si="80"/>
        <v/>
      </c>
      <c r="M138" s="757"/>
      <c r="N138" s="757"/>
      <c r="O138" s="757"/>
      <c r="P138" s="757"/>
      <c r="Q138" s="757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2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3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4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48">
        <f>IF(AND($C138&lt;&gt;0,H138=""),1,IF(H138&gt;$C138,1,0))</f>
        <v>0</v>
      </c>
      <c r="CO138" s="1048">
        <f>IF(AND($D138&lt;&gt;0,I138=""),1,IF(I138&gt;$D138,1,0))</f>
        <v>0</v>
      </c>
      <c r="CP138" s="1048">
        <f>IF(AND($C138&lt;&gt;0,J138=""),1,IF(J138&gt;$C138,1,0))</f>
        <v>0</v>
      </c>
      <c r="CQ138" s="1048">
        <f>IF(AND($D138&lt;&gt;0,K138=""),1,IF(K138&gt;$D138,1,0))</f>
        <v>0</v>
      </c>
    </row>
    <row r="139" spans="1:95" ht="17.100000000000001" customHeight="1" x14ac:dyDescent="0.15">
      <c r="A139" s="1296" t="s">
        <v>190</v>
      </c>
      <c r="B139" s="1047"/>
      <c r="C139" s="1047"/>
      <c r="D139" s="1047"/>
      <c r="E139" s="1047"/>
      <c r="F139" s="1047"/>
      <c r="G139" s="1047"/>
      <c r="H139" s="1047"/>
      <c r="N139" s="35"/>
      <c r="O139" s="35"/>
      <c r="P139" s="35"/>
    </row>
    <row r="140" spans="1:95" ht="17.100000000000001" customHeight="1" x14ac:dyDescent="0.15">
      <c r="A140" s="1604" t="s">
        <v>191</v>
      </c>
      <c r="B140" s="1605"/>
      <c r="C140" s="1605"/>
      <c r="D140" s="1117"/>
      <c r="E140" s="1117"/>
      <c r="F140" s="1117"/>
      <c r="G140" s="1117"/>
      <c r="H140" s="1117"/>
      <c r="N140" s="35"/>
      <c r="O140" s="35"/>
      <c r="P140" s="35"/>
    </row>
    <row r="141" spans="1:95" ht="15" customHeight="1" x14ac:dyDescent="0.15">
      <c r="A141" s="1367" t="s">
        <v>192</v>
      </c>
      <c r="B141" s="1367" t="s">
        <v>54</v>
      </c>
      <c r="C141" s="1297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193</v>
      </c>
      <c r="B142" s="299">
        <v>0</v>
      </c>
      <c r="D142" s="188"/>
      <c r="E142" s="35"/>
      <c r="F142" s="35"/>
      <c r="G142" s="35"/>
      <c r="N142" s="35"/>
    </row>
    <row r="143" spans="1:95" ht="15" customHeight="1" x14ac:dyDescent="0.15">
      <c r="A143" s="56" t="s">
        <v>194</v>
      </c>
      <c r="B143" s="300">
        <v>0</v>
      </c>
      <c r="E143" s="1244"/>
      <c r="F143" s="35"/>
      <c r="G143" s="35"/>
      <c r="N143" s="35"/>
    </row>
    <row r="144" spans="1:95" ht="21" customHeight="1" x14ac:dyDescent="0.15">
      <c r="A144" s="57" t="s">
        <v>195</v>
      </c>
      <c r="B144" s="300">
        <v>0</v>
      </c>
      <c r="D144" s="188"/>
      <c r="E144" s="35"/>
      <c r="F144" s="35"/>
      <c r="G144" s="35"/>
    </row>
    <row r="145" spans="1:8" ht="15" customHeight="1" x14ac:dyDescent="0.15">
      <c r="A145" s="56" t="s">
        <v>196</v>
      </c>
      <c r="B145" s="300">
        <v>0</v>
      </c>
      <c r="D145" s="188"/>
      <c r="E145" s="35"/>
      <c r="F145" s="35"/>
      <c r="G145" s="35"/>
    </row>
    <row r="146" spans="1:8" ht="15" customHeight="1" x14ac:dyDescent="0.15">
      <c r="A146" s="56" t="s">
        <v>197</v>
      </c>
      <c r="B146" s="300">
        <v>0</v>
      </c>
      <c r="D146" s="35"/>
      <c r="E146" s="35"/>
    </row>
    <row r="147" spans="1:8" ht="15" customHeight="1" x14ac:dyDescent="0.15">
      <c r="A147" s="56" t="s">
        <v>198</v>
      </c>
      <c r="B147" s="300">
        <v>0</v>
      </c>
      <c r="D147" s="188"/>
      <c r="E147" s="35"/>
      <c r="F147" s="35"/>
      <c r="G147" s="35"/>
    </row>
    <row r="148" spans="1:8" ht="15" customHeight="1" x14ac:dyDescent="0.15">
      <c r="A148" s="56" t="s">
        <v>199</v>
      </c>
      <c r="B148" s="300">
        <v>0</v>
      </c>
      <c r="D148" s="188"/>
      <c r="E148" s="35"/>
      <c r="F148" s="35"/>
      <c r="G148" s="35"/>
    </row>
    <row r="149" spans="1:8" ht="15" customHeight="1" x14ac:dyDescent="0.15">
      <c r="A149" s="56" t="s">
        <v>200</v>
      </c>
      <c r="B149" s="300">
        <v>0</v>
      </c>
      <c r="D149" s="188"/>
      <c r="E149" s="35"/>
      <c r="F149" s="35"/>
      <c r="G149" s="35"/>
    </row>
    <row r="150" spans="1:8" ht="15" customHeight="1" x14ac:dyDescent="0.15">
      <c r="A150" s="56" t="s">
        <v>201</v>
      </c>
      <c r="B150" s="300">
        <v>0</v>
      </c>
      <c r="D150" s="188"/>
      <c r="E150" s="35"/>
      <c r="F150" s="35"/>
      <c r="G150" s="35"/>
    </row>
    <row r="151" spans="1:8" ht="15" customHeight="1" x14ac:dyDescent="0.15">
      <c r="A151" s="56" t="s">
        <v>202</v>
      </c>
      <c r="B151" s="300">
        <v>0</v>
      </c>
      <c r="D151" s="188"/>
      <c r="E151" s="35"/>
      <c r="F151" s="35"/>
      <c r="G151" s="35"/>
    </row>
    <row r="152" spans="1:8" ht="15" customHeight="1" x14ac:dyDescent="0.15">
      <c r="A152" s="56" t="s">
        <v>203</v>
      </c>
      <c r="B152" s="300">
        <v>0</v>
      </c>
      <c r="D152" s="188"/>
      <c r="E152" s="35"/>
      <c r="F152" s="35"/>
      <c r="G152" s="35"/>
    </row>
    <row r="153" spans="1:8" ht="15" customHeight="1" x14ac:dyDescent="0.15">
      <c r="A153" s="56" t="s">
        <v>204</v>
      </c>
      <c r="B153" s="300">
        <v>0</v>
      </c>
      <c r="D153" s="188"/>
      <c r="E153" s="35"/>
      <c r="F153" s="35"/>
      <c r="G153" s="35"/>
    </row>
    <row r="154" spans="1:8" ht="15" customHeight="1" x14ac:dyDescent="0.15">
      <c r="A154" s="56" t="s">
        <v>205</v>
      </c>
      <c r="B154" s="300">
        <v>0</v>
      </c>
      <c r="D154" s="188"/>
      <c r="E154" s="35"/>
      <c r="F154" s="35"/>
      <c r="G154" s="35"/>
    </row>
    <row r="155" spans="1:8" ht="15" customHeight="1" x14ac:dyDescent="0.15">
      <c r="A155" s="56" t="s">
        <v>206</v>
      </c>
      <c r="B155" s="300">
        <v>0</v>
      </c>
      <c r="D155" s="188"/>
      <c r="E155" s="35"/>
      <c r="F155" s="35"/>
      <c r="G155" s="35"/>
    </row>
    <row r="156" spans="1:8" ht="15" customHeight="1" x14ac:dyDescent="0.15">
      <c r="A156" s="56" t="s">
        <v>207</v>
      </c>
      <c r="B156" s="300">
        <v>0</v>
      </c>
      <c r="D156" s="188"/>
      <c r="E156" s="35"/>
      <c r="F156" s="35"/>
      <c r="G156" s="35"/>
    </row>
    <row r="157" spans="1:8" ht="15" customHeight="1" x14ac:dyDescent="0.15">
      <c r="A157" s="56" t="s">
        <v>208</v>
      </c>
      <c r="B157" s="300">
        <v>0</v>
      </c>
      <c r="D157" s="188"/>
      <c r="E157" s="35"/>
      <c r="F157" s="35"/>
      <c r="G157" s="35"/>
    </row>
    <row r="158" spans="1:8" ht="15" customHeight="1" x14ac:dyDescent="0.15">
      <c r="A158" s="56" t="s">
        <v>209</v>
      </c>
      <c r="B158" s="300">
        <v>0</v>
      </c>
      <c r="D158" s="188"/>
      <c r="E158" s="35"/>
      <c r="F158" s="35"/>
      <c r="G158" s="35"/>
    </row>
    <row r="159" spans="1:8" ht="15" customHeight="1" x14ac:dyDescent="0.15">
      <c r="A159" s="58" t="s">
        <v>210</v>
      </c>
      <c r="B159" s="306">
        <v>0</v>
      </c>
      <c r="D159" s="188"/>
      <c r="E159" s="35"/>
      <c r="F159" s="35"/>
      <c r="G159" s="35"/>
      <c r="H159" s="35"/>
    </row>
    <row r="160" spans="1:8" ht="15" customHeight="1" x14ac:dyDescent="0.15">
      <c r="A160" s="1118" t="s">
        <v>94</v>
      </c>
      <c r="B160" s="1359">
        <f>SUM(B142:B159)</f>
        <v>0</v>
      </c>
      <c r="C160" s="1298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400">
        <f>SUM(C11:C24,C26:C31,C35:C40,B44:F52,B57:B60,D57:D60,C65:C68,C70:C73,B77:B81,B84:C91,C96:C102,B106:E114,B116:E116,C120:C123,B128:G136,C138:D138,F138:G138,B142:B159)</f>
        <v>31</v>
      </c>
      <c r="B172" s="593" t="s">
        <v>211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400">
        <f>SUM(CN11:CV138)</f>
        <v>0</v>
      </c>
      <c r="B173" s="593" t="s">
        <v>212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JznU2zcXf14Wb1mSMtjrq0SoJnRUTUhgFOStX+yqtAyFWMdcR3fJUJSWjPKHNoAO7XLuEByA9xee0MP3rtRJ1Q==" saltValue="qR/oUYLVYPi4RXDmJizYVA==" spinCount="100000" sheet="1" objects="1" scenarios="1"/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CU31:XFD31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CD31:CH31 CD9:XFD30 Y9:CC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D11:X31 N32:S32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topLeftCell="A189" zoomScaleNormal="100" workbookViewId="0">
      <selection activeCell="G214" sqref="G214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7" customWidth="1"/>
    <col min="70" max="73" width="10.42578125" style="107" customWidth="1"/>
    <col min="74" max="78" width="11.42578125" style="107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40" width="11.42578125" style="107" hidden="1" customWidth="1"/>
    <col min="141" max="151" width="0" style="107" hidden="1" customWidth="1"/>
    <col min="152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817" t="s">
        <v>213</v>
      </c>
      <c r="B6" s="1817"/>
      <c r="C6" s="1817"/>
      <c r="D6" s="1817"/>
      <c r="E6" s="1817"/>
      <c r="F6" s="1817"/>
      <c r="G6" s="1817"/>
      <c r="H6" s="1817"/>
      <c r="I6" s="1817"/>
      <c r="J6" s="1817"/>
      <c r="K6" s="1817"/>
      <c r="L6" s="1817"/>
      <c r="M6" s="1817"/>
      <c r="N6" s="1817"/>
      <c r="O6" s="1817"/>
      <c r="P6" s="1817"/>
      <c r="Q6" s="1817"/>
      <c r="R6" s="1817"/>
      <c r="S6" s="1817"/>
      <c r="T6" s="1817"/>
      <c r="U6" s="1817"/>
      <c r="V6" s="1817"/>
      <c r="W6" s="1817"/>
      <c r="X6" s="1817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83"/>
    </row>
    <row r="7" spans="1:151" ht="18" customHeight="1" x14ac:dyDescent="0.25">
      <c r="A7" s="1049"/>
      <c r="B7" s="1049"/>
      <c r="C7" s="1049"/>
      <c r="D7" s="1049"/>
      <c r="E7" s="1049"/>
      <c r="F7" s="1049"/>
      <c r="G7" s="1049"/>
      <c r="H7" s="1049"/>
      <c r="I7" s="1049"/>
      <c r="J7" s="1049"/>
      <c r="K7" s="1049"/>
      <c r="L7" s="1049"/>
      <c r="M7" s="1049"/>
      <c r="N7" s="1049"/>
      <c r="O7" s="1049"/>
      <c r="P7" s="1049"/>
      <c r="Q7" s="1049"/>
      <c r="R7" s="1049"/>
      <c r="S7" s="1049"/>
      <c r="T7" s="1049"/>
      <c r="U7" s="1049"/>
      <c r="V7" s="1049"/>
      <c r="W7" s="1049"/>
      <c r="X7" s="1049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83"/>
    </row>
    <row r="8" spans="1:151" ht="17.100000000000001" customHeight="1" x14ac:dyDescent="0.25">
      <c r="A8" s="1839" t="s">
        <v>214</v>
      </c>
      <c r="B8" s="1839"/>
      <c r="C8" s="1839"/>
      <c r="D8" s="1839"/>
      <c r="E8" s="1839"/>
      <c r="F8" s="1839"/>
      <c r="G8" s="1839"/>
      <c r="H8" s="1839"/>
      <c r="I8" s="1839"/>
      <c r="J8" s="1839"/>
      <c r="K8" s="1839"/>
      <c r="L8" s="1839"/>
      <c r="M8" s="1839"/>
      <c r="N8" s="1839"/>
      <c r="O8" s="1839"/>
      <c r="P8" s="1839"/>
      <c r="Q8" s="1839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28" t="s">
        <v>215</v>
      </c>
      <c r="B9" s="1729"/>
      <c r="C9" s="1717" t="s">
        <v>54</v>
      </c>
      <c r="D9" s="1718"/>
      <c r="E9" s="1719"/>
      <c r="F9" s="1740" t="s">
        <v>216</v>
      </c>
      <c r="G9" s="1741"/>
      <c r="H9" s="1741"/>
      <c r="I9" s="1741"/>
      <c r="J9" s="1741"/>
      <c r="K9" s="1741"/>
      <c r="L9" s="1741"/>
      <c r="M9" s="1741"/>
      <c r="N9" s="1741"/>
      <c r="O9" s="1741"/>
      <c r="P9" s="1741"/>
      <c r="Q9" s="1741"/>
      <c r="R9" s="1741"/>
      <c r="S9" s="1741"/>
      <c r="T9" s="1741"/>
      <c r="U9" s="1741"/>
      <c r="V9" s="1741"/>
      <c r="W9" s="1741"/>
      <c r="X9" s="1741"/>
      <c r="Y9" s="1741"/>
      <c r="Z9" s="1741"/>
      <c r="AA9" s="1741"/>
      <c r="AB9" s="1741"/>
      <c r="AC9" s="1741"/>
      <c r="AD9" s="1741"/>
      <c r="AE9" s="1741"/>
      <c r="AF9" s="1741"/>
      <c r="AG9" s="1747"/>
      <c r="AH9" s="1699" t="s">
        <v>56</v>
      </c>
      <c r="AI9" s="1700"/>
      <c r="AJ9" s="1703" t="s">
        <v>57</v>
      </c>
      <c r="AK9" s="1656"/>
      <c r="AL9" s="607"/>
      <c r="AM9" s="607"/>
      <c r="AN9" s="607"/>
      <c r="AO9" s="607"/>
      <c r="AP9" s="607"/>
      <c r="AQ9" s="607"/>
      <c r="AR9" s="607"/>
      <c r="AS9" s="607"/>
      <c r="AT9" s="607"/>
      <c r="AU9" s="607"/>
      <c r="AV9" s="607"/>
      <c r="BF9" s="107"/>
      <c r="BG9" s="109"/>
      <c r="BH9" s="107"/>
      <c r="BI9" s="107"/>
      <c r="BJ9" s="107"/>
      <c r="BK9" s="107"/>
      <c r="BL9" s="107"/>
      <c r="BM9" s="107"/>
      <c r="BN9" s="107"/>
      <c r="BR9" s="607"/>
      <c r="BS9" s="607"/>
      <c r="CC9" s="1054"/>
      <c r="CD9" s="1054"/>
      <c r="CE9" s="1054"/>
      <c r="CF9" s="1055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30"/>
      <c r="B10" s="1731"/>
      <c r="C10" s="1720"/>
      <c r="D10" s="1721"/>
      <c r="E10" s="1722"/>
      <c r="F10" s="1705" t="s">
        <v>217</v>
      </c>
      <c r="G10" s="1706"/>
      <c r="H10" s="1705" t="s">
        <v>218</v>
      </c>
      <c r="I10" s="1706"/>
      <c r="J10" s="1705" t="s">
        <v>219</v>
      </c>
      <c r="K10" s="1706"/>
      <c r="L10" s="1705" t="s">
        <v>220</v>
      </c>
      <c r="M10" s="1706"/>
      <c r="N10" s="1705" t="s">
        <v>221</v>
      </c>
      <c r="O10" s="1706"/>
      <c r="P10" s="1705" t="s">
        <v>222</v>
      </c>
      <c r="Q10" s="1706"/>
      <c r="R10" s="1705" t="s">
        <v>223</v>
      </c>
      <c r="S10" s="1706"/>
      <c r="T10" s="1705" t="s">
        <v>224</v>
      </c>
      <c r="U10" s="1706"/>
      <c r="V10" s="1705" t="s">
        <v>225</v>
      </c>
      <c r="W10" s="1706"/>
      <c r="X10" s="1705" t="s">
        <v>226</v>
      </c>
      <c r="Y10" s="1706"/>
      <c r="Z10" s="1705" t="s">
        <v>227</v>
      </c>
      <c r="AA10" s="1706"/>
      <c r="AB10" s="1705" t="s">
        <v>228</v>
      </c>
      <c r="AC10" s="1707"/>
      <c r="AD10" s="1705" t="s">
        <v>229</v>
      </c>
      <c r="AE10" s="1706"/>
      <c r="AF10" s="1705" t="s">
        <v>230</v>
      </c>
      <c r="AG10" s="1706"/>
      <c r="AH10" s="1701"/>
      <c r="AI10" s="1702"/>
      <c r="AJ10" s="1704"/>
      <c r="AK10" s="1657"/>
      <c r="AL10" s="607"/>
      <c r="AM10" s="607"/>
      <c r="AN10" s="607"/>
      <c r="AO10" s="607"/>
      <c r="AP10" s="607"/>
      <c r="AQ10" s="607"/>
      <c r="AR10" s="607"/>
      <c r="AS10" s="607"/>
      <c r="AT10" s="607"/>
      <c r="AU10" s="607"/>
      <c r="AV10" s="607"/>
      <c r="BF10" s="107"/>
      <c r="BG10" s="109"/>
      <c r="BH10" s="107"/>
      <c r="BI10" s="107"/>
      <c r="BJ10" s="107"/>
      <c r="BK10" s="107"/>
      <c r="BL10" s="107"/>
      <c r="BM10" s="107"/>
      <c r="BN10" s="107"/>
      <c r="BR10" s="607"/>
      <c r="BS10" s="607"/>
      <c r="CC10" s="1056"/>
      <c r="CD10" s="1056"/>
      <c r="CE10" s="1056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32"/>
      <c r="B11" s="1733"/>
      <c r="C11" s="59" t="s">
        <v>231</v>
      </c>
      <c r="D11" s="1403" t="s">
        <v>91</v>
      </c>
      <c r="E11" s="1402" t="s">
        <v>232</v>
      </c>
      <c r="F11" s="1403" t="s">
        <v>91</v>
      </c>
      <c r="G11" s="1402" t="s">
        <v>232</v>
      </c>
      <c r="H11" s="1403" t="s">
        <v>91</v>
      </c>
      <c r="I11" s="893" t="s">
        <v>232</v>
      </c>
      <c r="J11" s="1403" t="s">
        <v>91</v>
      </c>
      <c r="K11" s="893" t="s">
        <v>232</v>
      </c>
      <c r="L11" s="1403" t="s">
        <v>91</v>
      </c>
      <c r="M11" s="893" t="s">
        <v>232</v>
      </c>
      <c r="N11" s="1403" t="s">
        <v>91</v>
      </c>
      <c r="O11" s="893" t="s">
        <v>232</v>
      </c>
      <c r="P11" s="1403" t="s">
        <v>91</v>
      </c>
      <c r="Q11" s="893" t="s">
        <v>232</v>
      </c>
      <c r="R11" s="1403" t="s">
        <v>91</v>
      </c>
      <c r="S11" s="893" t="s">
        <v>232</v>
      </c>
      <c r="T11" s="1403" t="s">
        <v>91</v>
      </c>
      <c r="U11" s="893" t="s">
        <v>232</v>
      </c>
      <c r="V11" s="1403" t="s">
        <v>91</v>
      </c>
      <c r="W11" s="893" t="s">
        <v>232</v>
      </c>
      <c r="X11" s="1403" t="s">
        <v>91</v>
      </c>
      <c r="Y11" s="893" t="s">
        <v>232</v>
      </c>
      <c r="Z11" s="1403" t="s">
        <v>91</v>
      </c>
      <c r="AA11" s="893" t="s">
        <v>232</v>
      </c>
      <c r="AB11" s="1403" t="s">
        <v>91</v>
      </c>
      <c r="AC11" s="868" t="s">
        <v>232</v>
      </c>
      <c r="AD11" s="1401" t="s">
        <v>91</v>
      </c>
      <c r="AE11" s="893" t="s">
        <v>232</v>
      </c>
      <c r="AF11" s="1403" t="s">
        <v>91</v>
      </c>
      <c r="AG11" s="893" t="s">
        <v>232</v>
      </c>
      <c r="AH11" s="190" t="s">
        <v>91</v>
      </c>
      <c r="AI11" s="1354" t="s">
        <v>232</v>
      </c>
      <c r="AJ11" s="1354" t="s">
        <v>91</v>
      </c>
      <c r="AK11" s="1374" t="s">
        <v>232</v>
      </c>
      <c r="AL11" s="607"/>
      <c r="AM11" s="607"/>
      <c r="AN11" s="607"/>
      <c r="AO11" s="607"/>
      <c r="AP11" s="607"/>
      <c r="AQ11" s="607"/>
      <c r="AR11" s="607"/>
      <c r="AS11" s="607"/>
      <c r="AT11" s="607"/>
      <c r="AU11" s="607"/>
      <c r="AV11" s="607"/>
      <c r="BF11" s="107"/>
      <c r="BG11" s="107"/>
      <c r="BH11" s="107"/>
      <c r="BI11" s="107"/>
      <c r="BJ11" s="107"/>
      <c r="BK11" s="107"/>
      <c r="BL11" s="107"/>
      <c r="BM11" s="107"/>
      <c r="BN11" s="107"/>
      <c r="BR11" s="607"/>
      <c r="BS11" s="607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815" t="s">
        <v>233</v>
      </c>
      <c r="B12" s="1816"/>
      <c r="C12" s="313">
        <f>SUM(D12:E12)</f>
        <v>2</v>
      </c>
      <c r="D12" s="362">
        <f>+F12+H12+J12+L12+N12+P12+R12+T12+V12+X12+Z12+AB12+AD12+AF12</f>
        <v>1</v>
      </c>
      <c r="E12" s="371">
        <f>+G12+I12+K12+M12+O12+Q12+S12+U12+W12+Y12+AA12+AC12+AE12+AG12</f>
        <v>1</v>
      </c>
      <c r="F12" s="315">
        <v>0</v>
      </c>
      <c r="G12" s="760">
        <v>0</v>
      </c>
      <c r="H12" s="315">
        <v>0</v>
      </c>
      <c r="I12" s="316">
        <v>0</v>
      </c>
      <c r="J12" s="315">
        <v>0</v>
      </c>
      <c r="K12" s="316">
        <v>0</v>
      </c>
      <c r="L12" s="315">
        <v>0</v>
      </c>
      <c r="M12" s="317">
        <v>0</v>
      </c>
      <c r="N12" s="1404">
        <v>0</v>
      </c>
      <c r="O12" s="958">
        <v>0</v>
      </c>
      <c r="P12" s="1404">
        <v>1</v>
      </c>
      <c r="Q12" s="958">
        <v>0</v>
      </c>
      <c r="R12" s="318">
        <v>0</v>
      </c>
      <c r="S12" s="316">
        <v>0</v>
      </c>
      <c r="T12" s="315">
        <v>0</v>
      </c>
      <c r="U12" s="317">
        <v>0</v>
      </c>
      <c r="V12" s="1404">
        <v>0</v>
      </c>
      <c r="W12" s="958">
        <v>0</v>
      </c>
      <c r="X12" s="1404">
        <v>0</v>
      </c>
      <c r="Y12" s="958">
        <v>0</v>
      </c>
      <c r="Z12" s="1404">
        <v>0</v>
      </c>
      <c r="AA12" s="958">
        <v>1</v>
      </c>
      <c r="AB12" s="1404">
        <v>0</v>
      </c>
      <c r="AC12" s="751">
        <v>0</v>
      </c>
      <c r="AD12" s="1405">
        <v>0</v>
      </c>
      <c r="AE12" s="958">
        <v>0</v>
      </c>
      <c r="AF12" s="1404">
        <v>0</v>
      </c>
      <c r="AG12" s="958">
        <v>0</v>
      </c>
      <c r="AH12" s="320">
        <v>1</v>
      </c>
      <c r="AI12" s="957">
        <v>0</v>
      </c>
      <c r="AJ12" s="1406">
        <v>0</v>
      </c>
      <c r="AK12" s="958">
        <v>0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7"/>
      <c r="AN12" s="607"/>
      <c r="AO12" s="607"/>
      <c r="AP12" s="607"/>
      <c r="AQ12" s="607"/>
      <c r="AR12" s="607"/>
      <c r="AS12" s="607"/>
      <c r="AT12" s="607"/>
      <c r="AU12" s="607"/>
      <c r="AV12" s="607"/>
      <c r="BF12" s="107"/>
      <c r="BG12" s="107"/>
      <c r="BH12" s="107"/>
      <c r="BI12" s="107"/>
      <c r="BJ12" s="107"/>
      <c r="BK12" s="107"/>
      <c r="BL12" s="107"/>
      <c r="BM12" s="107"/>
      <c r="BN12" s="107"/>
      <c r="BR12" s="607"/>
      <c r="BS12" s="607"/>
      <c r="CA12" s="191" t="str">
        <f>IF(H12&lt;&gt;H39,"* El Total de Hombres en Control de 1 mes debe ser igual al Total de Hombres según Diagnóstico Nutricional Integrado. ","")</f>
        <v/>
      </c>
      <c r="CB12" s="191" t="str">
        <f>IF(I12&lt;&gt;I39,"* El Total de Mujeres en Control de 1 mes debe ser igual al Total de Mujeres según Diagnóstico Nutricional Integrado. ","")</f>
        <v/>
      </c>
      <c r="CC12" s="191" t="str">
        <f>IF(J12&lt;&gt;J39,"* El Total de Hombres en Control de 2 meses debe ser igual al Total de Hombres según Diagnóstico Nutricional Integrado. ","")</f>
        <v/>
      </c>
      <c r="CD12" s="191" t="str">
        <f>IF(K12&lt;&gt;K39,"* El Total de Mujeres en Control de 2 meses debe ser igual al Total de Mujeres según Diagnóstico Nutricional Integrado. ","")</f>
        <v/>
      </c>
      <c r="CE12" s="191" t="str">
        <f>IF(L12&lt;&gt;L39,"* El Total de Hombres en Control de 3 meses debe ser igual al Total de Hombres según Diagnóstico Nutricional Integrado. ","")</f>
        <v/>
      </c>
      <c r="CF12" s="191" t="str">
        <f>IF(M12&lt;&gt;M39,"* El Total de Mujeres en Control de 3 meses debe ser igual al Total de Mujeres según Diagnóstico Nutricional Integrado. ","")</f>
        <v/>
      </c>
      <c r="CG12" s="191" t="str">
        <f>IF(N12&lt;&gt;N39,"* El Total de Hombres en Control de 4 meses debe ser igual al Total de Hombres según Diagnóstico Nutricional Integrado. ","")</f>
        <v/>
      </c>
      <c r="CH12" s="191" t="str">
        <f>IF(O12&lt;&gt;O39,"* El Total de Mujeres en Control de 4 meses debe ser igual al Total de Mujeres según Diagnóstico Nutricional Integrado. ","")</f>
        <v/>
      </c>
      <c r="CI12" s="191" t="str">
        <f>IF(P12&lt;&gt;P39,"* El Total de Hombres en Control de 5 meses debe ser igual al Total de Hombres según Diagnóstico Nutricional Integrado. ","")</f>
        <v/>
      </c>
      <c r="CJ12" s="191" t="str">
        <f>IF(Q12&lt;&gt;Q39,"* El Total de Mujeres en Control de 5 meses debe ser igual al Total de Mujeres según Diagnóstico Nutricional Integrado. ","")</f>
        <v/>
      </c>
      <c r="CK12" s="191" t="str">
        <f>IF(R12&lt;&gt;R39,"* El Total de Hombres en Control de 6 meses debe ser igual al Total de Hombres según Diagnóstico Nutricional Integrado. ","")</f>
        <v/>
      </c>
      <c r="CL12" s="191" t="str">
        <f>IF(S12&lt;&gt;S39,"* El Total de Mujeres en Control de 6 meses debe ser igual al Total de Mujeres según Diagnóstico Nutricional Integrado. ","")</f>
        <v/>
      </c>
      <c r="CM12" s="191" t="str">
        <f>IF(T12&lt;&gt;T39,"* El Total de Hombres en Control de 7 a 11 meses debe ser igual al Total de Hombres según Diagnóstico Nutricional Integrado. ","")</f>
        <v/>
      </c>
      <c r="CN12" s="191" t="str">
        <f>IF(U12&lt;&gt;U39,"* El Total de Mujeres en Control de 7 a 11 meses debe ser igual al Total de Mujeres según Diagnóstico Nutricional Integrado. ","")</f>
        <v/>
      </c>
      <c r="CO12" s="191" t="str">
        <f>IF(V12&lt;&gt;V39,"* El Total de Hombres en Control de 12 a 17 meses debe ser igual al Total de Hombres según Diagnóstico Nutricional Integrado. ","")</f>
        <v/>
      </c>
      <c r="CP12" s="191" t="str">
        <f>IF(W12&lt;&gt;W39,"* El Total de Mujeres en Control de 12 a 17 meses debe ser igual al Total de Mujeres según Diagnóstico Nutricional Integrado. ","")</f>
        <v/>
      </c>
      <c r="CQ12" s="191" t="str">
        <f>IF(X12&lt;&gt;X39,"* El Total de Hombres en Control de 18 a 23 meses debe ser igual al Total de Hombres según Diagnóstico Nutricional Integrado. ","")</f>
        <v/>
      </c>
      <c r="CR12" s="191" t="str">
        <f>IF(Y12&lt;&gt;Y39,"* El Total de Mujeres en Control de 18 a 23 meses debe ser igual al Total de Mujeres según Diagnóstico Nutricional Integrado. ","")</f>
        <v/>
      </c>
      <c r="CS12" s="191" t="str">
        <f>IF(Z12&lt;&gt;Z39,"* El Total de Hombres en Control de 24 a 35 meses debe ser igual al Total de Hombres según Diagnóstico Nutricional Integrado. ","")</f>
        <v/>
      </c>
      <c r="CT12" s="191" t="str">
        <f>IF(AA12&lt;&gt;AA39,"* El Total de Mujeres en Control de 24 a 35 meses debe ser igual al Total de Mujeres según Diagnóstico Nutricional Integrado. ","")</f>
        <v/>
      </c>
      <c r="CU12" s="191" t="str">
        <f>IF(AB12&lt;&gt;AB39,"* El Total de Hombres en Control de 36 a 41 meses debe ser igual al Total de Hombres según Diagnóstico Nutricional Integrado. ","")</f>
        <v/>
      </c>
      <c r="CV12" s="191" t="str">
        <f>IF(AC12&lt;&gt;AC39,"* El Total de Mujeres en Control de 36 a 41 meses debe ser igual al Total de Mujeres según Diagnóstico Nutricional Integrado. ","")</f>
        <v/>
      </c>
      <c r="CW12" s="191" t="str">
        <f>IF(AD12&lt;&gt;AD39,"* El Total de Hombres en Control de 42 a 47 meses debe ser igual al Total de Hombres según Diagnóstico Nutricional Integrado. ","")</f>
        <v/>
      </c>
      <c r="CX12" s="191" t="str">
        <f>IF(AE12&lt;&gt;AE39,"* El Total de Mujeres en Control de 42 a 47 meses debe ser igual al Total de Mujeres según Diagnóstico Nutricional Integrado. ","")</f>
        <v/>
      </c>
      <c r="CY12" s="191" t="str">
        <f>IF(AF12&lt;&gt;AF39,"* El Total de Hombres en Control de 48 a 59 meses debe ser igual al Total de Hombres según Diagnóstico Nutricional Integrado. ","")</f>
        <v/>
      </c>
      <c r="CZ12" s="191" t="str">
        <f>IF(AG12&lt;&gt;AG39,"* El Total de Mujeres en Control de 48 a 59 meses debe ser igual al Total de Mujeres según Diagnóstico Nutricional Integrado. 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48">
        <f>IF(H12&lt;&gt;H39,1,0)</f>
        <v>0</v>
      </c>
      <c r="DQ12" s="1048">
        <f>IF(I12&lt;&gt;I39,1,0)</f>
        <v>0</v>
      </c>
      <c r="DR12" s="1048">
        <f>IF(J12&lt;&gt;J39,1,0)</f>
        <v>0</v>
      </c>
      <c r="DS12" s="1048">
        <f t="shared" ref="DS12:EL12" si="0">IF(K12&lt;&gt;K39,1,0)</f>
        <v>0</v>
      </c>
      <c r="DT12" s="1048">
        <f t="shared" si="0"/>
        <v>0</v>
      </c>
      <c r="DU12" s="1048">
        <f t="shared" si="0"/>
        <v>0</v>
      </c>
      <c r="DV12" s="1048">
        <f t="shared" si="0"/>
        <v>0</v>
      </c>
      <c r="DW12" s="1048">
        <f t="shared" si="0"/>
        <v>0</v>
      </c>
      <c r="DX12" s="1048">
        <f t="shared" si="0"/>
        <v>0</v>
      </c>
      <c r="DY12" s="1048">
        <f t="shared" si="0"/>
        <v>0</v>
      </c>
      <c r="DZ12" s="1048">
        <f t="shared" si="0"/>
        <v>0</v>
      </c>
      <c r="EA12" s="1048">
        <f t="shared" si="0"/>
        <v>0</v>
      </c>
      <c r="EB12" s="1048">
        <f t="shared" si="0"/>
        <v>0</v>
      </c>
      <c r="EC12" s="1048">
        <f t="shared" si="0"/>
        <v>0</v>
      </c>
      <c r="ED12" s="1048">
        <f t="shared" si="0"/>
        <v>0</v>
      </c>
      <c r="EE12" s="1048">
        <f t="shared" si="0"/>
        <v>0</v>
      </c>
      <c r="EF12" s="1048">
        <f t="shared" si="0"/>
        <v>0</v>
      </c>
      <c r="EG12" s="1048">
        <f t="shared" si="0"/>
        <v>0</v>
      </c>
      <c r="EH12" s="1048">
        <f t="shared" si="0"/>
        <v>0</v>
      </c>
      <c r="EI12" s="1048">
        <f t="shared" si="0"/>
        <v>0</v>
      </c>
      <c r="EJ12" s="1048">
        <f t="shared" si="0"/>
        <v>0</v>
      </c>
      <c r="EK12" s="1048">
        <f t="shared" si="0"/>
        <v>0</v>
      </c>
      <c r="EL12" s="1048">
        <f t="shared" si="0"/>
        <v>0</v>
      </c>
      <c r="EM12" s="1048">
        <f>IF(AE12&lt;&gt;AE39,1,0)</f>
        <v>0</v>
      </c>
      <c r="EN12" s="1048">
        <f>IF(AF12&lt;&gt;AF39,1,0)</f>
        <v>0</v>
      </c>
      <c r="EO12" s="1048">
        <f>IF(AG12&lt;&gt;AG39,1,0)</f>
        <v>0</v>
      </c>
      <c r="EP12" s="1048">
        <f>IF(AND(D12&gt;0,OR(AH12="")),1,IF(AH12&gt;D12,1,0))</f>
        <v>0</v>
      </c>
      <c r="EQ12" s="1048">
        <f>IF(AND(E12&gt;0,OR(AI12="")),1,IF(AI12&gt;E12,1,0))</f>
        <v>0</v>
      </c>
      <c r="ER12" s="1048">
        <f>IF(AND(D12&gt;0,OR(AJ12="")),1,IF(AJ12&gt;D12,1,0))</f>
        <v>0</v>
      </c>
      <c r="ES12" s="1048">
        <f>IF(AND(E12&gt;0,OR(AK12="")),1,IF(AK12&gt;E12,1,0))</f>
        <v>0</v>
      </c>
      <c r="ET12" s="1048">
        <f>IF($AH$12+$AI$12&lt;&gt;$AH$39+$AI$39,1,0)</f>
        <v>0</v>
      </c>
      <c r="EU12" s="1048">
        <f>IF($AJ$12+$AK$12&lt;&gt;$AJ$39+$AK$39,1,0)</f>
        <v>0</v>
      </c>
    </row>
    <row r="13" spans="1:151" ht="15" customHeight="1" x14ac:dyDescent="0.25">
      <c r="A13" s="1812" t="s">
        <v>234</v>
      </c>
      <c r="B13" s="60" t="s">
        <v>235</v>
      </c>
      <c r="C13" s="321">
        <f t="shared" ref="C13:C39" si="1">SUM(D13:E13)</f>
        <v>1</v>
      </c>
      <c r="D13" s="761">
        <f t="shared" ref="D13:D31" si="2">+F13+H13+J13+L13+N13+P13+R13+T13+V13+X13+Z13+AB13+AD13+AF13</f>
        <v>1</v>
      </c>
      <c r="E13" s="364">
        <f t="shared" ref="E13:E31" si="3">+G13+I13+K13+M13+O13+Q13+S13+U13+W13+Y13+AA13+AC13+AE13+AG13</f>
        <v>0</v>
      </c>
      <c r="F13" s="322">
        <v>0</v>
      </c>
      <c r="G13" s="701">
        <v>0</v>
      </c>
      <c r="H13" s="322">
        <v>0</v>
      </c>
      <c r="I13" s="323">
        <v>0</v>
      </c>
      <c r="J13" s="322">
        <v>0</v>
      </c>
      <c r="K13" s="323">
        <v>0</v>
      </c>
      <c r="L13" s="322">
        <v>0</v>
      </c>
      <c r="M13" s="324">
        <v>0</v>
      </c>
      <c r="N13" s="322">
        <v>0</v>
      </c>
      <c r="O13" s="323">
        <v>0</v>
      </c>
      <c r="P13" s="322">
        <v>1</v>
      </c>
      <c r="Q13" s="323">
        <v>0</v>
      </c>
      <c r="R13" s="325">
        <v>0</v>
      </c>
      <c r="S13" s="323">
        <v>0</v>
      </c>
      <c r="T13" s="322">
        <v>0</v>
      </c>
      <c r="U13" s="324">
        <v>0</v>
      </c>
      <c r="V13" s="322">
        <v>0</v>
      </c>
      <c r="W13" s="323">
        <v>0</v>
      </c>
      <c r="X13" s="322">
        <v>0</v>
      </c>
      <c r="Y13" s="323">
        <v>0</v>
      </c>
      <c r="Z13" s="322">
        <v>0</v>
      </c>
      <c r="AA13" s="323">
        <v>0</v>
      </c>
      <c r="AB13" s="322">
        <v>0</v>
      </c>
      <c r="AC13" s="336">
        <v>0</v>
      </c>
      <c r="AD13" s="959">
        <v>0</v>
      </c>
      <c r="AE13" s="323">
        <v>0</v>
      </c>
      <c r="AF13" s="322">
        <v>0</v>
      </c>
      <c r="AG13" s="323">
        <v>0</v>
      </c>
      <c r="AH13" s="326">
        <v>0</v>
      </c>
      <c r="AI13" s="375">
        <v>0</v>
      </c>
      <c r="AJ13" s="325">
        <v>0</v>
      </c>
      <c r="AK13" s="323">
        <v>0</v>
      </c>
      <c r="AL13" s="107" t="str">
        <f>($DG13&amp;DH13&amp;DI13&amp;DJ13)</f>
        <v/>
      </c>
      <c r="AM13" s="607"/>
      <c r="AN13" s="607"/>
      <c r="AO13" s="607"/>
      <c r="AP13" s="607"/>
      <c r="AQ13" s="607"/>
      <c r="AR13" s="607"/>
      <c r="AS13" s="607"/>
      <c r="AT13" s="607"/>
      <c r="AU13" s="607"/>
      <c r="AV13" s="607"/>
      <c r="BF13" s="107"/>
      <c r="BG13" s="107"/>
      <c r="BH13" s="107"/>
      <c r="BI13" s="107"/>
      <c r="BJ13" s="107"/>
      <c r="BK13" s="107"/>
      <c r="BL13" s="107"/>
      <c r="BM13" s="107"/>
      <c r="BN13" s="107"/>
      <c r="BR13" s="607"/>
      <c r="BS13" s="607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48">
        <f>IF(AND(D13&gt;0,OR(AH13="")),1,IF(AH13&gt;D13,1,0))</f>
        <v>0</v>
      </c>
      <c r="ES13" s="1048">
        <f>IF(AND(E13&gt;0,OR(AI13="")),1,IF(AI13&gt;E13,1,0))</f>
        <v>0</v>
      </c>
      <c r="ET13" s="1048">
        <f>IF(AND(D13&gt;0,OR(AJ13="")),1,IF(AJ13&gt;D13,1,0))</f>
        <v>0</v>
      </c>
      <c r="EU13" s="1048">
        <f>IF(AND(E13&gt;0,OR(AK13="")),1,IF(AK13&gt;E13,1,0))</f>
        <v>0</v>
      </c>
    </row>
    <row r="14" spans="1:151" ht="15" customHeight="1" x14ac:dyDescent="0.25">
      <c r="A14" s="1813"/>
      <c r="B14" s="61" t="s">
        <v>236</v>
      </c>
      <c r="C14" s="327">
        <f t="shared" si="1"/>
        <v>0</v>
      </c>
      <c r="D14" s="362">
        <f t="shared" si="2"/>
        <v>0</v>
      </c>
      <c r="E14" s="371">
        <f t="shared" si="3"/>
        <v>0</v>
      </c>
      <c r="F14" s="328">
        <v>0</v>
      </c>
      <c r="G14" s="706">
        <v>0</v>
      </c>
      <c r="H14" s="328">
        <v>0</v>
      </c>
      <c r="I14" s="329">
        <v>0</v>
      </c>
      <c r="J14" s="328">
        <v>0</v>
      </c>
      <c r="K14" s="329">
        <v>0</v>
      </c>
      <c r="L14" s="328">
        <v>0</v>
      </c>
      <c r="M14" s="330">
        <v>0</v>
      </c>
      <c r="N14" s="328">
        <v>0</v>
      </c>
      <c r="O14" s="329">
        <v>0</v>
      </c>
      <c r="P14" s="328">
        <v>0</v>
      </c>
      <c r="Q14" s="329">
        <v>0</v>
      </c>
      <c r="R14" s="331">
        <v>0</v>
      </c>
      <c r="S14" s="329">
        <v>0</v>
      </c>
      <c r="T14" s="328">
        <v>0</v>
      </c>
      <c r="U14" s="330">
        <v>0</v>
      </c>
      <c r="V14" s="328">
        <v>0</v>
      </c>
      <c r="W14" s="329">
        <v>0</v>
      </c>
      <c r="X14" s="328">
        <v>0</v>
      </c>
      <c r="Y14" s="329">
        <v>0</v>
      </c>
      <c r="Z14" s="328">
        <v>0</v>
      </c>
      <c r="AA14" s="329">
        <v>0</v>
      </c>
      <c r="AB14" s="328">
        <v>0</v>
      </c>
      <c r="AC14" s="337">
        <v>0</v>
      </c>
      <c r="AD14" s="960">
        <v>0</v>
      </c>
      <c r="AE14" s="329">
        <v>0</v>
      </c>
      <c r="AF14" s="328">
        <v>0</v>
      </c>
      <c r="AG14" s="329">
        <v>0</v>
      </c>
      <c r="AH14" s="332">
        <v>0</v>
      </c>
      <c r="AI14" s="379">
        <v>0</v>
      </c>
      <c r="AJ14" s="331">
        <v>0</v>
      </c>
      <c r="AK14" s="329">
        <v>0</v>
      </c>
      <c r="AL14" s="107" t="str">
        <f>($DG14&amp;DH14&amp;DI14&amp;DJ14)</f>
        <v/>
      </c>
      <c r="AM14" s="607"/>
      <c r="AN14" s="607"/>
      <c r="AO14" s="607"/>
      <c r="AP14" s="607"/>
      <c r="AQ14" s="607"/>
      <c r="AR14" s="607"/>
      <c r="AS14" s="607"/>
      <c r="AT14" s="607"/>
      <c r="AU14" s="607"/>
      <c r="AV14" s="607"/>
      <c r="BF14" s="107"/>
      <c r="BG14" s="107"/>
      <c r="BH14" s="107"/>
      <c r="BI14" s="107"/>
      <c r="BJ14" s="107"/>
      <c r="BK14" s="107"/>
      <c r="BL14" s="107"/>
      <c r="BM14" s="107"/>
      <c r="BN14" s="107"/>
      <c r="BR14" s="607"/>
      <c r="BS14" s="607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48">
        <f>IF(AND(D14&gt;0,OR(AH14="")),1,IF(AH14&gt;D14,1,0))</f>
        <v>0</v>
      </c>
      <c r="ES14" s="1048">
        <f>IF(AND(E14&gt;0,OR(AI14="")),1,IF(AI14&gt;E14,1,0))</f>
        <v>0</v>
      </c>
      <c r="ET14" s="1048">
        <f>IF(AND(D14&gt;0,OR(AJ14="")),1,IF(AJ14&gt;D14,1,0))</f>
        <v>0</v>
      </c>
      <c r="EU14" s="1048">
        <f>IF(AND(E14&gt;0,OR(AK14="")),1,IF(AK14&gt;E14,1,0))</f>
        <v>0</v>
      </c>
    </row>
    <row r="15" spans="1:151" ht="15" customHeight="1" x14ac:dyDescent="0.25">
      <c r="A15" s="1813"/>
      <c r="B15" s="1407" t="s">
        <v>94</v>
      </c>
      <c r="C15" s="1408">
        <f t="shared" si="1"/>
        <v>1</v>
      </c>
      <c r="D15" s="362">
        <f t="shared" si="2"/>
        <v>1</v>
      </c>
      <c r="E15" s="371">
        <f t="shared" si="3"/>
        <v>0</v>
      </c>
      <c r="F15" s="1409">
        <f>+SUM(F13:F14)</f>
        <v>0</v>
      </c>
      <c r="G15" s="1410">
        <f>+SUM(G13:G14)</f>
        <v>0</v>
      </c>
      <c r="H15" s="1409">
        <f>+SUM(H13:H14)</f>
        <v>0</v>
      </c>
      <c r="I15" s="941">
        <f t="shared" ref="I15:T15" si="4">+SUM(I13:I14)</f>
        <v>0</v>
      </c>
      <c r="J15" s="1409">
        <f t="shared" si="4"/>
        <v>0</v>
      </c>
      <c r="K15" s="941">
        <f t="shared" si="4"/>
        <v>0</v>
      </c>
      <c r="L15" s="1409">
        <f t="shared" si="4"/>
        <v>0</v>
      </c>
      <c r="M15" s="334">
        <f t="shared" si="4"/>
        <v>0</v>
      </c>
      <c r="N15" s="1409">
        <f t="shared" si="4"/>
        <v>0</v>
      </c>
      <c r="O15" s="941">
        <f t="shared" si="4"/>
        <v>0</v>
      </c>
      <c r="P15" s="1409">
        <f t="shared" si="4"/>
        <v>1</v>
      </c>
      <c r="Q15" s="941">
        <f t="shared" si="4"/>
        <v>0</v>
      </c>
      <c r="R15" s="1410">
        <f t="shared" si="4"/>
        <v>0</v>
      </c>
      <c r="S15" s="941">
        <f t="shared" si="4"/>
        <v>0</v>
      </c>
      <c r="T15" s="1409">
        <f t="shared" si="4"/>
        <v>0</v>
      </c>
      <c r="U15" s="334">
        <f>+SUM(U13:U14)</f>
        <v>0</v>
      </c>
      <c r="V15" s="1409">
        <f>SUM(V13:V14)</f>
        <v>0</v>
      </c>
      <c r="W15" s="941">
        <f t="shared" ref="W15:AG15" si="5">SUM(W13:W14)</f>
        <v>0</v>
      </c>
      <c r="X15" s="1409">
        <f>SUM(X13:X14)</f>
        <v>0</v>
      </c>
      <c r="Y15" s="941">
        <f t="shared" si="5"/>
        <v>0</v>
      </c>
      <c r="Z15" s="1409">
        <f t="shared" si="5"/>
        <v>0</v>
      </c>
      <c r="AA15" s="941">
        <f t="shared" si="5"/>
        <v>0</v>
      </c>
      <c r="AB15" s="1410">
        <f t="shared" si="5"/>
        <v>0</v>
      </c>
      <c r="AC15" s="334">
        <f t="shared" si="5"/>
        <v>0</v>
      </c>
      <c r="AD15" s="1411">
        <f t="shared" si="5"/>
        <v>0</v>
      </c>
      <c r="AE15" s="941">
        <f t="shared" si="5"/>
        <v>0</v>
      </c>
      <c r="AF15" s="1409">
        <f>SUM(AF13:AF14)</f>
        <v>0</v>
      </c>
      <c r="AG15" s="941">
        <f t="shared" si="5"/>
        <v>0</v>
      </c>
      <c r="AH15" s="335">
        <f>+SUM(AH13:AH14)</f>
        <v>0</v>
      </c>
      <c r="AI15" s="1212">
        <f>+SUM(AI13:AI14)</f>
        <v>0</v>
      </c>
      <c r="AJ15" s="1410">
        <f>+SUM(AJ13:AJ14)</f>
        <v>0</v>
      </c>
      <c r="AK15" s="941">
        <f>+SUM(AK13:AK14)</f>
        <v>0</v>
      </c>
      <c r="AL15" s="107"/>
      <c r="AM15" s="607"/>
      <c r="AN15" s="607"/>
      <c r="AO15" s="607"/>
      <c r="AP15" s="607"/>
      <c r="AQ15" s="607"/>
      <c r="AR15" s="607"/>
      <c r="AS15" s="607"/>
      <c r="AT15" s="607"/>
      <c r="AU15" s="607"/>
      <c r="AV15" s="607"/>
      <c r="BF15" s="107"/>
      <c r="BG15" s="107"/>
      <c r="BH15" s="107"/>
      <c r="BI15" s="107"/>
      <c r="BJ15" s="107"/>
      <c r="BK15" s="107"/>
      <c r="BL15" s="107"/>
      <c r="BM15" s="107"/>
      <c r="BN15" s="107"/>
      <c r="BR15" s="607"/>
      <c r="BS15" s="607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813"/>
      <c r="B16" s="63" t="s">
        <v>237</v>
      </c>
      <c r="C16" s="321">
        <f t="shared" si="1"/>
        <v>0</v>
      </c>
      <c r="D16" s="761">
        <f t="shared" si="2"/>
        <v>0</v>
      </c>
      <c r="E16" s="364">
        <f t="shared" si="3"/>
        <v>0</v>
      </c>
      <c r="F16" s="322">
        <v>0</v>
      </c>
      <c r="G16" s="701">
        <v>0</v>
      </c>
      <c r="H16" s="322">
        <v>0</v>
      </c>
      <c r="I16" s="325">
        <v>0</v>
      </c>
      <c r="J16" s="322">
        <v>0</v>
      </c>
      <c r="K16" s="325">
        <v>0</v>
      </c>
      <c r="L16" s="322">
        <v>0</v>
      </c>
      <c r="M16" s="324">
        <v>0</v>
      </c>
      <c r="N16" s="322">
        <v>0</v>
      </c>
      <c r="O16" s="323">
        <v>0</v>
      </c>
      <c r="P16" s="322">
        <v>0</v>
      </c>
      <c r="Q16" s="323">
        <v>0</v>
      </c>
      <c r="R16" s="325">
        <v>0</v>
      </c>
      <c r="S16" s="325">
        <v>0</v>
      </c>
      <c r="T16" s="322">
        <v>0</v>
      </c>
      <c r="U16" s="336">
        <v>0</v>
      </c>
      <c r="V16" s="322">
        <v>0</v>
      </c>
      <c r="W16" s="323">
        <v>0</v>
      </c>
      <c r="X16" s="322">
        <v>0</v>
      </c>
      <c r="Y16" s="323">
        <v>0</v>
      </c>
      <c r="Z16" s="322">
        <v>0</v>
      </c>
      <c r="AA16" s="323">
        <v>0</v>
      </c>
      <c r="AB16" s="325">
        <v>0</v>
      </c>
      <c r="AC16" s="336">
        <v>0</v>
      </c>
      <c r="AD16" s="959">
        <v>0</v>
      </c>
      <c r="AE16" s="323">
        <v>0</v>
      </c>
      <c r="AF16" s="322">
        <v>0</v>
      </c>
      <c r="AG16" s="323">
        <v>0</v>
      </c>
      <c r="AH16" s="326">
        <v>0</v>
      </c>
      <c r="AI16" s="375">
        <v>0</v>
      </c>
      <c r="AJ16" s="325">
        <v>0</v>
      </c>
      <c r="AK16" s="323">
        <v>0</v>
      </c>
      <c r="AL16" s="107" t="str">
        <f>($DG16&amp;DH16&amp;DI16&amp;DJ16)</f>
        <v/>
      </c>
      <c r="AM16" s="607"/>
      <c r="AN16" s="607"/>
      <c r="AO16" s="607"/>
      <c r="AP16" s="607"/>
      <c r="AQ16" s="607"/>
      <c r="AR16" s="607"/>
      <c r="AS16" s="607"/>
      <c r="AT16" s="607"/>
      <c r="AU16" s="607"/>
      <c r="AV16" s="607"/>
      <c r="BF16" s="107"/>
      <c r="BG16" s="107"/>
      <c r="BH16" s="107"/>
      <c r="BI16" s="107"/>
      <c r="BJ16" s="107"/>
      <c r="BK16" s="107"/>
      <c r="BL16" s="107"/>
      <c r="BM16" s="107"/>
      <c r="BN16" s="107"/>
      <c r="BR16" s="607"/>
      <c r="BS16" s="607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48">
        <f>IF(AND(D16&gt;0,OR(AH16="")),1,IF(AH16&gt;D16,1,0))</f>
        <v>0</v>
      </c>
      <c r="ES16" s="1048">
        <f>IF(AND(E16&gt;0,OR(AI16="")),1,IF(AI16&gt;E16,1,0))</f>
        <v>0</v>
      </c>
      <c r="ET16" s="1048">
        <f>IF(AND(D16&gt;0,OR(AJ16="")),1,IF(AJ16&gt;D16,1,0))</f>
        <v>0</v>
      </c>
      <c r="EU16" s="1048">
        <f>IF(AND(E16&gt;0,OR(AK16="")),1,IF(AK16&gt;E16,1,0))</f>
        <v>0</v>
      </c>
    </row>
    <row r="17" spans="1:151" ht="15" customHeight="1" x14ac:dyDescent="0.25">
      <c r="A17" s="1813"/>
      <c r="B17" s="61" t="s">
        <v>238</v>
      </c>
      <c r="C17" s="1299">
        <f t="shared" si="1"/>
        <v>0</v>
      </c>
      <c r="D17" s="362">
        <f t="shared" si="2"/>
        <v>0</v>
      </c>
      <c r="E17" s="371">
        <f t="shared" si="3"/>
        <v>0</v>
      </c>
      <c r="F17" s="328">
        <v>0</v>
      </c>
      <c r="G17" s="706">
        <v>0</v>
      </c>
      <c r="H17" s="328">
        <v>0</v>
      </c>
      <c r="I17" s="331">
        <v>0</v>
      </c>
      <c r="J17" s="328">
        <v>0</v>
      </c>
      <c r="K17" s="331">
        <v>0</v>
      </c>
      <c r="L17" s="328">
        <v>0</v>
      </c>
      <c r="M17" s="330">
        <v>0</v>
      </c>
      <c r="N17" s="328">
        <v>0</v>
      </c>
      <c r="O17" s="329">
        <v>0</v>
      </c>
      <c r="P17" s="328">
        <v>0</v>
      </c>
      <c r="Q17" s="329">
        <v>0</v>
      </c>
      <c r="R17" s="331">
        <v>0</v>
      </c>
      <c r="S17" s="331">
        <v>0</v>
      </c>
      <c r="T17" s="328">
        <v>0</v>
      </c>
      <c r="U17" s="337">
        <v>0</v>
      </c>
      <c r="V17" s="328">
        <v>0</v>
      </c>
      <c r="W17" s="329">
        <v>0</v>
      </c>
      <c r="X17" s="328">
        <v>0</v>
      </c>
      <c r="Y17" s="329">
        <v>0</v>
      </c>
      <c r="Z17" s="328">
        <v>0</v>
      </c>
      <c r="AA17" s="329">
        <v>0</v>
      </c>
      <c r="AB17" s="331">
        <v>0</v>
      </c>
      <c r="AC17" s="337">
        <v>0</v>
      </c>
      <c r="AD17" s="960">
        <v>0</v>
      </c>
      <c r="AE17" s="329">
        <v>0</v>
      </c>
      <c r="AF17" s="328">
        <v>0</v>
      </c>
      <c r="AG17" s="329">
        <v>0</v>
      </c>
      <c r="AH17" s="332">
        <v>0</v>
      </c>
      <c r="AI17" s="379">
        <v>0</v>
      </c>
      <c r="AJ17" s="331">
        <v>0</v>
      </c>
      <c r="AK17" s="329">
        <v>0</v>
      </c>
      <c r="AL17" s="107" t="str">
        <f>($DG17&amp;DH17&amp;DI17&amp;DJ17)</f>
        <v/>
      </c>
      <c r="AM17" s="607"/>
      <c r="AN17" s="607"/>
      <c r="AO17" s="607"/>
      <c r="AP17" s="607"/>
      <c r="AQ17" s="607"/>
      <c r="AR17" s="607"/>
      <c r="AS17" s="607"/>
      <c r="AT17" s="607"/>
      <c r="AU17" s="607"/>
      <c r="AV17" s="607"/>
      <c r="BF17" s="107"/>
      <c r="BG17" s="107"/>
      <c r="BH17" s="107"/>
      <c r="BI17" s="107"/>
      <c r="BJ17" s="107"/>
      <c r="BK17" s="107"/>
      <c r="BL17" s="107"/>
      <c r="BM17" s="107"/>
      <c r="BN17" s="107"/>
      <c r="BR17" s="607"/>
      <c r="BS17" s="607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48">
        <f>IF(AND(D17&gt;0,OR(AH17="")),1,IF(AH17&gt;D17,1,0))</f>
        <v>0</v>
      </c>
      <c r="ES17" s="1048">
        <f>IF(AND(E17&gt;0,OR(AI17="")),1,IF(AI17&gt;E17,1,0))</f>
        <v>0</v>
      </c>
      <c r="ET17" s="1048">
        <f>IF(AND(D17&gt;0,OR(AJ17="")),1,IF(AJ17&gt;D17,1,0))</f>
        <v>0</v>
      </c>
      <c r="EU17" s="1048">
        <f>IF(AND(E17&gt;0,OR(AK17="")),1,IF(AK17&gt;E17,1,0))</f>
        <v>0</v>
      </c>
    </row>
    <row r="18" spans="1:151" ht="15" customHeight="1" x14ac:dyDescent="0.25">
      <c r="A18" s="1814"/>
      <c r="B18" s="1407" t="s">
        <v>94</v>
      </c>
      <c r="C18" s="1408">
        <f t="shared" si="1"/>
        <v>0</v>
      </c>
      <c r="D18" s="362">
        <f t="shared" si="2"/>
        <v>0</v>
      </c>
      <c r="E18" s="371">
        <f t="shared" si="3"/>
        <v>0</v>
      </c>
      <c r="F18" s="1409">
        <f t="shared" ref="F18:G18" si="6">+SUM(F16:F17)</f>
        <v>0</v>
      </c>
      <c r="G18" s="1410">
        <f t="shared" si="6"/>
        <v>0</v>
      </c>
      <c r="H18" s="1409">
        <f>SUM(H16:H17)</f>
        <v>0</v>
      </c>
      <c r="I18" s="941">
        <f t="shared" ref="I18:U18" si="7">SUM(I16:I17)</f>
        <v>0</v>
      </c>
      <c r="J18" s="1409">
        <f t="shared" si="7"/>
        <v>0</v>
      </c>
      <c r="K18" s="941">
        <f t="shared" si="7"/>
        <v>0</v>
      </c>
      <c r="L18" s="1409">
        <f t="shared" si="7"/>
        <v>0</v>
      </c>
      <c r="M18" s="334">
        <f t="shared" si="7"/>
        <v>0</v>
      </c>
      <c r="N18" s="1409">
        <f t="shared" si="7"/>
        <v>0</v>
      </c>
      <c r="O18" s="941">
        <f t="shared" si="7"/>
        <v>0</v>
      </c>
      <c r="P18" s="1409">
        <f t="shared" si="7"/>
        <v>0</v>
      </c>
      <c r="Q18" s="941">
        <f t="shared" si="7"/>
        <v>0</v>
      </c>
      <c r="R18" s="1410">
        <f t="shared" si="7"/>
        <v>0</v>
      </c>
      <c r="S18" s="941">
        <f t="shared" si="7"/>
        <v>0</v>
      </c>
      <c r="T18" s="1409">
        <f t="shared" si="7"/>
        <v>0</v>
      </c>
      <c r="U18" s="334">
        <f t="shared" si="7"/>
        <v>0</v>
      </c>
      <c r="V18" s="1409">
        <f>SUM(V16:V17)</f>
        <v>0</v>
      </c>
      <c r="W18" s="941">
        <f t="shared" ref="W18:AG18" si="8">SUM(W16:W17)</f>
        <v>0</v>
      </c>
      <c r="X18" s="1409">
        <f t="shared" si="8"/>
        <v>0</v>
      </c>
      <c r="Y18" s="941">
        <f t="shared" si="8"/>
        <v>0</v>
      </c>
      <c r="Z18" s="1409">
        <f t="shared" si="8"/>
        <v>0</v>
      </c>
      <c r="AA18" s="941">
        <f t="shared" si="8"/>
        <v>0</v>
      </c>
      <c r="AB18" s="1410">
        <f t="shared" si="8"/>
        <v>0</v>
      </c>
      <c r="AC18" s="334">
        <f t="shared" si="8"/>
        <v>0</v>
      </c>
      <c r="AD18" s="1411">
        <f t="shared" si="8"/>
        <v>0</v>
      </c>
      <c r="AE18" s="941">
        <f t="shared" si="8"/>
        <v>0</v>
      </c>
      <c r="AF18" s="1409">
        <f t="shared" si="8"/>
        <v>0</v>
      </c>
      <c r="AG18" s="941">
        <f t="shared" si="8"/>
        <v>0</v>
      </c>
      <c r="AH18" s="335">
        <f>SUM(AH16:AH17)</f>
        <v>0</v>
      </c>
      <c r="AI18" s="1212">
        <f>SUM(AI16:AI17)</f>
        <v>0</v>
      </c>
      <c r="AJ18" s="1410">
        <f>SUM(AJ16:AJ17)</f>
        <v>0</v>
      </c>
      <c r="AK18" s="941">
        <f>SUM(AK16:AK17)</f>
        <v>0</v>
      </c>
      <c r="AL18" s="107"/>
      <c r="AM18" s="607"/>
      <c r="AN18" s="607"/>
      <c r="AO18" s="607"/>
      <c r="AP18" s="607"/>
      <c r="AQ18" s="607"/>
      <c r="AR18" s="607"/>
      <c r="AS18" s="607"/>
      <c r="AT18" s="607"/>
      <c r="AU18" s="607"/>
      <c r="AV18" s="607"/>
      <c r="BF18" s="107"/>
      <c r="BG18" s="107"/>
      <c r="BH18" s="107"/>
      <c r="BI18" s="107"/>
      <c r="BJ18" s="107"/>
      <c r="BK18" s="107"/>
      <c r="BL18" s="107"/>
      <c r="BM18" s="107"/>
      <c r="BN18" s="107"/>
      <c r="BR18" s="607"/>
      <c r="BS18" s="607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812" t="s">
        <v>239</v>
      </c>
      <c r="B19" s="63" t="s">
        <v>235</v>
      </c>
      <c r="C19" s="338">
        <f t="shared" si="1"/>
        <v>1</v>
      </c>
      <c r="D19" s="761">
        <f t="shared" si="2"/>
        <v>1</v>
      </c>
      <c r="E19" s="364">
        <f t="shared" si="3"/>
        <v>0</v>
      </c>
      <c r="F19" s="322">
        <v>0</v>
      </c>
      <c r="G19" s="701">
        <v>0</v>
      </c>
      <c r="H19" s="322">
        <v>0</v>
      </c>
      <c r="I19" s="325">
        <v>0</v>
      </c>
      <c r="J19" s="322">
        <v>0</v>
      </c>
      <c r="K19" s="325">
        <v>0</v>
      </c>
      <c r="L19" s="322">
        <v>0</v>
      </c>
      <c r="M19" s="324">
        <v>0</v>
      </c>
      <c r="N19" s="322">
        <v>0</v>
      </c>
      <c r="O19" s="323">
        <v>0</v>
      </c>
      <c r="P19" s="322">
        <v>1</v>
      </c>
      <c r="Q19" s="323">
        <v>0</v>
      </c>
      <c r="R19" s="325">
        <v>0</v>
      </c>
      <c r="S19" s="325">
        <v>0</v>
      </c>
      <c r="T19" s="322">
        <v>0</v>
      </c>
      <c r="U19" s="336">
        <v>0</v>
      </c>
      <c r="V19" s="322">
        <v>0</v>
      </c>
      <c r="W19" s="323">
        <v>0</v>
      </c>
      <c r="X19" s="322">
        <v>0</v>
      </c>
      <c r="Y19" s="323">
        <v>0</v>
      </c>
      <c r="Z19" s="322">
        <v>0</v>
      </c>
      <c r="AA19" s="323">
        <v>0</v>
      </c>
      <c r="AB19" s="325">
        <v>0</v>
      </c>
      <c r="AC19" s="336">
        <v>0</v>
      </c>
      <c r="AD19" s="959">
        <v>0</v>
      </c>
      <c r="AE19" s="323">
        <v>0</v>
      </c>
      <c r="AF19" s="322">
        <v>0</v>
      </c>
      <c r="AG19" s="323">
        <v>0</v>
      </c>
      <c r="AH19" s="326">
        <v>0</v>
      </c>
      <c r="AI19" s="375">
        <v>0</v>
      </c>
      <c r="AJ19" s="325">
        <v>0</v>
      </c>
      <c r="AK19" s="323">
        <v>0</v>
      </c>
      <c r="AL19" s="107" t="str">
        <f>($DG19&amp;DH19&amp;DI19&amp;DJ19)</f>
        <v/>
      </c>
      <c r="AM19" s="607"/>
      <c r="AN19" s="607"/>
      <c r="AO19" s="607"/>
      <c r="AP19" s="607"/>
      <c r="AQ19" s="607"/>
      <c r="AR19" s="607"/>
      <c r="AS19" s="607"/>
      <c r="AT19" s="607"/>
      <c r="AU19" s="607"/>
      <c r="AV19" s="607"/>
      <c r="BF19" s="107"/>
      <c r="BG19" s="107"/>
      <c r="BH19" s="107"/>
      <c r="BI19" s="107"/>
      <c r="BJ19" s="107"/>
      <c r="BK19" s="107"/>
      <c r="BL19" s="107"/>
      <c r="BM19" s="107"/>
      <c r="BN19" s="107"/>
      <c r="BR19" s="607"/>
      <c r="BS19" s="607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48">
        <f>IF(AND(D19&gt;0,OR(AH19="")),1,IF(AH19&gt;D19,1,0))</f>
        <v>0</v>
      </c>
      <c r="ES19" s="1048">
        <f>IF(AND(E19&gt;0,OR(AI19="")),1,IF(AI19&gt;E19,1,0))</f>
        <v>0</v>
      </c>
      <c r="ET19" s="1048">
        <f>IF(AND(D19&gt;0,OR(AJ19="")),1,IF(AJ19&gt;D19,1,0))</f>
        <v>0</v>
      </c>
      <c r="EU19" s="1048">
        <f>IF(AND(E19&gt;0,OR(AK19="")),1,IF(AK19&gt;E19,1,0))</f>
        <v>0</v>
      </c>
    </row>
    <row r="20" spans="1:151" ht="15" customHeight="1" x14ac:dyDescent="0.25">
      <c r="A20" s="1813"/>
      <c r="B20" s="61" t="s">
        <v>236</v>
      </c>
      <c r="C20" s="327">
        <f t="shared" si="1"/>
        <v>0</v>
      </c>
      <c r="D20" s="362">
        <f t="shared" si="2"/>
        <v>0</v>
      </c>
      <c r="E20" s="371">
        <f t="shared" si="3"/>
        <v>0</v>
      </c>
      <c r="F20" s="328">
        <v>0</v>
      </c>
      <c r="G20" s="706">
        <v>0</v>
      </c>
      <c r="H20" s="328">
        <v>0</v>
      </c>
      <c r="I20" s="331">
        <v>0</v>
      </c>
      <c r="J20" s="328">
        <v>0</v>
      </c>
      <c r="K20" s="331">
        <v>0</v>
      </c>
      <c r="L20" s="328">
        <v>0</v>
      </c>
      <c r="M20" s="330">
        <v>0</v>
      </c>
      <c r="N20" s="328">
        <v>0</v>
      </c>
      <c r="O20" s="329">
        <v>0</v>
      </c>
      <c r="P20" s="328">
        <v>0</v>
      </c>
      <c r="Q20" s="329">
        <v>0</v>
      </c>
      <c r="R20" s="331">
        <v>0</v>
      </c>
      <c r="S20" s="331">
        <v>0</v>
      </c>
      <c r="T20" s="328">
        <v>0</v>
      </c>
      <c r="U20" s="337">
        <v>0</v>
      </c>
      <c r="V20" s="328">
        <v>0</v>
      </c>
      <c r="W20" s="329">
        <v>0</v>
      </c>
      <c r="X20" s="328">
        <v>0</v>
      </c>
      <c r="Y20" s="329">
        <v>0</v>
      </c>
      <c r="Z20" s="328">
        <v>0</v>
      </c>
      <c r="AA20" s="329">
        <v>0</v>
      </c>
      <c r="AB20" s="331">
        <v>0</v>
      </c>
      <c r="AC20" s="337">
        <v>0</v>
      </c>
      <c r="AD20" s="960">
        <v>0</v>
      </c>
      <c r="AE20" s="329">
        <v>0</v>
      </c>
      <c r="AF20" s="328">
        <v>0</v>
      </c>
      <c r="AG20" s="329">
        <v>0</v>
      </c>
      <c r="AH20" s="332">
        <v>0</v>
      </c>
      <c r="AI20" s="379">
        <v>0</v>
      </c>
      <c r="AJ20" s="331">
        <v>0</v>
      </c>
      <c r="AK20" s="329">
        <v>0</v>
      </c>
      <c r="AL20" s="107" t="str">
        <f>($DG20&amp;DH20&amp;DI20&amp;DJ20)</f>
        <v/>
      </c>
      <c r="AM20" s="607"/>
      <c r="AN20" s="607"/>
      <c r="AO20" s="607"/>
      <c r="AP20" s="607"/>
      <c r="AQ20" s="607"/>
      <c r="AR20" s="607"/>
      <c r="AS20" s="607"/>
      <c r="AT20" s="607"/>
      <c r="AU20" s="607"/>
      <c r="AV20" s="607"/>
      <c r="BF20" s="107"/>
      <c r="BG20" s="107"/>
      <c r="BH20" s="107"/>
      <c r="BI20" s="107"/>
      <c r="BJ20" s="107"/>
      <c r="BK20" s="107"/>
      <c r="BL20" s="107"/>
      <c r="BM20" s="107"/>
      <c r="BN20" s="107"/>
      <c r="BR20" s="607"/>
      <c r="BS20" s="607"/>
      <c r="CA20" s="973"/>
      <c r="CB20" s="973"/>
      <c r="CC20" s="973"/>
      <c r="CD20" s="973"/>
      <c r="CE20" s="973"/>
      <c r="CF20" s="973"/>
      <c r="CG20" s="973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48">
        <f>IF(AND(D20&gt;0,OR(AH20="")),1,IF(AH20&gt;D20,1,0))</f>
        <v>0</v>
      </c>
      <c r="ES20" s="1048">
        <f>IF(AND(E20&gt;0,OR(AI20="")),1,IF(AI20&gt;E20,1,0))</f>
        <v>0</v>
      </c>
      <c r="ET20" s="1048">
        <f>IF(AND(D20&gt;0,OR(AJ20="")),1,IF(AJ20&gt;D20,1,0))</f>
        <v>0</v>
      </c>
      <c r="EU20" s="1048">
        <f>IF(AND(E20&gt;0,OR(AK20="")),1,IF(AK20&gt;E20,1,0))</f>
        <v>0</v>
      </c>
    </row>
    <row r="21" spans="1:151" ht="15" customHeight="1" x14ac:dyDescent="0.25">
      <c r="A21" s="1813"/>
      <c r="B21" s="1407" t="s">
        <v>94</v>
      </c>
      <c r="C21" s="1408">
        <f t="shared" si="1"/>
        <v>1</v>
      </c>
      <c r="D21" s="362">
        <f t="shared" si="2"/>
        <v>1</v>
      </c>
      <c r="E21" s="371">
        <f t="shared" si="3"/>
        <v>0</v>
      </c>
      <c r="F21" s="1409">
        <f>SUM(F19:F20)</f>
        <v>0</v>
      </c>
      <c r="G21" s="1410">
        <f t="shared" ref="G21" si="9">SUM(G19:G20)</f>
        <v>0</v>
      </c>
      <c r="H21" s="1409">
        <f>+SUM(H19:H20)</f>
        <v>0</v>
      </c>
      <c r="I21" s="941">
        <f>+SUM(I19:I20)</f>
        <v>0</v>
      </c>
      <c r="J21" s="1409">
        <f t="shared" ref="J21:AK21" si="10">+SUM(J19:J20)</f>
        <v>0</v>
      </c>
      <c r="K21" s="941">
        <f t="shared" si="10"/>
        <v>0</v>
      </c>
      <c r="L21" s="1409">
        <f t="shared" si="10"/>
        <v>0</v>
      </c>
      <c r="M21" s="334">
        <f t="shared" si="10"/>
        <v>0</v>
      </c>
      <c r="N21" s="1409">
        <f t="shared" si="10"/>
        <v>0</v>
      </c>
      <c r="O21" s="941">
        <f t="shared" si="10"/>
        <v>0</v>
      </c>
      <c r="P21" s="1409">
        <f t="shared" si="10"/>
        <v>1</v>
      </c>
      <c r="Q21" s="941">
        <f t="shared" si="10"/>
        <v>0</v>
      </c>
      <c r="R21" s="1410">
        <f t="shared" si="10"/>
        <v>0</v>
      </c>
      <c r="S21" s="941">
        <f t="shared" si="10"/>
        <v>0</v>
      </c>
      <c r="T21" s="1409">
        <f t="shared" si="10"/>
        <v>0</v>
      </c>
      <c r="U21" s="334">
        <f t="shared" si="10"/>
        <v>0</v>
      </c>
      <c r="V21" s="1409">
        <f t="shared" si="10"/>
        <v>0</v>
      </c>
      <c r="W21" s="941">
        <f t="shared" si="10"/>
        <v>0</v>
      </c>
      <c r="X21" s="1409">
        <f t="shared" si="10"/>
        <v>0</v>
      </c>
      <c r="Y21" s="941">
        <f t="shared" si="10"/>
        <v>0</v>
      </c>
      <c r="Z21" s="1409">
        <f t="shared" si="10"/>
        <v>0</v>
      </c>
      <c r="AA21" s="941">
        <f t="shared" si="10"/>
        <v>0</v>
      </c>
      <c r="AB21" s="1410">
        <f t="shared" si="10"/>
        <v>0</v>
      </c>
      <c r="AC21" s="334">
        <f t="shared" si="10"/>
        <v>0</v>
      </c>
      <c r="AD21" s="1411">
        <f t="shared" si="10"/>
        <v>0</v>
      </c>
      <c r="AE21" s="941">
        <f t="shared" si="10"/>
        <v>0</v>
      </c>
      <c r="AF21" s="1409">
        <f t="shared" si="10"/>
        <v>0</v>
      </c>
      <c r="AG21" s="941">
        <f t="shared" si="10"/>
        <v>0</v>
      </c>
      <c r="AH21" s="335">
        <f t="shared" si="10"/>
        <v>0</v>
      </c>
      <c r="AI21" s="1212">
        <f t="shared" si="10"/>
        <v>0</v>
      </c>
      <c r="AJ21" s="1410">
        <f t="shared" si="10"/>
        <v>0</v>
      </c>
      <c r="AK21" s="941">
        <f t="shared" si="10"/>
        <v>0</v>
      </c>
      <c r="AL21" s="107"/>
      <c r="AM21" s="607"/>
      <c r="AN21" s="607"/>
      <c r="AO21" s="607"/>
      <c r="AP21" s="607"/>
      <c r="AQ21" s="607"/>
      <c r="AR21" s="607"/>
      <c r="AS21" s="607"/>
      <c r="AT21" s="607"/>
      <c r="AU21" s="607"/>
      <c r="AV21" s="607"/>
      <c r="BF21" s="107"/>
      <c r="BG21" s="107"/>
      <c r="BH21" s="107"/>
      <c r="BI21" s="107"/>
      <c r="BJ21" s="107"/>
      <c r="BK21" s="107"/>
      <c r="BL21" s="107"/>
      <c r="BM21" s="107"/>
      <c r="BN21" s="107"/>
      <c r="BR21" s="607"/>
      <c r="BS21" s="607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813"/>
      <c r="B22" s="63" t="s">
        <v>237</v>
      </c>
      <c r="C22" s="338">
        <f t="shared" si="1"/>
        <v>0</v>
      </c>
      <c r="D22" s="761">
        <f t="shared" si="2"/>
        <v>0</v>
      </c>
      <c r="E22" s="364">
        <f t="shared" si="3"/>
        <v>0</v>
      </c>
      <c r="F22" s="322">
        <v>0</v>
      </c>
      <c r="G22" s="701">
        <v>0</v>
      </c>
      <c r="H22" s="322">
        <v>0</v>
      </c>
      <c r="I22" s="325">
        <v>0</v>
      </c>
      <c r="J22" s="322">
        <v>0</v>
      </c>
      <c r="K22" s="325">
        <v>0</v>
      </c>
      <c r="L22" s="322">
        <v>0</v>
      </c>
      <c r="M22" s="324">
        <v>0</v>
      </c>
      <c r="N22" s="322">
        <v>0</v>
      </c>
      <c r="O22" s="323">
        <v>0</v>
      </c>
      <c r="P22" s="322">
        <v>0</v>
      </c>
      <c r="Q22" s="323">
        <v>0</v>
      </c>
      <c r="R22" s="325">
        <v>0</v>
      </c>
      <c r="S22" s="325">
        <v>0</v>
      </c>
      <c r="T22" s="322">
        <v>0</v>
      </c>
      <c r="U22" s="336">
        <v>0</v>
      </c>
      <c r="V22" s="322">
        <v>0</v>
      </c>
      <c r="W22" s="323">
        <v>0</v>
      </c>
      <c r="X22" s="322">
        <v>0</v>
      </c>
      <c r="Y22" s="323">
        <v>0</v>
      </c>
      <c r="Z22" s="322">
        <v>0</v>
      </c>
      <c r="AA22" s="323">
        <v>0</v>
      </c>
      <c r="AB22" s="325">
        <v>0</v>
      </c>
      <c r="AC22" s="336">
        <v>0</v>
      </c>
      <c r="AD22" s="959">
        <v>0</v>
      </c>
      <c r="AE22" s="323">
        <v>0</v>
      </c>
      <c r="AF22" s="322">
        <v>0</v>
      </c>
      <c r="AG22" s="323">
        <v>0</v>
      </c>
      <c r="AH22" s="326">
        <v>0</v>
      </c>
      <c r="AI22" s="375">
        <v>0</v>
      </c>
      <c r="AJ22" s="325">
        <v>0</v>
      </c>
      <c r="AK22" s="323">
        <v>0</v>
      </c>
      <c r="AL22" s="107" t="str">
        <f>($DG22&amp;DH22&amp;DI22&amp;DJ22)</f>
        <v/>
      </c>
      <c r="AM22" s="607"/>
      <c r="AN22" s="607"/>
      <c r="AO22" s="607"/>
      <c r="AP22" s="607"/>
      <c r="AQ22" s="607"/>
      <c r="AR22" s="607"/>
      <c r="AS22" s="607"/>
      <c r="AT22" s="607"/>
      <c r="AU22" s="607"/>
      <c r="AV22" s="607"/>
      <c r="BF22" s="107"/>
      <c r="BG22" s="107"/>
      <c r="BH22" s="107"/>
      <c r="BI22" s="107"/>
      <c r="BJ22" s="107"/>
      <c r="BK22" s="107"/>
      <c r="BL22" s="107"/>
      <c r="BM22" s="107"/>
      <c r="BN22" s="107"/>
      <c r="BR22" s="607"/>
      <c r="BS22" s="607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48">
        <f>IF(AND(D22&gt;0,OR(AH22="")),1,IF(AH22&gt;D22,1,0))</f>
        <v>0</v>
      </c>
      <c r="ES22" s="1048">
        <f>IF(AND(E22&gt;0,OR(AI22="")),1,IF(AI22&gt;E22,1,0))</f>
        <v>0</v>
      </c>
      <c r="ET22" s="1048">
        <f>IF(AND(D22&gt;0,OR(AJ22="")),1,IF(AJ22&gt;D22,1,0))</f>
        <v>0</v>
      </c>
      <c r="EU22" s="1048">
        <f>IF(AND(E22&gt;0,OR(AK22="")),1,IF(AK22&gt;E22,1,0))</f>
        <v>0</v>
      </c>
    </row>
    <row r="23" spans="1:151" ht="15" customHeight="1" x14ac:dyDescent="0.25">
      <c r="A23" s="1813"/>
      <c r="B23" s="61" t="s">
        <v>238</v>
      </c>
      <c r="C23" s="327">
        <f t="shared" si="1"/>
        <v>0</v>
      </c>
      <c r="D23" s="362">
        <f t="shared" si="2"/>
        <v>0</v>
      </c>
      <c r="E23" s="371">
        <f t="shared" si="3"/>
        <v>0</v>
      </c>
      <c r="F23" s="328">
        <v>0</v>
      </c>
      <c r="G23" s="706">
        <v>0</v>
      </c>
      <c r="H23" s="328">
        <v>0</v>
      </c>
      <c r="I23" s="331">
        <v>0</v>
      </c>
      <c r="J23" s="328">
        <v>0</v>
      </c>
      <c r="K23" s="331">
        <v>0</v>
      </c>
      <c r="L23" s="328">
        <v>0</v>
      </c>
      <c r="M23" s="330">
        <v>0</v>
      </c>
      <c r="N23" s="328">
        <v>0</v>
      </c>
      <c r="O23" s="329">
        <v>0</v>
      </c>
      <c r="P23" s="328">
        <v>0</v>
      </c>
      <c r="Q23" s="329">
        <v>0</v>
      </c>
      <c r="R23" s="331">
        <v>0</v>
      </c>
      <c r="S23" s="331">
        <v>0</v>
      </c>
      <c r="T23" s="328">
        <v>0</v>
      </c>
      <c r="U23" s="337">
        <v>0</v>
      </c>
      <c r="V23" s="328">
        <v>0</v>
      </c>
      <c r="W23" s="329">
        <v>0</v>
      </c>
      <c r="X23" s="328">
        <v>0</v>
      </c>
      <c r="Y23" s="329">
        <v>0</v>
      </c>
      <c r="Z23" s="328">
        <v>0</v>
      </c>
      <c r="AA23" s="329">
        <v>0</v>
      </c>
      <c r="AB23" s="331">
        <v>0</v>
      </c>
      <c r="AC23" s="337">
        <v>0</v>
      </c>
      <c r="AD23" s="960">
        <v>0</v>
      </c>
      <c r="AE23" s="329">
        <v>0</v>
      </c>
      <c r="AF23" s="328">
        <v>0</v>
      </c>
      <c r="AG23" s="329">
        <v>0</v>
      </c>
      <c r="AH23" s="332">
        <v>0</v>
      </c>
      <c r="AI23" s="379">
        <v>0</v>
      </c>
      <c r="AJ23" s="331">
        <v>0</v>
      </c>
      <c r="AK23" s="329">
        <v>0</v>
      </c>
      <c r="AL23" s="107" t="str">
        <f>($DG23&amp;DH23&amp;DI23&amp;DJ23)</f>
        <v/>
      </c>
      <c r="AM23" s="607"/>
      <c r="AN23" s="607"/>
      <c r="AO23" s="607"/>
      <c r="AP23" s="607"/>
      <c r="AQ23" s="607"/>
      <c r="AR23" s="607"/>
      <c r="AS23" s="607"/>
      <c r="AT23" s="607"/>
      <c r="AU23" s="607"/>
      <c r="AV23" s="607"/>
      <c r="BF23" s="107"/>
      <c r="BG23" s="107"/>
      <c r="BH23" s="107"/>
      <c r="BI23" s="107"/>
      <c r="BJ23" s="107"/>
      <c r="BK23" s="107"/>
      <c r="BL23" s="107"/>
      <c r="BM23" s="107"/>
      <c r="BN23" s="107"/>
      <c r="BR23" s="607"/>
      <c r="BS23" s="607"/>
      <c r="CA23" s="973"/>
      <c r="CB23" s="973"/>
      <c r="CC23" s="973"/>
      <c r="CD23" s="973"/>
      <c r="CE23" s="973"/>
      <c r="CF23" s="973"/>
      <c r="CG23" s="973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48">
        <f>IF(AND(D23&gt;0,OR(AH23="")),1,IF(AH23&gt;D23,1,0))</f>
        <v>0</v>
      </c>
      <c r="ES23" s="1048">
        <f>IF(AND(E23&gt;0,OR(AI23="")),1,IF(AI23&gt;E23,1,0))</f>
        <v>0</v>
      </c>
      <c r="ET23" s="1048">
        <f>IF(AND(D23&gt;0,OR(AJ23="")),1,IF(AJ23&gt;D23,1,0))</f>
        <v>0</v>
      </c>
      <c r="EU23" s="1048">
        <f>IF(AND(E23&gt;0,OR(AK23="")),1,IF(AK23&gt;E23,1,0))</f>
        <v>0</v>
      </c>
    </row>
    <row r="24" spans="1:151" ht="15" customHeight="1" x14ac:dyDescent="0.25">
      <c r="A24" s="1814"/>
      <c r="B24" s="1407" t="s">
        <v>94</v>
      </c>
      <c r="C24" s="1408">
        <f t="shared" si="1"/>
        <v>0</v>
      </c>
      <c r="D24" s="362">
        <f t="shared" si="2"/>
        <v>0</v>
      </c>
      <c r="E24" s="371">
        <f t="shared" si="3"/>
        <v>0</v>
      </c>
      <c r="F24" s="1409">
        <f t="shared" ref="F24:G24" si="11">SUM(F22:F23)</f>
        <v>0</v>
      </c>
      <c r="G24" s="1410">
        <f t="shared" si="11"/>
        <v>0</v>
      </c>
      <c r="H24" s="1409">
        <f>SUM(H22:H23)</f>
        <v>0</v>
      </c>
      <c r="I24" s="941">
        <f>SUM(I22:I23)</f>
        <v>0</v>
      </c>
      <c r="J24" s="1409">
        <f t="shared" ref="J24:AJ24" si="12">SUM(J22:J23)</f>
        <v>0</v>
      </c>
      <c r="K24" s="941">
        <f t="shared" si="12"/>
        <v>0</v>
      </c>
      <c r="L24" s="1409">
        <f t="shared" si="12"/>
        <v>0</v>
      </c>
      <c r="M24" s="334">
        <f t="shared" si="12"/>
        <v>0</v>
      </c>
      <c r="N24" s="1409">
        <f t="shared" si="12"/>
        <v>0</v>
      </c>
      <c r="O24" s="941">
        <f t="shared" si="12"/>
        <v>0</v>
      </c>
      <c r="P24" s="1409">
        <f t="shared" si="12"/>
        <v>0</v>
      </c>
      <c r="Q24" s="941">
        <f t="shared" si="12"/>
        <v>0</v>
      </c>
      <c r="R24" s="1410">
        <f t="shared" si="12"/>
        <v>0</v>
      </c>
      <c r="S24" s="941">
        <f t="shared" si="12"/>
        <v>0</v>
      </c>
      <c r="T24" s="1409">
        <f t="shared" si="12"/>
        <v>0</v>
      </c>
      <c r="U24" s="334">
        <f t="shared" si="12"/>
        <v>0</v>
      </c>
      <c r="V24" s="1409">
        <f t="shared" si="12"/>
        <v>0</v>
      </c>
      <c r="W24" s="941">
        <f t="shared" si="12"/>
        <v>0</v>
      </c>
      <c r="X24" s="1409">
        <f t="shared" si="12"/>
        <v>0</v>
      </c>
      <c r="Y24" s="941">
        <f t="shared" si="12"/>
        <v>0</v>
      </c>
      <c r="Z24" s="1409">
        <f t="shared" si="12"/>
        <v>0</v>
      </c>
      <c r="AA24" s="941">
        <f t="shared" si="12"/>
        <v>0</v>
      </c>
      <c r="AB24" s="1409">
        <f t="shared" si="12"/>
        <v>0</v>
      </c>
      <c r="AC24" s="1412">
        <f t="shared" si="12"/>
        <v>0</v>
      </c>
      <c r="AD24" s="1411">
        <f t="shared" si="12"/>
        <v>0</v>
      </c>
      <c r="AE24" s="941">
        <f t="shared" si="12"/>
        <v>0</v>
      </c>
      <c r="AF24" s="1409">
        <f t="shared" si="12"/>
        <v>0</v>
      </c>
      <c r="AG24" s="941">
        <f t="shared" si="12"/>
        <v>0</v>
      </c>
      <c r="AH24" s="335">
        <f t="shared" si="12"/>
        <v>0</v>
      </c>
      <c r="AI24" s="1212">
        <f t="shared" si="12"/>
        <v>0</v>
      </c>
      <c r="AJ24" s="1410">
        <f t="shared" si="12"/>
        <v>0</v>
      </c>
      <c r="AK24" s="941">
        <f>SUM(AK22:AK23)</f>
        <v>0</v>
      </c>
      <c r="AL24" s="107"/>
      <c r="AM24" s="607"/>
      <c r="AN24" s="607"/>
      <c r="AO24" s="607"/>
      <c r="AP24" s="607"/>
      <c r="AQ24" s="607"/>
      <c r="AR24" s="607"/>
      <c r="AS24" s="607"/>
      <c r="AT24" s="607"/>
      <c r="AU24" s="607"/>
      <c r="AV24" s="607"/>
      <c r="BF24" s="107"/>
      <c r="BG24" s="107"/>
      <c r="BH24" s="107"/>
      <c r="BI24" s="107"/>
      <c r="BJ24" s="107"/>
      <c r="BK24" s="107"/>
      <c r="BL24" s="107"/>
      <c r="BM24" s="107"/>
      <c r="BN24" s="107"/>
      <c r="BR24" s="607"/>
      <c r="BS24" s="607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801" t="s">
        <v>240</v>
      </c>
      <c r="B25" s="60" t="s">
        <v>235</v>
      </c>
      <c r="C25" s="339">
        <f t="shared" si="1"/>
        <v>0</v>
      </c>
      <c r="D25" s="761">
        <f t="shared" si="2"/>
        <v>0</v>
      </c>
      <c r="E25" s="364">
        <f t="shared" si="3"/>
        <v>0</v>
      </c>
      <c r="F25" s="322">
        <v>0</v>
      </c>
      <c r="G25" s="701">
        <v>0</v>
      </c>
      <c r="H25" s="322">
        <v>0</v>
      </c>
      <c r="I25" s="325">
        <v>0</v>
      </c>
      <c r="J25" s="322">
        <v>0</v>
      </c>
      <c r="K25" s="325">
        <v>0</v>
      </c>
      <c r="L25" s="322">
        <v>0</v>
      </c>
      <c r="M25" s="324">
        <v>0</v>
      </c>
      <c r="N25" s="322">
        <v>0</v>
      </c>
      <c r="O25" s="323">
        <v>0</v>
      </c>
      <c r="P25" s="322">
        <v>0</v>
      </c>
      <c r="Q25" s="323">
        <v>0</v>
      </c>
      <c r="R25" s="325">
        <v>0</v>
      </c>
      <c r="S25" s="325">
        <v>0</v>
      </c>
      <c r="T25" s="322">
        <v>0</v>
      </c>
      <c r="U25" s="336">
        <v>0</v>
      </c>
      <c r="V25" s="322">
        <v>0</v>
      </c>
      <c r="W25" s="323">
        <v>0</v>
      </c>
      <c r="X25" s="322">
        <v>0</v>
      </c>
      <c r="Y25" s="323">
        <v>0</v>
      </c>
      <c r="Z25" s="322">
        <v>0</v>
      </c>
      <c r="AA25" s="323">
        <v>0</v>
      </c>
      <c r="AB25" s="325">
        <v>0</v>
      </c>
      <c r="AC25" s="336">
        <v>0</v>
      </c>
      <c r="AD25" s="959">
        <v>0</v>
      </c>
      <c r="AE25" s="323">
        <v>0</v>
      </c>
      <c r="AF25" s="322">
        <v>0</v>
      </c>
      <c r="AG25" s="323">
        <v>0</v>
      </c>
      <c r="AH25" s="326">
        <v>0</v>
      </c>
      <c r="AI25" s="375">
        <v>0</v>
      </c>
      <c r="AJ25" s="325">
        <v>0</v>
      </c>
      <c r="AK25" s="323">
        <v>0</v>
      </c>
      <c r="AL25" s="107" t="str">
        <f>($DG25&amp;DH25&amp;DI25&amp;DJ25)</f>
        <v/>
      </c>
      <c r="AM25" s="607"/>
      <c r="AN25" s="607"/>
      <c r="AO25" s="607"/>
      <c r="AP25" s="607"/>
      <c r="AQ25" s="607"/>
      <c r="AR25" s="607"/>
      <c r="AS25" s="607"/>
      <c r="AT25" s="607"/>
      <c r="AU25" s="607"/>
      <c r="AV25" s="607"/>
      <c r="BF25" s="107"/>
      <c r="BG25" s="107"/>
      <c r="BH25" s="107"/>
      <c r="BI25" s="107"/>
      <c r="BJ25" s="107"/>
      <c r="BK25" s="107"/>
      <c r="BL25" s="107"/>
      <c r="BM25" s="107"/>
      <c r="BN25" s="107"/>
      <c r="BR25" s="607"/>
      <c r="BS25" s="607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48">
        <f>IF(AND(D25&gt;0,OR(AH25="")),1,IF(AH25&gt;D25,1,0))</f>
        <v>0</v>
      </c>
      <c r="ES25" s="1048">
        <f>IF(AND(E25&gt;0,OR(AI25="")),1,IF(AI25&gt;E25,1,0))</f>
        <v>0</v>
      </c>
      <c r="ET25" s="1048">
        <f>IF(AND(D25&gt;0,OR(AJ25="")),1,IF(AJ25&gt;D25,1,0))</f>
        <v>0</v>
      </c>
      <c r="EU25" s="1048">
        <f>IF(AND(E25&gt;0,OR(AK25="")),1,IF(AK25&gt;E25,1,0))</f>
        <v>0</v>
      </c>
    </row>
    <row r="26" spans="1:151" ht="15" customHeight="1" x14ac:dyDescent="0.25">
      <c r="A26" s="1801"/>
      <c r="B26" s="61" t="s">
        <v>236</v>
      </c>
      <c r="C26" s="1300">
        <f t="shared" si="1"/>
        <v>2</v>
      </c>
      <c r="D26" s="362">
        <f t="shared" si="2"/>
        <v>1</v>
      </c>
      <c r="E26" s="371">
        <f t="shared" si="3"/>
        <v>1</v>
      </c>
      <c r="F26" s="328">
        <v>0</v>
      </c>
      <c r="G26" s="706">
        <v>0</v>
      </c>
      <c r="H26" s="328">
        <v>0</v>
      </c>
      <c r="I26" s="331">
        <v>0</v>
      </c>
      <c r="J26" s="328">
        <v>0</v>
      </c>
      <c r="K26" s="331">
        <v>0</v>
      </c>
      <c r="L26" s="328">
        <v>0</v>
      </c>
      <c r="M26" s="330">
        <v>0</v>
      </c>
      <c r="N26" s="328">
        <v>0</v>
      </c>
      <c r="O26" s="329">
        <v>0</v>
      </c>
      <c r="P26" s="328">
        <v>1</v>
      </c>
      <c r="Q26" s="329">
        <v>0</v>
      </c>
      <c r="R26" s="331">
        <v>0</v>
      </c>
      <c r="S26" s="331">
        <v>0</v>
      </c>
      <c r="T26" s="328">
        <v>0</v>
      </c>
      <c r="U26" s="337">
        <v>0</v>
      </c>
      <c r="V26" s="328">
        <v>0</v>
      </c>
      <c r="W26" s="329">
        <v>0</v>
      </c>
      <c r="X26" s="328">
        <v>0</v>
      </c>
      <c r="Y26" s="329">
        <v>0</v>
      </c>
      <c r="Z26" s="328">
        <v>0</v>
      </c>
      <c r="AA26" s="329">
        <v>1</v>
      </c>
      <c r="AB26" s="331">
        <v>0</v>
      </c>
      <c r="AC26" s="337">
        <v>0</v>
      </c>
      <c r="AD26" s="960">
        <v>0</v>
      </c>
      <c r="AE26" s="329">
        <v>0</v>
      </c>
      <c r="AF26" s="328">
        <v>0</v>
      </c>
      <c r="AG26" s="329">
        <v>0</v>
      </c>
      <c r="AH26" s="332">
        <v>1</v>
      </c>
      <c r="AI26" s="379">
        <v>0</v>
      </c>
      <c r="AJ26" s="331">
        <v>0</v>
      </c>
      <c r="AK26" s="329">
        <v>0</v>
      </c>
      <c r="AL26" s="107" t="str">
        <f>($DG26&amp;DH26&amp;DI26&amp;DJ26)</f>
        <v/>
      </c>
      <c r="AM26" s="607"/>
      <c r="AN26" s="607"/>
      <c r="AO26" s="607"/>
      <c r="AP26" s="607"/>
      <c r="AQ26" s="607"/>
      <c r="AR26" s="607"/>
      <c r="AS26" s="607"/>
      <c r="AT26" s="607"/>
      <c r="AU26" s="607"/>
      <c r="AV26" s="607"/>
      <c r="BF26" s="107"/>
      <c r="BG26" s="107"/>
      <c r="BH26" s="107"/>
      <c r="BI26" s="107"/>
      <c r="BJ26" s="107"/>
      <c r="BK26" s="107"/>
      <c r="BL26" s="107"/>
      <c r="BM26" s="107"/>
      <c r="BN26" s="107"/>
      <c r="BR26" s="607"/>
      <c r="BS26" s="607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48">
        <f>IF(AND(D26&gt;0,OR(AH26="")),1,IF(AH26&gt;D26,1,0))</f>
        <v>0</v>
      </c>
      <c r="ES26" s="1048">
        <f>IF(AND(E26&gt;0,OR(AI26="")),1,IF(AI26&gt;E26,1,0))</f>
        <v>0</v>
      </c>
      <c r="ET26" s="1048">
        <f>IF(AND(D26&gt;0,OR(AJ26="")),1,IF(AJ26&gt;D26,1,0))</f>
        <v>0</v>
      </c>
      <c r="EU26" s="1048">
        <f>IF(AND(E26&gt;0,OR(AK26="")),1,IF(AK26&gt;E26,1,0))</f>
        <v>0</v>
      </c>
    </row>
    <row r="27" spans="1:151" ht="15" customHeight="1" x14ac:dyDescent="0.25">
      <c r="A27" s="1801"/>
      <c r="B27" s="1413" t="s">
        <v>54</v>
      </c>
      <c r="C27" s="1411">
        <f t="shared" si="1"/>
        <v>2</v>
      </c>
      <c r="D27" s="362">
        <f t="shared" si="2"/>
        <v>1</v>
      </c>
      <c r="E27" s="371">
        <f t="shared" si="3"/>
        <v>1</v>
      </c>
      <c r="F27" s="1409">
        <f t="shared" ref="F27:G27" si="13">SUM(F25:F26)</f>
        <v>0</v>
      </c>
      <c r="G27" s="1410">
        <f t="shared" si="13"/>
        <v>0</v>
      </c>
      <c r="H27" s="1414">
        <f>SUM(H25:H26)</f>
        <v>0</v>
      </c>
      <c r="I27" s="1415">
        <f t="shared" ref="I27:AK27" si="14">SUM(I25:I26)</f>
        <v>0</v>
      </c>
      <c r="J27" s="1414">
        <f t="shared" si="14"/>
        <v>0</v>
      </c>
      <c r="K27" s="1415">
        <f t="shared" si="14"/>
        <v>0</v>
      </c>
      <c r="L27" s="1414">
        <f t="shared" si="14"/>
        <v>0</v>
      </c>
      <c r="M27" s="340">
        <f t="shared" si="14"/>
        <v>0</v>
      </c>
      <c r="N27" s="1414">
        <f t="shared" si="14"/>
        <v>0</v>
      </c>
      <c r="O27" s="964">
        <f t="shared" si="14"/>
        <v>0</v>
      </c>
      <c r="P27" s="1414">
        <f t="shared" si="14"/>
        <v>1</v>
      </c>
      <c r="Q27" s="964">
        <f t="shared" si="14"/>
        <v>0</v>
      </c>
      <c r="R27" s="1416">
        <f t="shared" si="14"/>
        <v>0</v>
      </c>
      <c r="S27" s="1415">
        <f t="shared" si="14"/>
        <v>0</v>
      </c>
      <c r="T27" s="1414">
        <f t="shared" si="14"/>
        <v>0</v>
      </c>
      <c r="U27" s="1417">
        <f t="shared" si="14"/>
        <v>0</v>
      </c>
      <c r="V27" s="1414">
        <f t="shared" si="14"/>
        <v>0</v>
      </c>
      <c r="W27" s="964">
        <f t="shared" si="14"/>
        <v>0</v>
      </c>
      <c r="X27" s="1414">
        <f t="shared" si="14"/>
        <v>0</v>
      </c>
      <c r="Y27" s="964">
        <f t="shared" si="14"/>
        <v>0</v>
      </c>
      <c r="Z27" s="1414">
        <f t="shared" si="14"/>
        <v>0</v>
      </c>
      <c r="AA27" s="964">
        <f t="shared" si="14"/>
        <v>1</v>
      </c>
      <c r="AB27" s="1416">
        <f t="shared" si="14"/>
        <v>0</v>
      </c>
      <c r="AC27" s="1417">
        <f t="shared" si="14"/>
        <v>0</v>
      </c>
      <c r="AD27" s="1418">
        <f t="shared" si="14"/>
        <v>0</v>
      </c>
      <c r="AE27" s="964">
        <f t="shared" si="14"/>
        <v>0</v>
      </c>
      <c r="AF27" s="1414">
        <f t="shared" si="14"/>
        <v>0</v>
      </c>
      <c r="AG27" s="964">
        <f t="shared" si="14"/>
        <v>0</v>
      </c>
      <c r="AH27" s="341">
        <f t="shared" si="14"/>
        <v>1</v>
      </c>
      <c r="AI27" s="1213">
        <f t="shared" si="14"/>
        <v>0</v>
      </c>
      <c r="AJ27" s="1416">
        <f t="shared" si="14"/>
        <v>0</v>
      </c>
      <c r="AK27" s="964">
        <f t="shared" si="14"/>
        <v>0</v>
      </c>
      <c r="AL27" s="107"/>
      <c r="AM27" s="607"/>
      <c r="AN27" s="607"/>
      <c r="AO27" s="607"/>
      <c r="AP27" s="607"/>
      <c r="AQ27" s="607"/>
      <c r="AR27" s="607"/>
      <c r="AS27" s="607"/>
      <c r="AT27" s="607"/>
      <c r="AU27" s="607"/>
      <c r="AV27" s="607"/>
      <c r="BF27" s="107"/>
      <c r="BG27" s="107"/>
      <c r="BH27" s="107"/>
      <c r="BI27" s="107"/>
      <c r="BJ27" s="107"/>
      <c r="BK27" s="107"/>
      <c r="BL27" s="107"/>
      <c r="BM27" s="107"/>
      <c r="BN27" s="107"/>
      <c r="BR27" s="607"/>
      <c r="BS27" s="607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801"/>
      <c r="B28" s="63" t="s">
        <v>237</v>
      </c>
      <c r="C28" s="339">
        <f t="shared" si="1"/>
        <v>0</v>
      </c>
      <c r="D28" s="761">
        <f t="shared" si="2"/>
        <v>0</v>
      </c>
      <c r="E28" s="364">
        <f t="shared" si="3"/>
        <v>0</v>
      </c>
      <c r="F28" s="322">
        <v>0</v>
      </c>
      <c r="G28" s="701">
        <v>0</v>
      </c>
      <c r="H28" s="342">
        <v>0</v>
      </c>
      <c r="I28" s="343">
        <v>0</v>
      </c>
      <c r="J28" s="342">
        <v>0</v>
      </c>
      <c r="K28" s="343">
        <v>0</v>
      </c>
      <c r="L28" s="342">
        <v>0</v>
      </c>
      <c r="M28" s="344">
        <v>0</v>
      </c>
      <c r="N28" s="342">
        <v>0</v>
      </c>
      <c r="O28" s="345">
        <v>0</v>
      </c>
      <c r="P28" s="322">
        <v>0</v>
      </c>
      <c r="Q28" s="323">
        <v>0</v>
      </c>
      <c r="R28" s="343">
        <v>0</v>
      </c>
      <c r="S28" s="343">
        <v>0</v>
      </c>
      <c r="T28" s="342">
        <v>0</v>
      </c>
      <c r="U28" s="346">
        <v>0</v>
      </c>
      <c r="V28" s="342">
        <v>0</v>
      </c>
      <c r="W28" s="345">
        <v>0</v>
      </c>
      <c r="X28" s="342">
        <v>0</v>
      </c>
      <c r="Y28" s="345">
        <v>0</v>
      </c>
      <c r="Z28" s="342">
        <v>0</v>
      </c>
      <c r="AA28" s="345">
        <v>0</v>
      </c>
      <c r="AB28" s="343">
        <v>0</v>
      </c>
      <c r="AC28" s="346">
        <v>0</v>
      </c>
      <c r="AD28" s="961">
        <v>0</v>
      </c>
      <c r="AE28" s="345">
        <v>0</v>
      </c>
      <c r="AF28" s="342">
        <v>0</v>
      </c>
      <c r="AG28" s="345">
        <v>0</v>
      </c>
      <c r="AH28" s="347">
        <v>0</v>
      </c>
      <c r="AI28" s="646">
        <v>0</v>
      </c>
      <c r="AJ28" s="343">
        <v>0</v>
      </c>
      <c r="AK28" s="345">
        <v>0</v>
      </c>
      <c r="AL28" s="107" t="str">
        <f>($DG28&amp;DH28&amp;DI28&amp;DJ28)</f>
        <v/>
      </c>
      <c r="AM28" s="607"/>
      <c r="AN28" s="607"/>
      <c r="AO28" s="607"/>
      <c r="AP28" s="607"/>
      <c r="AQ28" s="607"/>
      <c r="AR28" s="607"/>
      <c r="AS28" s="607"/>
      <c r="AT28" s="607"/>
      <c r="AU28" s="607"/>
      <c r="AV28" s="607"/>
      <c r="BF28" s="107"/>
      <c r="BG28" s="107"/>
      <c r="BH28" s="107"/>
      <c r="BI28" s="107"/>
      <c r="BJ28" s="107"/>
      <c r="BK28" s="107"/>
      <c r="BL28" s="107"/>
      <c r="BM28" s="107"/>
      <c r="BN28" s="107"/>
      <c r="BR28" s="607"/>
      <c r="BS28" s="607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48">
        <f>IF(AND(D28&gt;0,OR(AH28="")),1,IF(AH28&gt;D28,1,0))</f>
        <v>0</v>
      </c>
      <c r="ES28" s="1048">
        <f>IF(AND(E28&gt;0,OR(AI28="")),1,IF(AI28&gt;E28,1,0))</f>
        <v>0</v>
      </c>
      <c r="ET28" s="1048">
        <f>IF(AND(D28&gt;0,OR(AJ28="")),1,IF(AJ28&gt;D28,1,0))</f>
        <v>0</v>
      </c>
      <c r="EU28" s="1048">
        <f>IF(AND(E28&gt;0,OR(AK28="")),1,IF(AK28&gt;E28,1,0))</f>
        <v>0</v>
      </c>
    </row>
    <row r="29" spans="1:151" ht="15" customHeight="1" x14ac:dyDescent="0.25">
      <c r="A29" s="1801"/>
      <c r="B29" s="61" t="s">
        <v>238</v>
      </c>
      <c r="C29" s="1300">
        <f t="shared" si="1"/>
        <v>0</v>
      </c>
      <c r="D29" s="362">
        <f t="shared" si="2"/>
        <v>0</v>
      </c>
      <c r="E29" s="371">
        <f t="shared" si="3"/>
        <v>0</v>
      </c>
      <c r="F29" s="328">
        <v>0</v>
      </c>
      <c r="G29" s="706">
        <v>0</v>
      </c>
      <c r="H29" s="328">
        <v>0</v>
      </c>
      <c r="I29" s="331">
        <v>0</v>
      </c>
      <c r="J29" s="328">
        <v>0</v>
      </c>
      <c r="K29" s="331">
        <v>0</v>
      </c>
      <c r="L29" s="328">
        <v>0</v>
      </c>
      <c r="M29" s="330">
        <v>0</v>
      </c>
      <c r="N29" s="328">
        <v>0</v>
      </c>
      <c r="O29" s="329">
        <v>0</v>
      </c>
      <c r="P29" s="328">
        <v>0</v>
      </c>
      <c r="Q29" s="329">
        <v>0</v>
      </c>
      <c r="R29" s="331">
        <v>0</v>
      </c>
      <c r="S29" s="331">
        <v>0</v>
      </c>
      <c r="T29" s="328">
        <v>0</v>
      </c>
      <c r="U29" s="337">
        <v>0</v>
      </c>
      <c r="V29" s="328">
        <v>0</v>
      </c>
      <c r="W29" s="329">
        <v>0</v>
      </c>
      <c r="X29" s="328">
        <v>0</v>
      </c>
      <c r="Y29" s="329">
        <v>0</v>
      </c>
      <c r="Z29" s="328">
        <v>0</v>
      </c>
      <c r="AA29" s="329">
        <v>0</v>
      </c>
      <c r="AB29" s="331">
        <v>0</v>
      </c>
      <c r="AC29" s="337">
        <v>0</v>
      </c>
      <c r="AD29" s="960">
        <v>0</v>
      </c>
      <c r="AE29" s="329">
        <v>0</v>
      </c>
      <c r="AF29" s="328">
        <v>0</v>
      </c>
      <c r="AG29" s="329">
        <v>0</v>
      </c>
      <c r="AH29" s="332">
        <v>0</v>
      </c>
      <c r="AI29" s="379">
        <v>0</v>
      </c>
      <c r="AJ29" s="331">
        <v>0</v>
      </c>
      <c r="AK29" s="329">
        <v>0</v>
      </c>
      <c r="AL29" s="107" t="str">
        <f>($DG29&amp;DH29&amp;DI29&amp;DJ29)</f>
        <v/>
      </c>
      <c r="AM29" s="607"/>
      <c r="AN29" s="607"/>
      <c r="AO29" s="607"/>
      <c r="AP29" s="607"/>
      <c r="AQ29" s="607"/>
      <c r="AR29" s="607"/>
      <c r="AS29" s="607"/>
      <c r="AT29" s="607"/>
      <c r="AU29" s="607"/>
      <c r="AV29" s="607"/>
      <c r="BF29" s="107"/>
      <c r="BG29" s="107"/>
      <c r="BH29" s="107"/>
      <c r="BI29" s="107"/>
      <c r="BJ29" s="107"/>
      <c r="BK29" s="107"/>
      <c r="BL29" s="107"/>
      <c r="BM29" s="107"/>
      <c r="BN29" s="107"/>
      <c r="BR29" s="607"/>
      <c r="BS29" s="607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48">
        <f>IF(AND(D29&gt;0,OR(AH29="")),1,IF(AH29&gt;D29,1,0))</f>
        <v>0</v>
      </c>
      <c r="ES29" s="1048">
        <f>IF(AND(E29&gt;0,OR(AI29="")),1,IF(AI29&gt;E29,1,0))</f>
        <v>0</v>
      </c>
      <c r="ET29" s="1048">
        <f>IF(AND(D29&gt;0,OR(AJ29="")),1,IF(AJ29&gt;D29,1,0))</f>
        <v>0</v>
      </c>
      <c r="EU29" s="1048">
        <f>IF(AND(E29&gt;0,OR(AK29="")),1,IF(AK29&gt;E29,1,0))</f>
        <v>0</v>
      </c>
    </row>
    <row r="30" spans="1:151" ht="15" customHeight="1" x14ac:dyDescent="0.25">
      <c r="A30" s="1801"/>
      <c r="B30" s="1407" t="s">
        <v>94</v>
      </c>
      <c r="C30" s="1411">
        <f>SUM(D30:E30)</f>
        <v>0</v>
      </c>
      <c r="D30" s="362">
        <f t="shared" si="2"/>
        <v>0</v>
      </c>
      <c r="E30" s="371">
        <f t="shared" si="3"/>
        <v>0</v>
      </c>
      <c r="F30" s="1409">
        <f>SUM(F28:F29)</f>
        <v>0</v>
      </c>
      <c r="G30" s="1410">
        <f t="shared" ref="G30" si="15">SUM(G28:G29)</f>
        <v>0</v>
      </c>
      <c r="H30" s="1414">
        <f>SUM(H28:H29)</f>
        <v>0</v>
      </c>
      <c r="I30" s="1415">
        <f t="shared" ref="I30:AK30" si="16">SUM(I28:I29)</f>
        <v>0</v>
      </c>
      <c r="J30" s="1414">
        <f t="shared" si="16"/>
        <v>0</v>
      </c>
      <c r="K30" s="1415">
        <f t="shared" si="16"/>
        <v>0</v>
      </c>
      <c r="L30" s="1414">
        <f t="shared" si="16"/>
        <v>0</v>
      </c>
      <c r="M30" s="340">
        <f t="shared" si="16"/>
        <v>0</v>
      </c>
      <c r="N30" s="1414">
        <f t="shared" si="16"/>
        <v>0</v>
      </c>
      <c r="O30" s="964">
        <f t="shared" si="16"/>
        <v>0</v>
      </c>
      <c r="P30" s="1414">
        <f t="shared" si="16"/>
        <v>0</v>
      </c>
      <c r="Q30" s="964">
        <f t="shared" si="16"/>
        <v>0</v>
      </c>
      <c r="R30" s="1416">
        <f t="shared" si="16"/>
        <v>0</v>
      </c>
      <c r="S30" s="1415">
        <f t="shared" si="16"/>
        <v>0</v>
      </c>
      <c r="T30" s="1414">
        <f t="shared" si="16"/>
        <v>0</v>
      </c>
      <c r="U30" s="1417">
        <f t="shared" si="16"/>
        <v>0</v>
      </c>
      <c r="V30" s="1414">
        <f t="shared" si="16"/>
        <v>0</v>
      </c>
      <c r="W30" s="964">
        <f t="shared" si="16"/>
        <v>0</v>
      </c>
      <c r="X30" s="1414">
        <f t="shared" si="16"/>
        <v>0</v>
      </c>
      <c r="Y30" s="964">
        <f t="shared" si="16"/>
        <v>0</v>
      </c>
      <c r="Z30" s="1414">
        <f t="shared" si="16"/>
        <v>0</v>
      </c>
      <c r="AA30" s="964">
        <f t="shared" si="16"/>
        <v>0</v>
      </c>
      <c r="AB30" s="1416">
        <f t="shared" si="16"/>
        <v>0</v>
      </c>
      <c r="AC30" s="1417">
        <f t="shared" si="16"/>
        <v>0</v>
      </c>
      <c r="AD30" s="1418">
        <f t="shared" si="16"/>
        <v>0</v>
      </c>
      <c r="AE30" s="964">
        <f t="shared" si="16"/>
        <v>0</v>
      </c>
      <c r="AF30" s="1414">
        <f t="shared" si="16"/>
        <v>0</v>
      </c>
      <c r="AG30" s="964">
        <f t="shared" si="16"/>
        <v>0</v>
      </c>
      <c r="AH30" s="341">
        <f t="shared" si="16"/>
        <v>0</v>
      </c>
      <c r="AI30" s="1213">
        <f t="shared" si="16"/>
        <v>0</v>
      </c>
      <c r="AJ30" s="1416">
        <f t="shared" si="16"/>
        <v>0</v>
      </c>
      <c r="AK30" s="964">
        <f t="shared" si="16"/>
        <v>0</v>
      </c>
      <c r="AL30" s="107"/>
      <c r="AM30" s="607"/>
      <c r="AN30" s="607"/>
      <c r="AO30" s="607"/>
      <c r="AP30" s="607"/>
      <c r="AQ30" s="607"/>
      <c r="AR30" s="607"/>
      <c r="AS30" s="607"/>
      <c r="AT30" s="607"/>
      <c r="AU30" s="607"/>
      <c r="AV30" s="607"/>
      <c r="BF30" s="107"/>
      <c r="BG30" s="107"/>
      <c r="BH30" s="107"/>
      <c r="BI30" s="107"/>
      <c r="BJ30" s="107"/>
      <c r="BK30" s="107"/>
      <c r="BL30" s="107"/>
      <c r="BM30" s="107"/>
      <c r="BN30" s="107"/>
      <c r="BR30" s="607"/>
      <c r="BS30" s="607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802"/>
      <c r="B31" s="64" t="s">
        <v>241</v>
      </c>
      <c r="C31" s="349">
        <f t="shared" si="1"/>
        <v>0</v>
      </c>
      <c r="D31" s="362">
        <f t="shared" si="2"/>
        <v>0</v>
      </c>
      <c r="E31" s="371">
        <f t="shared" si="3"/>
        <v>0</v>
      </c>
      <c r="F31" s="1404">
        <v>0</v>
      </c>
      <c r="G31" s="1419">
        <v>0</v>
      </c>
      <c r="H31" s="1404">
        <v>0</v>
      </c>
      <c r="I31" s="958">
        <v>0</v>
      </c>
      <c r="J31" s="1404">
        <v>0</v>
      </c>
      <c r="K31" s="958">
        <v>0</v>
      </c>
      <c r="L31" s="1404">
        <v>0</v>
      </c>
      <c r="M31" s="319">
        <v>0</v>
      </c>
      <c r="N31" s="1404">
        <v>0</v>
      </c>
      <c r="O31" s="958">
        <v>0</v>
      </c>
      <c r="P31" s="1404">
        <v>0</v>
      </c>
      <c r="Q31" s="958">
        <v>0</v>
      </c>
      <c r="R31" s="1406">
        <v>0</v>
      </c>
      <c r="S31" s="958">
        <v>0</v>
      </c>
      <c r="T31" s="1404">
        <v>0</v>
      </c>
      <c r="U31" s="319">
        <v>0</v>
      </c>
      <c r="V31" s="1404">
        <v>0</v>
      </c>
      <c r="W31" s="958">
        <v>0</v>
      </c>
      <c r="X31" s="315">
        <v>0</v>
      </c>
      <c r="Y31" s="316">
        <v>0</v>
      </c>
      <c r="Z31" s="315">
        <v>0</v>
      </c>
      <c r="AA31" s="316">
        <v>0</v>
      </c>
      <c r="AB31" s="1404">
        <v>0</v>
      </c>
      <c r="AC31" s="751">
        <v>0</v>
      </c>
      <c r="AD31" s="962">
        <v>0</v>
      </c>
      <c r="AE31" s="316">
        <v>0</v>
      </c>
      <c r="AF31" s="315">
        <v>0</v>
      </c>
      <c r="AG31" s="316">
        <v>0</v>
      </c>
      <c r="AH31" s="350">
        <v>0</v>
      </c>
      <c r="AI31" s="648">
        <v>0</v>
      </c>
      <c r="AJ31" s="318">
        <v>0</v>
      </c>
      <c r="AK31" s="316">
        <v>0</v>
      </c>
      <c r="AL31" s="107" t="str">
        <f t="shared" ref="AL31:AL36" si="17">($DG31&amp;DH31&amp;DI31&amp;DJ31)</f>
        <v/>
      </c>
      <c r="AM31" s="607"/>
      <c r="AN31" s="607"/>
      <c r="AO31" s="607"/>
      <c r="AP31" s="607"/>
      <c r="AQ31" s="607"/>
      <c r="AR31" s="607"/>
      <c r="AS31" s="607"/>
      <c r="AT31" s="607"/>
      <c r="AU31" s="607"/>
      <c r="AV31" s="607"/>
      <c r="BF31" s="107"/>
      <c r="BG31" s="107"/>
      <c r="BH31" s="107"/>
      <c r="BI31" s="107"/>
      <c r="BJ31" s="107"/>
      <c r="BK31" s="107"/>
      <c r="BL31" s="107"/>
      <c r="BM31" s="107"/>
      <c r="BN31" s="107"/>
      <c r="BR31" s="607"/>
      <c r="BS31" s="607"/>
      <c r="CK31" s="33"/>
      <c r="DB31" s="33"/>
      <c r="DG31" s="191" t="str">
        <f t="shared" ref="DG31:DG36" si="18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19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0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1">IF(AND(E31&gt;0,OR(AK31=""))," * No olvide digitar la variable Migrantes Mujeres (Digite Cero si no tiene).",IF(AK31&gt;E31," * La variable Migrantes Mujeres no puede ser Mayor al Total.",""))</f>
        <v/>
      </c>
      <c r="ER31" s="1048">
        <f t="shared" ref="ER31:ES36" si="22">IF(AND(D31&gt;0,OR(AH31="")),1,IF(AH31&gt;D31,1,0))</f>
        <v>0</v>
      </c>
      <c r="ES31" s="1048">
        <f t="shared" si="22"/>
        <v>0</v>
      </c>
      <c r="ET31" s="1048">
        <f t="shared" ref="ET31:EU36" si="23">IF(AND(D31&gt;0,OR(AJ31="")),1,IF(AJ31&gt;D31,1,0))</f>
        <v>0</v>
      </c>
      <c r="EU31" s="1048">
        <f t="shared" si="23"/>
        <v>0</v>
      </c>
    </row>
    <row r="32" spans="1:151" ht="15" customHeight="1" x14ac:dyDescent="0.25">
      <c r="A32" s="1708" t="s">
        <v>242</v>
      </c>
      <c r="B32" s="63" t="s">
        <v>243</v>
      </c>
      <c r="C32" s="351">
        <f t="shared" si="1"/>
        <v>0</v>
      </c>
      <c r="D32" s="761">
        <f>+H32+J32+L32+N32+P32+R32+T32+V32+X32+Z32+AB32+AD32+AF32</f>
        <v>0</v>
      </c>
      <c r="E32" s="364">
        <f>+I32+K32+M32+O32+Q32+S32+U32+W32+Y32+AA32+AC32+AE32+AG32</f>
        <v>0</v>
      </c>
      <c r="F32" s="927"/>
      <c r="G32" s="928"/>
      <c r="H32" s="322">
        <v>0</v>
      </c>
      <c r="I32" s="323">
        <v>0</v>
      </c>
      <c r="J32" s="322">
        <v>0</v>
      </c>
      <c r="K32" s="323">
        <v>0</v>
      </c>
      <c r="L32" s="322">
        <v>0</v>
      </c>
      <c r="M32" s="324">
        <v>0</v>
      </c>
      <c r="N32" s="322">
        <v>0</v>
      </c>
      <c r="O32" s="323">
        <v>0</v>
      </c>
      <c r="P32" s="322">
        <v>0</v>
      </c>
      <c r="Q32" s="323">
        <v>0</v>
      </c>
      <c r="R32" s="325">
        <v>0</v>
      </c>
      <c r="S32" s="323">
        <v>0</v>
      </c>
      <c r="T32" s="322">
        <v>0</v>
      </c>
      <c r="U32" s="324">
        <v>0</v>
      </c>
      <c r="V32" s="322">
        <v>0</v>
      </c>
      <c r="W32" s="323">
        <v>0</v>
      </c>
      <c r="X32" s="322">
        <v>0</v>
      </c>
      <c r="Y32" s="323">
        <v>0</v>
      </c>
      <c r="Z32" s="322">
        <v>0</v>
      </c>
      <c r="AA32" s="323">
        <v>0</v>
      </c>
      <c r="AB32" s="325">
        <v>0</v>
      </c>
      <c r="AC32" s="324">
        <v>0</v>
      </c>
      <c r="AD32" s="959">
        <v>0</v>
      </c>
      <c r="AE32" s="323">
        <v>0</v>
      </c>
      <c r="AF32" s="322">
        <v>0</v>
      </c>
      <c r="AG32" s="323">
        <v>0</v>
      </c>
      <c r="AH32" s="326">
        <v>0</v>
      </c>
      <c r="AI32" s="375">
        <v>0</v>
      </c>
      <c r="AJ32" s="325">
        <v>0</v>
      </c>
      <c r="AK32" s="323">
        <v>0</v>
      </c>
      <c r="AL32" s="107" t="str">
        <f t="shared" si="17"/>
        <v/>
      </c>
      <c r="AM32" s="607"/>
      <c r="AN32" s="607"/>
      <c r="AO32" s="607"/>
      <c r="AP32" s="607"/>
      <c r="AQ32" s="607"/>
      <c r="AR32" s="607"/>
      <c r="AS32" s="607"/>
      <c r="AT32" s="607"/>
      <c r="AU32" s="607"/>
      <c r="AV32" s="607"/>
      <c r="BF32" s="107"/>
      <c r="BG32" s="107"/>
      <c r="BH32" s="107"/>
      <c r="BI32" s="107"/>
      <c r="BJ32" s="107"/>
      <c r="BK32" s="107"/>
      <c r="BL32" s="107"/>
      <c r="BM32" s="107"/>
      <c r="BN32" s="107"/>
      <c r="BR32" s="607"/>
      <c r="BS32" s="607"/>
      <c r="CK32" s="33"/>
      <c r="DB32" s="33"/>
      <c r="DG32" s="191" t="str">
        <f t="shared" si="18"/>
        <v/>
      </c>
      <c r="DH32" s="191" t="str">
        <f t="shared" si="19"/>
        <v/>
      </c>
      <c r="DI32" s="191" t="str">
        <f t="shared" si="20"/>
        <v/>
      </c>
      <c r="DJ32" s="191" t="str">
        <f t="shared" si="21"/>
        <v/>
      </c>
      <c r="ER32" s="1048">
        <f t="shared" si="22"/>
        <v>0</v>
      </c>
      <c r="ES32" s="1048">
        <f t="shared" si="22"/>
        <v>0</v>
      </c>
      <c r="ET32" s="1048">
        <f t="shared" si="23"/>
        <v>0</v>
      </c>
      <c r="EU32" s="1048">
        <f t="shared" si="23"/>
        <v>0</v>
      </c>
    </row>
    <row r="33" spans="1:151" ht="15" customHeight="1" x14ac:dyDescent="0.25">
      <c r="A33" s="1709"/>
      <c r="B33" s="60" t="s">
        <v>244</v>
      </c>
      <c r="C33" s="352">
        <f t="shared" si="1"/>
        <v>0</v>
      </c>
      <c r="D33" s="762">
        <f t="shared" ref="D33:D39" si="24">+H33+J33+L33+N33+P33+R33+T33+V33+X33+Z33+AB33+AD33+AF33</f>
        <v>0</v>
      </c>
      <c r="E33" s="366">
        <f t="shared" ref="E33:E39" si="25">+I33+K33+M33+O33+Q33+S33+U33+W33+Y33+AA33+AC33+AE33+AG33</f>
        <v>0</v>
      </c>
      <c r="F33" s="929"/>
      <c r="G33" s="930"/>
      <c r="H33" s="354">
        <v>0</v>
      </c>
      <c r="I33" s="355">
        <v>0</v>
      </c>
      <c r="J33" s="354">
        <v>0</v>
      </c>
      <c r="K33" s="355">
        <v>0</v>
      </c>
      <c r="L33" s="354">
        <v>0</v>
      </c>
      <c r="M33" s="356">
        <v>0</v>
      </c>
      <c r="N33" s="354">
        <v>0</v>
      </c>
      <c r="O33" s="355">
        <v>0</v>
      </c>
      <c r="P33" s="354">
        <v>0</v>
      </c>
      <c r="Q33" s="355">
        <v>0</v>
      </c>
      <c r="R33" s="357">
        <v>0</v>
      </c>
      <c r="S33" s="355">
        <v>0</v>
      </c>
      <c r="T33" s="354">
        <v>0</v>
      </c>
      <c r="U33" s="356">
        <v>0</v>
      </c>
      <c r="V33" s="354">
        <v>0</v>
      </c>
      <c r="W33" s="355">
        <v>0</v>
      </c>
      <c r="X33" s="354">
        <v>0</v>
      </c>
      <c r="Y33" s="355">
        <v>0</v>
      </c>
      <c r="Z33" s="354">
        <v>0</v>
      </c>
      <c r="AA33" s="355">
        <v>0</v>
      </c>
      <c r="AB33" s="357">
        <v>0</v>
      </c>
      <c r="AC33" s="356">
        <v>0</v>
      </c>
      <c r="AD33" s="963">
        <v>0</v>
      </c>
      <c r="AE33" s="355">
        <v>0</v>
      </c>
      <c r="AF33" s="354">
        <v>0</v>
      </c>
      <c r="AG33" s="355">
        <v>0</v>
      </c>
      <c r="AH33" s="358">
        <v>0</v>
      </c>
      <c r="AI33" s="376">
        <v>0</v>
      </c>
      <c r="AJ33" s="357">
        <v>0</v>
      </c>
      <c r="AK33" s="355">
        <v>0</v>
      </c>
      <c r="AL33" s="107" t="str">
        <f t="shared" si="17"/>
        <v/>
      </c>
      <c r="AM33" s="607"/>
      <c r="AN33" s="607"/>
      <c r="AO33" s="607"/>
      <c r="AP33" s="607"/>
      <c r="AQ33" s="607"/>
      <c r="AR33" s="607"/>
      <c r="AS33" s="607"/>
      <c r="AT33" s="607"/>
      <c r="AU33" s="607"/>
      <c r="AV33" s="607"/>
      <c r="BF33" s="107"/>
      <c r="BG33" s="107"/>
      <c r="BH33" s="107"/>
      <c r="BI33" s="107"/>
      <c r="BJ33" s="107"/>
      <c r="BK33" s="107"/>
      <c r="BL33" s="107"/>
      <c r="BM33" s="107"/>
      <c r="BN33" s="107"/>
      <c r="BR33" s="607"/>
      <c r="BS33" s="607"/>
      <c r="CK33" s="33"/>
      <c r="DB33" s="33"/>
      <c r="DG33" s="191" t="str">
        <f t="shared" si="18"/>
        <v/>
      </c>
      <c r="DH33" s="191" t="str">
        <f t="shared" si="19"/>
        <v/>
      </c>
      <c r="DI33" s="191" t="str">
        <f t="shared" si="20"/>
        <v/>
      </c>
      <c r="DJ33" s="191" t="str">
        <f t="shared" si="21"/>
        <v/>
      </c>
      <c r="ER33" s="1048">
        <f t="shared" si="22"/>
        <v>0</v>
      </c>
      <c r="ES33" s="1048">
        <f t="shared" si="22"/>
        <v>0</v>
      </c>
      <c r="ET33" s="1048">
        <f t="shared" si="23"/>
        <v>0</v>
      </c>
      <c r="EU33" s="1048">
        <f t="shared" si="23"/>
        <v>0</v>
      </c>
    </row>
    <row r="34" spans="1:151" ht="15" customHeight="1" x14ac:dyDescent="0.25">
      <c r="A34" s="1709"/>
      <c r="B34" s="60" t="s">
        <v>245</v>
      </c>
      <c r="C34" s="352">
        <f t="shared" si="1"/>
        <v>0</v>
      </c>
      <c r="D34" s="762">
        <f t="shared" si="24"/>
        <v>0</v>
      </c>
      <c r="E34" s="366">
        <f t="shared" si="25"/>
        <v>0</v>
      </c>
      <c r="F34" s="929"/>
      <c r="G34" s="930"/>
      <c r="H34" s="354">
        <v>0</v>
      </c>
      <c r="I34" s="355">
        <v>0</v>
      </c>
      <c r="J34" s="354">
        <v>0</v>
      </c>
      <c r="K34" s="355">
        <v>0</v>
      </c>
      <c r="L34" s="354">
        <v>0</v>
      </c>
      <c r="M34" s="356">
        <v>0</v>
      </c>
      <c r="N34" s="354">
        <v>0</v>
      </c>
      <c r="O34" s="355">
        <v>0</v>
      </c>
      <c r="P34" s="354">
        <v>0</v>
      </c>
      <c r="Q34" s="355">
        <v>0</v>
      </c>
      <c r="R34" s="357">
        <v>0</v>
      </c>
      <c r="S34" s="355">
        <v>0</v>
      </c>
      <c r="T34" s="354">
        <v>0</v>
      </c>
      <c r="U34" s="356">
        <v>0</v>
      </c>
      <c r="V34" s="354">
        <v>0</v>
      </c>
      <c r="W34" s="355">
        <v>0</v>
      </c>
      <c r="X34" s="354">
        <v>0</v>
      </c>
      <c r="Y34" s="355">
        <v>0</v>
      </c>
      <c r="Z34" s="354">
        <v>0</v>
      </c>
      <c r="AA34" s="355">
        <v>0</v>
      </c>
      <c r="AB34" s="357">
        <v>0</v>
      </c>
      <c r="AC34" s="356">
        <v>0</v>
      </c>
      <c r="AD34" s="963">
        <v>0</v>
      </c>
      <c r="AE34" s="355">
        <v>0</v>
      </c>
      <c r="AF34" s="354">
        <v>0</v>
      </c>
      <c r="AG34" s="355">
        <v>0</v>
      </c>
      <c r="AH34" s="358">
        <v>0</v>
      </c>
      <c r="AI34" s="376">
        <v>0</v>
      </c>
      <c r="AJ34" s="357">
        <v>0</v>
      </c>
      <c r="AK34" s="355">
        <v>0</v>
      </c>
      <c r="AL34" s="107" t="str">
        <f t="shared" si="17"/>
        <v/>
      </c>
      <c r="AM34" s="607"/>
      <c r="AN34" s="607"/>
      <c r="AO34" s="607"/>
      <c r="AP34" s="607"/>
      <c r="AQ34" s="607"/>
      <c r="AR34" s="607"/>
      <c r="AS34" s="607"/>
      <c r="AT34" s="607"/>
      <c r="AU34" s="607"/>
      <c r="AV34" s="607"/>
      <c r="BF34" s="107"/>
      <c r="BG34" s="107"/>
      <c r="BH34" s="107"/>
      <c r="BI34" s="107"/>
      <c r="BJ34" s="107"/>
      <c r="BK34" s="107"/>
      <c r="BL34" s="107"/>
      <c r="BM34" s="107"/>
      <c r="BN34" s="107"/>
      <c r="BR34" s="607"/>
      <c r="BS34" s="607"/>
      <c r="CK34" s="33"/>
      <c r="DB34" s="33"/>
      <c r="DG34" s="191" t="str">
        <f t="shared" si="18"/>
        <v/>
      </c>
      <c r="DH34" s="191" t="str">
        <f t="shared" si="19"/>
        <v/>
      </c>
      <c r="DI34" s="191" t="str">
        <f t="shared" si="20"/>
        <v/>
      </c>
      <c r="DJ34" s="191" t="str">
        <f t="shared" si="21"/>
        <v/>
      </c>
      <c r="ER34" s="1048">
        <f t="shared" si="22"/>
        <v>0</v>
      </c>
      <c r="ES34" s="1048">
        <f t="shared" si="22"/>
        <v>0</v>
      </c>
      <c r="ET34" s="1048">
        <f t="shared" si="23"/>
        <v>0</v>
      </c>
      <c r="EU34" s="1048">
        <f t="shared" si="23"/>
        <v>0</v>
      </c>
    </row>
    <row r="35" spans="1:151" ht="15" customHeight="1" x14ac:dyDescent="0.25">
      <c r="A35" s="1709"/>
      <c r="B35" s="60" t="s">
        <v>246</v>
      </c>
      <c r="C35" s="352">
        <f t="shared" si="1"/>
        <v>1</v>
      </c>
      <c r="D35" s="762">
        <f t="shared" si="24"/>
        <v>1</v>
      </c>
      <c r="E35" s="366">
        <f t="shared" si="25"/>
        <v>0</v>
      </c>
      <c r="F35" s="929"/>
      <c r="G35" s="930"/>
      <c r="H35" s="354">
        <v>0</v>
      </c>
      <c r="I35" s="355">
        <v>0</v>
      </c>
      <c r="J35" s="354">
        <v>0</v>
      </c>
      <c r="K35" s="355">
        <v>0</v>
      </c>
      <c r="L35" s="354">
        <v>0</v>
      </c>
      <c r="M35" s="356">
        <v>0</v>
      </c>
      <c r="N35" s="354">
        <v>0</v>
      </c>
      <c r="O35" s="355">
        <v>0</v>
      </c>
      <c r="P35" s="354">
        <v>1</v>
      </c>
      <c r="Q35" s="355">
        <v>0</v>
      </c>
      <c r="R35" s="357">
        <v>0</v>
      </c>
      <c r="S35" s="355">
        <v>0</v>
      </c>
      <c r="T35" s="354">
        <v>0</v>
      </c>
      <c r="U35" s="356">
        <v>0</v>
      </c>
      <c r="V35" s="354">
        <v>0</v>
      </c>
      <c r="W35" s="355">
        <v>0</v>
      </c>
      <c r="X35" s="354">
        <v>0</v>
      </c>
      <c r="Y35" s="355">
        <v>0</v>
      </c>
      <c r="Z35" s="354">
        <v>0</v>
      </c>
      <c r="AA35" s="355">
        <v>0</v>
      </c>
      <c r="AB35" s="357">
        <v>0</v>
      </c>
      <c r="AC35" s="356">
        <v>0</v>
      </c>
      <c r="AD35" s="963">
        <v>0</v>
      </c>
      <c r="AE35" s="355">
        <v>0</v>
      </c>
      <c r="AF35" s="354">
        <v>0</v>
      </c>
      <c r="AG35" s="355">
        <v>0</v>
      </c>
      <c r="AH35" s="358">
        <v>1</v>
      </c>
      <c r="AI35" s="376">
        <v>0</v>
      </c>
      <c r="AJ35" s="357">
        <v>0</v>
      </c>
      <c r="AK35" s="355">
        <v>0</v>
      </c>
      <c r="AL35" s="107" t="str">
        <f t="shared" si="17"/>
        <v/>
      </c>
      <c r="AM35" s="607"/>
      <c r="AN35" s="607"/>
      <c r="AO35" s="607"/>
      <c r="AP35" s="607"/>
      <c r="AQ35" s="607"/>
      <c r="AR35" s="607"/>
      <c r="AS35" s="607"/>
      <c r="AT35" s="607"/>
      <c r="AU35" s="607"/>
      <c r="AV35" s="607"/>
      <c r="BF35" s="107"/>
      <c r="BG35" s="107"/>
      <c r="BH35" s="107"/>
      <c r="BI35" s="107"/>
      <c r="BJ35" s="107"/>
      <c r="BK35" s="107"/>
      <c r="BL35" s="107"/>
      <c r="BM35" s="107"/>
      <c r="BN35" s="107"/>
      <c r="BR35" s="607"/>
      <c r="BS35" s="607"/>
      <c r="CK35" s="33"/>
      <c r="DB35" s="33"/>
      <c r="DG35" s="191" t="str">
        <f t="shared" si="18"/>
        <v/>
      </c>
      <c r="DH35" s="191" t="str">
        <f t="shared" si="19"/>
        <v/>
      </c>
      <c r="DI35" s="191" t="str">
        <f t="shared" si="20"/>
        <v/>
      </c>
      <c r="DJ35" s="191" t="str">
        <f t="shared" si="21"/>
        <v/>
      </c>
      <c r="ER35" s="1048">
        <f t="shared" si="22"/>
        <v>0</v>
      </c>
      <c r="ES35" s="1048">
        <f t="shared" si="22"/>
        <v>0</v>
      </c>
      <c r="ET35" s="1048">
        <f t="shared" si="23"/>
        <v>0</v>
      </c>
      <c r="EU35" s="1048">
        <f t="shared" si="23"/>
        <v>0</v>
      </c>
    </row>
    <row r="36" spans="1:151" ht="15" customHeight="1" x14ac:dyDescent="0.25">
      <c r="A36" s="1709"/>
      <c r="B36" s="61" t="s">
        <v>131</v>
      </c>
      <c r="C36" s="1300">
        <f t="shared" si="1"/>
        <v>1</v>
      </c>
      <c r="D36" s="763">
        <f t="shared" si="24"/>
        <v>0</v>
      </c>
      <c r="E36" s="370">
        <f t="shared" si="25"/>
        <v>1</v>
      </c>
      <c r="F36" s="929"/>
      <c r="G36" s="930"/>
      <c r="H36" s="342">
        <v>0</v>
      </c>
      <c r="I36" s="345">
        <v>0</v>
      </c>
      <c r="J36" s="342">
        <v>0</v>
      </c>
      <c r="K36" s="345">
        <v>0</v>
      </c>
      <c r="L36" s="315">
        <v>0</v>
      </c>
      <c r="M36" s="751">
        <v>0</v>
      </c>
      <c r="N36" s="315">
        <v>0</v>
      </c>
      <c r="O36" s="316">
        <v>0</v>
      </c>
      <c r="P36" s="315">
        <v>0</v>
      </c>
      <c r="Q36" s="316">
        <v>0</v>
      </c>
      <c r="R36" s="343">
        <v>0</v>
      </c>
      <c r="S36" s="345">
        <v>0</v>
      </c>
      <c r="T36" s="342">
        <v>0</v>
      </c>
      <c r="U36" s="344">
        <v>0</v>
      </c>
      <c r="V36" s="315">
        <v>0</v>
      </c>
      <c r="W36" s="316">
        <v>0</v>
      </c>
      <c r="X36" s="315">
        <v>0</v>
      </c>
      <c r="Y36" s="316">
        <v>0</v>
      </c>
      <c r="Z36" s="315">
        <v>0</v>
      </c>
      <c r="AA36" s="316">
        <v>1</v>
      </c>
      <c r="AB36" s="343">
        <v>0</v>
      </c>
      <c r="AC36" s="344">
        <v>0</v>
      </c>
      <c r="AD36" s="962">
        <v>0</v>
      </c>
      <c r="AE36" s="316">
        <v>0</v>
      </c>
      <c r="AF36" s="315">
        <v>0</v>
      </c>
      <c r="AG36" s="316">
        <v>0</v>
      </c>
      <c r="AH36" s="350">
        <v>0</v>
      </c>
      <c r="AI36" s="648">
        <v>0</v>
      </c>
      <c r="AJ36" s="647">
        <v>0</v>
      </c>
      <c r="AK36" s="361">
        <v>0</v>
      </c>
      <c r="AL36" s="107" t="str">
        <f t="shared" si="17"/>
        <v/>
      </c>
      <c r="AM36" s="607"/>
      <c r="AN36" s="607"/>
      <c r="AO36" s="607"/>
      <c r="AP36" s="607"/>
      <c r="AQ36" s="607"/>
      <c r="AR36" s="607"/>
      <c r="AS36" s="607"/>
      <c r="AT36" s="607"/>
      <c r="AU36" s="607"/>
      <c r="AV36" s="607"/>
      <c r="BF36" s="107"/>
      <c r="BG36" s="107"/>
      <c r="BH36" s="107"/>
      <c r="BI36" s="107"/>
      <c r="BJ36" s="107"/>
      <c r="BK36" s="107"/>
      <c r="BL36" s="107"/>
      <c r="BM36" s="107"/>
      <c r="BN36" s="107"/>
      <c r="BR36" s="607"/>
      <c r="BS36" s="607"/>
      <c r="CK36" s="33"/>
      <c r="DB36" s="33"/>
      <c r="DG36" s="191" t="str">
        <f t="shared" si="18"/>
        <v/>
      </c>
      <c r="DH36" s="191" t="str">
        <f t="shared" si="19"/>
        <v/>
      </c>
      <c r="DI36" s="191" t="str">
        <f t="shared" si="20"/>
        <v/>
      </c>
      <c r="DJ36" s="191" t="str">
        <f t="shared" si="21"/>
        <v/>
      </c>
      <c r="ER36" s="1048">
        <f t="shared" si="22"/>
        <v>0</v>
      </c>
      <c r="ES36" s="1048">
        <f t="shared" si="22"/>
        <v>0</v>
      </c>
      <c r="ET36" s="1048">
        <f t="shared" si="23"/>
        <v>0</v>
      </c>
      <c r="EU36" s="1048">
        <f t="shared" si="23"/>
        <v>0</v>
      </c>
    </row>
    <row r="37" spans="1:151" ht="15" customHeight="1" x14ac:dyDescent="0.25">
      <c r="A37" s="1709"/>
      <c r="B37" s="1407" t="s">
        <v>247</v>
      </c>
      <c r="C37" s="1421">
        <f>SUM(D37:E37)</f>
        <v>2</v>
      </c>
      <c r="D37" s="761">
        <f t="shared" si="24"/>
        <v>1</v>
      </c>
      <c r="E37" s="364">
        <f t="shared" si="25"/>
        <v>1</v>
      </c>
      <c r="F37" s="929"/>
      <c r="G37" s="930"/>
      <c r="H37" s="1414">
        <f t="shared" ref="H37:AK37" si="26">SUM(H32:H36)</f>
        <v>0</v>
      </c>
      <c r="I37" s="1415">
        <f t="shared" si="26"/>
        <v>0</v>
      </c>
      <c r="J37" s="1414">
        <f t="shared" si="26"/>
        <v>0</v>
      </c>
      <c r="K37" s="1415">
        <f t="shared" si="26"/>
        <v>0</v>
      </c>
      <c r="L37" s="1414">
        <f t="shared" si="26"/>
        <v>0</v>
      </c>
      <c r="M37" s="964">
        <f t="shared" si="26"/>
        <v>0</v>
      </c>
      <c r="N37" s="1416">
        <f t="shared" si="26"/>
        <v>0</v>
      </c>
      <c r="O37" s="964">
        <f t="shared" si="26"/>
        <v>0</v>
      </c>
      <c r="P37" s="1416">
        <f t="shared" si="26"/>
        <v>1</v>
      </c>
      <c r="Q37" s="1415">
        <f t="shared" si="26"/>
        <v>0</v>
      </c>
      <c r="R37" s="1414">
        <f t="shared" si="26"/>
        <v>0</v>
      </c>
      <c r="S37" s="1415">
        <f t="shared" si="26"/>
        <v>0</v>
      </c>
      <c r="T37" s="1414">
        <f t="shared" si="26"/>
        <v>0</v>
      </c>
      <c r="U37" s="1415">
        <f t="shared" si="26"/>
        <v>0</v>
      </c>
      <c r="V37" s="1414">
        <f t="shared" si="26"/>
        <v>0</v>
      </c>
      <c r="W37" s="964">
        <f t="shared" si="26"/>
        <v>0</v>
      </c>
      <c r="X37" s="1416">
        <f t="shared" si="26"/>
        <v>0</v>
      </c>
      <c r="Y37" s="964">
        <f t="shared" si="26"/>
        <v>0</v>
      </c>
      <c r="Z37" s="1416">
        <f t="shared" si="26"/>
        <v>0</v>
      </c>
      <c r="AA37" s="1415">
        <f t="shared" si="26"/>
        <v>1</v>
      </c>
      <c r="AB37" s="1414">
        <f t="shared" si="26"/>
        <v>0</v>
      </c>
      <c r="AC37" s="1417">
        <f t="shared" si="26"/>
        <v>0</v>
      </c>
      <c r="AD37" s="1418">
        <f t="shared" si="26"/>
        <v>0</v>
      </c>
      <c r="AE37" s="964">
        <f t="shared" si="26"/>
        <v>0</v>
      </c>
      <c r="AF37" s="1414">
        <f t="shared" si="26"/>
        <v>0</v>
      </c>
      <c r="AG37" s="1415">
        <f t="shared" si="26"/>
        <v>0</v>
      </c>
      <c r="AH37" s="341">
        <f t="shared" si="26"/>
        <v>1</v>
      </c>
      <c r="AI37" s="1416">
        <f t="shared" si="26"/>
        <v>0</v>
      </c>
      <c r="AJ37" s="1416">
        <f t="shared" si="26"/>
        <v>0</v>
      </c>
      <c r="AK37" s="964">
        <f t="shared" si="26"/>
        <v>0</v>
      </c>
      <c r="AL37" s="107"/>
      <c r="AM37" s="607"/>
      <c r="AN37" s="607"/>
      <c r="AO37" s="607"/>
      <c r="AP37" s="607"/>
      <c r="AQ37" s="607"/>
      <c r="AR37" s="607"/>
      <c r="AS37" s="607"/>
      <c r="AT37" s="607"/>
      <c r="AU37" s="607"/>
      <c r="AV37" s="607"/>
      <c r="BF37" s="107"/>
      <c r="BG37" s="107"/>
      <c r="BH37" s="107"/>
      <c r="BI37" s="107"/>
      <c r="BJ37" s="107"/>
      <c r="BK37" s="107"/>
      <c r="BL37" s="107"/>
      <c r="BM37" s="107"/>
      <c r="BN37" s="107"/>
      <c r="BR37" s="607"/>
      <c r="BS37" s="607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709"/>
      <c r="B38" s="1422" t="s">
        <v>248</v>
      </c>
      <c r="C38" s="1421">
        <f>SUM(D38:E38)</f>
        <v>0</v>
      </c>
      <c r="D38" s="761">
        <f t="shared" si="24"/>
        <v>0</v>
      </c>
      <c r="E38" s="364">
        <f t="shared" si="25"/>
        <v>0</v>
      </c>
      <c r="F38" s="929"/>
      <c r="G38" s="930"/>
      <c r="H38" s="342">
        <v>0</v>
      </c>
      <c r="I38" s="345">
        <v>0</v>
      </c>
      <c r="J38" s="342">
        <v>0</v>
      </c>
      <c r="K38" s="345">
        <v>0</v>
      </c>
      <c r="L38" s="1404">
        <v>0</v>
      </c>
      <c r="M38" s="345">
        <v>0</v>
      </c>
      <c r="N38" s="1406">
        <v>0</v>
      </c>
      <c r="O38" s="345">
        <v>0</v>
      </c>
      <c r="P38" s="1406">
        <v>0</v>
      </c>
      <c r="Q38" s="325">
        <v>0</v>
      </c>
      <c r="R38" s="342">
        <v>0</v>
      </c>
      <c r="S38" s="345">
        <v>0</v>
      </c>
      <c r="T38" s="342">
        <v>0</v>
      </c>
      <c r="U38" s="345">
        <v>0</v>
      </c>
      <c r="V38" s="1404">
        <v>0</v>
      </c>
      <c r="W38" s="345">
        <v>0</v>
      </c>
      <c r="X38" s="1406">
        <v>0</v>
      </c>
      <c r="Y38" s="345">
        <v>0</v>
      </c>
      <c r="Z38" s="1406">
        <v>0</v>
      </c>
      <c r="AA38" s="325">
        <v>0</v>
      </c>
      <c r="AB38" s="342">
        <v>0</v>
      </c>
      <c r="AC38" s="344">
        <v>0</v>
      </c>
      <c r="AD38" s="1405">
        <v>0</v>
      </c>
      <c r="AE38" s="323">
        <v>0</v>
      </c>
      <c r="AF38" s="342">
        <v>0</v>
      </c>
      <c r="AG38" s="345">
        <v>0</v>
      </c>
      <c r="AH38" s="360">
        <v>0</v>
      </c>
      <c r="AI38" s="647">
        <v>0</v>
      </c>
      <c r="AJ38" s="647">
        <v>0</v>
      </c>
      <c r="AK38" s="361">
        <v>0</v>
      </c>
      <c r="AL38" s="107" t="str">
        <f>($DG38&amp;DH38&amp;DI38&amp;DJ38)</f>
        <v/>
      </c>
      <c r="AM38" s="607"/>
      <c r="AN38" s="607"/>
      <c r="AO38" s="607"/>
      <c r="AP38" s="607"/>
      <c r="AQ38" s="607"/>
      <c r="AR38" s="607"/>
      <c r="AS38" s="607"/>
      <c r="AU38" s="607"/>
      <c r="AV38" s="607"/>
      <c r="BF38" s="107"/>
      <c r="BG38" s="107"/>
      <c r="BH38" s="107"/>
      <c r="BI38" s="107"/>
      <c r="BJ38" s="107"/>
      <c r="BK38" s="107"/>
      <c r="BL38" s="107"/>
      <c r="BM38" s="107"/>
      <c r="BN38" s="107"/>
      <c r="BR38" s="607"/>
      <c r="BS38" s="607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48">
        <f>IF(AND(D38&gt;0,OR(AH38="")),1,IF(AH38&gt;D38,1,0))</f>
        <v>0</v>
      </c>
      <c r="ES38" s="1048">
        <f>IF(AND(E38&gt;0,OR(AI38="")),1,IF(AI38&gt;E38,1,0))</f>
        <v>0</v>
      </c>
      <c r="ET38" s="1048">
        <f>IF(AND(D38&gt;0,OR(AJ38="")),1,IF(AJ38&gt;D38,1,0))</f>
        <v>0</v>
      </c>
      <c r="EU38" s="1048">
        <f>IF(AND(E38&gt;0,OR(AK38="")),1,IF(AK38&gt;E38,1,0))</f>
        <v>0</v>
      </c>
    </row>
    <row r="39" spans="1:151" ht="15" customHeight="1" x14ac:dyDescent="0.25">
      <c r="A39" s="1710"/>
      <c r="B39" s="1401" t="s">
        <v>94</v>
      </c>
      <c r="C39" s="1423">
        <f t="shared" si="1"/>
        <v>2</v>
      </c>
      <c r="D39" s="1424">
        <f t="shared" si="24"/>
        <v>1</v>
      </c>
      <c r="E39" s="1425">
        <f t="shared" si="25"/>
        <v>1</v>
      </c>
      <c r="F39" s="929"/>
      <c r="G39" s="930"/>
      <c r="H39" s="1414">
        <f t="shared" ref="H39:AK39" si="27">SUM(H32:H36)+H38</f>
        <v>0</v>
      </c>
      <c r="I39" s="964">
        <f t="shared" si="27"/>
        <v>0</v>
      </c>
      <c r="J39" s="1414">
        <f t="shared" si="27"/>
        <v>0</v>
      </c>
      <c r="K39" s="964">
        <f t="shared" si="27"/>
        <v>0</v>
      </c>
      <c r="L39" s="1414">
        <f t="shared" si="27"/>
        <v>0</v>
      </c>
      <c r="M39" s="964">
        <f t="shared" si="27"/>
        <v>0</v>
      </c>
      <c r="N39" s="1410">
        <f t="shared" si="27"/>
        <v>0</v>
      </c>
      <c r="O39" s="941">
        <f t="shared" si="27"/>
        <v>0</v>
      </c>
      <c r="P39" s="1410">
        <f t="shared" si="27"/>
        <v>1</v>
      </c>
      <c r="Q39" s="1425">
        <f t="shared" si="27"/>
        <v>0</v>
      </c>
      <c r="R39" s="1409">
        <f t="shared" si="27"/>
        <v>0</v>
      </c>
      <c r="S39" s="1425">
        <f t="shared" si="27"/>
        <v>0</v>
      </c>
      <c r="T39" s="1409">
        <f t="shared" si="27"/>
        <v>0</v>
      </c>
      <c r="U39" s="1425">
        <f t="shared" si="27"/>
        <v>0</v>
      </c>
      <c r="V39" s="1409">
        <f t="shared" si="27"/>
        <v>0</v>
      </c>
      <c r="W39" s="941">
        <f t="shared" si="27"/>
        <v>0</v>
      </c>
      <c r="X39" s="1410">
        <f t="shared" si="27"/>
        <v>0</v>
      </c>
      <c r="Y39" s="941">
        <f t="shared" si="27"/>
        <v>0</v>
      </c>
      <c r="Z39" s="1410">
        <f t="shared" si="27"/>
        <v>0</v>
      </c>
      <c r="AA39" s="1425">
        <f t="shared" si="27"/>
        <v>1</v>
      </c>
      <c r="AB39" s="1409">
        <f t="shared" si="27"/>
        <v>0</v>
      </c>
      <c r="AC39" s="1412">
        <f t="shared" si="27"/>
        <v>0</v>
      </c>
      <c r="AD39" s="1411">
        <f t="shared" si="27"/>
        <v>0</v>
      </c>
      <c r="AE39" s="941">
        <f t="shared" si="27"/>
        <v>0</v>
      </c>
      <c r="AF39" s="1409">
        <f t="shared" si="27"/>
        <v>0</v>
      </c>
      <c r="AG39" s="1425">
        <f t="shared" si="27"/>
        <v>0</v>
      </c>
      <c r="AH39" s="335">
        <f t="shared" si="27"/>
        <v>1</v>
      </c>
      <c r="AI39" s="1410">
        <f t="shared" si="27"/>
        <v>0</v>
      </c>
      <c r="AJ39" s="1410">
        <f t="shared" si="27"/>
        <v>0</v>
      </c>
      <c r="AK39" s="941">
        <f t="shared" si="27"/>
        <v>0</v>
      </c>
      <c r="AL39" s="107"/>
      <c r="AM39" s="607"/>
      <c r="AN39" s="607"/>
      <c r="AO39" s="607"/>
      <c r="AP39" s="607"/>
      <c r="AQ39" s="607"/>
      <c r="AR39" s="607"/>
      <c r="AS39" s="607"/>
      <c r="AT39" s="607"/>
      <c r="AU39" s="607"/>
      <c r="AV39" s="607"/>
      <c r="BF39" s="107"/>
      <c r="BG39" s="107"/>
      <c r="BH39" s="107"/>
      <c r="BI39" s="107"/>
      <c r="BJ39" s="107"/>
      <c r="BK39" s="107"/>
      <c r="BL39" s="107"/>
      <c r="BM39" s="107"/>
      <c r="BN39" s="107"/>
      <c r="BR39" s="607"/>
      <c r="BS39" s="607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95" t="s">
        <v>249</v>
      </c>
      <c r="B40" s="1796"/>
      <c r="C40" s="349">
        <f>SUM(D40:E40)</f>
        <v>0</v>
      </c>
      <c r="D40" s="362">
        <f t="shared" ref="D40" si="28">+F40+H40+J40+L40+N40+P40+R40+T40+V40+X40+Z40+AB40+AD40+AF40</f>
        <v>0</v>
      </c>
      <c r="E40" s="371">
        <f t="shared" ref="E40" si="29">+G40+I40+K40+M40+O40+Q40+S40+U40+W40+Y40+AA40+AC40+AE40+AG40</f>
        <v>0</v>
      </c>
      <c r="F40" s="1404">
        <v>0</v>
      </c>
      <c r="G40" s="1419">
        <v>0</v>
      </c>
      <c r="H40" s="1404">
        <v>0</v>
      </c>
      <c r="I40" s="958">
        <v>0</v>
      </c>
      <c r="J40" s="1404">
        <v>0</v>
      </c>
      <c r="K40" s="958">
        <v>0</v>
      </c>
      <c r="L40" s="1404">
        <v>0</v>
      </c>
      <c r="M40" s="958">
        <v>0</v>
      </c>
      <c r="N40" s="1406">
        <v>0</v>
      </c>
      <c r="O40" s="958">
        <v>0</v>
      </c>
      <c r="P40" s="1406">
        <v>0</v>
      </c>
      <c r="Q40" s="1406">
        <v>0</v>
      </c>
      <c r="R40" s="1404">
        <v>0</v>
      </c>
      <c r="S40" s="958">
        <v>0</v>
      </c>
      <c r="T40" s="1404">
        <v>0</v>
      </c>
      <c r="U40" s="958">
        <v>0</v>
      </c>
      <c r="V40" s="1404">
        <v>0</v>
      </c>
      <c r="W40" s="958">
        <v>0</v>
      </c>
      <c r="X40" s="1406">
        <v>0</v>
      </c>
      <c r="Y40" s="958">
        <v>0</v>
      </c>
      <c r="Z40" s="1406">
        <v>0</v>
      </c>
      <c r="AA40" s="1406">
        <v>0</v>
      </c>
      <c r="AB40" s="1404">
        <v>0</v>
      </c>
      <c r="AC40" s="319">
        <v>0</v>
      </c>
      <c r="AD40" s="1405">
        <v>0</v>
      </c>
      <c r="AE40" s="958">
        <v>0</v>
      </c>
      <c r="AF40" s="1404">
        <v>0</v>
      </c>
      <c r="AG40" s="958">
        <v>0</v>
      </c>
      <c r="AH40" s="320">
        <v>0</v>
      </c>
      <c r="AI40" s="1406">
        <v>0</v>
      </c>
      <c r="AJ40" s="1406">
        <v>0</v>
      </c>
      <c r="AK40" s="958">
        <v>0</v>
      </c>
      <c r="AL40" s="107" t="str">
        <f>($DG40&amp;DH40&amp;DI40&amp;DJ40)</f>
        <v/>
      </c>
      <c r="AM40" s="607"/>
      <c r="AN40" s="607"/>
      <c r="AO40" s="607"/>
      <c r="AP40" s="607"/>
      <c r="AQ40" s="607"/>
      <c r="AR40" s="607"/>
      <c r="AS40" s="607"/>
      <c r="AT40" s="607"/>
      <c r="AU40" s="607"/>
      <c r="AV40" s="607"/>
      <c r="BF40" s="107"/>
      <c r="BG40" s="107"/>
      <c r="BH40" s="107"/>
      <c r="BI40" s="107"/>
      <c r="BJ40" s="107"/>
      <c r="BK40" s="107"/>
      <c r="BL40" s="107"/>
      <c r="BM40" s="107"/>
      <c r="BN40" s="107"/>
      <c r="BR40" s="607"/>
      <c r="BS40" s="607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48">
        <f>IF(AND(D40&gt;0,OR(AH40="")),1,IF(AH40&gt;D40,1,0))</f>
        <v>0</v>
      </c>
      <c r="ES40" s="1048">
        <f>IF(AND(E40&gt;0,OR(AI40="")),1,IF(AI40&gt;E40,1,0))</f>
        <v>0</v>
      </c>
      <c r="ET40" s="1048">
        <f>IF(AND(D40&gt;0,OR(AJ40="")),1,IF(AJ40&gt;D40,1,0))</f>
        <v>0</v>
      </c>
      <c r="EU40" s="1048">
        <f>IF(AND(E40&gt;0,OR(AK40="")),1,IF(AK40&gt;E40,1,0))</f>
        <v>0</v>
      </c>
    </row>
    <row r="41" spans="1:151" ht="17.100000000000001" customHeight="1" x14ac:dyDescent="0.15">
      <c r="A41" s="1838" t="s">
        <v>250</v>
      </c>
      <c r="B41" s="1838"/>
      <c r="C41" s="1838"/>
      <c r="D41" s="1838"/>
      <c r="E41" s="1838"/>
      <c r="F41" s="1838"/>
      <c r="G41" s="1838"/>
      <c r="H41" s="1838"/>
      <c r="I41" s="1838"/>
      <c r="J41" s="1838"/>
      <c r="K41" s="1838"/>
      <c r="L41" s="1838"/>
      <c r="M41" s="1838"/>
      <c r="N41" s="1838"/>
      <c r="O41" s="1838"/>
      <c r="P41" s="224"/>
      <c r="Q41" s="224"/>
      <c r="R41" s="973"/>
      <c r="S41" s="973"/>
      <c r="T41" s="973"/>
      <c r="U41" s="973"/>
      <c r="V41" s="973"/>
      <c r="W41" s="973"/>
      <c r="X41" s="973"/>
      <c r="Y41" s="973"/>
      <c r="Z41" s="973"/>
      <c r="AA41" s="973"/>
      <c r="AB41" s="973"/>
      <c r="AC41" s="973"/>
      <c r="AD41" s="973"/>
      <c r="AE41" s="973"/>
      <c r="AF41" s="973"/>
      <c r="AG41" s="973"/>
      <c r="AH41" s="973"/>
      <c r="AI41" s="973"/>
      <c r="AJ41" s="973"/>
      <c r="AK41" s="973"/>
      <c r="AL41" s="973"/>
      <c r="AM41" s="973"/>
      <c r="AN41" s="973"/>
      <c r="AO41" s="973"/>
      <c r="AP41" s="973"/>
      <c r="AQ41" s="973"/>
      <c r="AR41" s="973"/>
      <c r="AS41" s="973"/>
      <c r="AT41" s="973"/>
      <c r="AU41" s="973"/>
      <c r="AV41" s="973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73"/>
    </row>
    <row r="42" spans="1:151" ht="27.75" customHeight="1" x14ac:dyDescent="0.25">
      <c r="A42" s="1728" t="s">
        <v>215</v>
      </c>
      <c r="B42" s="1729"/>
      <c r="C42" s="1810" t="s">
        <v>54</v>
      </c>
      <c r="D42" s="1810"/>
      <c r="E42" s="1811"/>
      <c r="F42" s="1740" t="s">
        <v>251</v>
      </c>
      <c r="G42" s="1741"/>
      <c r="H42" s="1741"/>
      <c r="I42" s="1741"/>
      <c r="J42" s="1741"/>
      <c r="K42" s="1741"/>
      <c r="L42" s="1741"/>
      <c r="M42" s="1741"/>
      <c r="N42" s="1741"/>
      <c r="O42" s="1741"/>
      <c r="P42" s="1741"/>
      <c r="Q42" s="1741"/>
      <c r="R42" s="1741"/>
      <c r="S42" s="1807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7"/>
      <c r="BS42" s="607"/>
      <c r="BT42" s="607"/>
      <c r="BU42" s="607"/>
      <c r="BV42" s="607"/>
      <c r="BW42" s="607"/>
    </row>
    <row r="43" spans="1:151" ht="24" customHeight="1" x14ac:dyDescent="0.25">
      <c r="A43" s="1730"/>
      <c r="B43" s="1731"/>
      <c r="C43" s="1721"/>
      <c r="D43" s="1721"/>
      <c r="E43" s="1722"/>
      <c r="F43" s="1705" t="s">
        <v>252</v>
      </c>
      <c r="G43" s="1706"/>
      <c r="H43" s="1705" t="s">
        <v>253</v>
      </c>
      <c r="I43" s="1706"/>
      <c r="J43" s="1705" t="s">
        <v>254</v>
      </c>
      <c r="K43" s="1706"/>
      <c r="L43" s="1705" t="s">
        <v>255</v>
      </c>
      <c r="M43" s="1706"/>
      <c r="N43" s="1705" t="s">
        <v>256</v>
      </c>
      <c r="O43" s="1706"/>
      <c r="P43" s="1805" t="s">
        <v>56</v>
      </c>
      <c r="Q43" s="1806"/>
      <c r="R43" s="1803" t="s">
        <v>57</v>
      </c>
      <c r="S43" s="1804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7"/>
      <c r="BS43" s="607"/>
      <c r="BT43" s="607"/>
      <c r="BU43" s="607"/>
      <c r="BV43" s="607"/>
      <c r="BW43" s="607"/>
    </row>
    <row r="44" spans="1:151" ht="32.25" customHeight="1" x14ac:dyDescent="0.25">
      <c r="A44" s="1732"/>
      <c r="B44" s="1733"/>
      <c r="C44" s="972" t="s">
        <v>231</v>
      </c>
      <c r="D44" s="1403" t="s">
        <v>91</v>
      </c>
      <c r="E44" s="1402" t="s">
        <v>232</v>
      </c>
      <c r="F44" s="974" t="s">
        <v>91</v>
      </c>
      <c r="G44" s="975" t="s">
        <v>232</v>
      </c>
      <c r="H44" s="974" t="s">
        <v>91</v>
      </c>
      <c r="I44" s="893" t="s">
        <v>232</v>
      </c>
      <c r="J44" s="604" t="s">
        <v>91</v>
      </c>
      <c r="K44" s="893" t="s">
        <v>232</v>
      </c>
      <c r="L44" s="604" t="s">
        <v>91</v>
      </c>
      <c r="M44" s="893" t="s">
        <v>232</v>
      </c>
      <c r="N44" s="604" t="s">
        <v>91</v>
      </c>
      <c r="O44" s="976" t="s">
        <v>232</v>
      </c>
      <c r="P44" s="977" t="s">
        <v>91</v>
      </c>
      <c r="Q44" s="978" t="s">
        <v>232</v>
      </c>
      <c r="R44" s="1428" t="s">
        <v>91</v>
      </c>
      <c r="S44" s="1402" t="s">
        <v>232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7"/>
      <c r="BS44" s="607"/>
      <c r="BT44" s="607"/>
      <c r="BU44" s="607"/>
      <c r="BV44" s="607"/>
      <c r="BW44" s="607"/>
    </row>
    <row r="45" spans="1:151" ht="15" customHeight="1" x14ac:dyDescent="0.25">
      <c r="A45" s="1808" t="s">
        <v>257</v>
      </c>
      <c r="B45" s="1809"/>
      <c r="C45" s="1429">
        <f>+D45+E45</f>
        <v>9</v>
      </c>
      <c r="D45" s="362">
        <f>+F45+H45+J45+L45+N45</f>
        <v>6</v>
      </c>
      <c r="E45" s="313">
        <f>+G45+I45+K45+M45+O45</f>
        <v>3</v>
      </c>
      <c r="F45" s="322">
        <v>1</v>
      </c>
      <c r="G45" s="323">
        <v>0</v>
      </c>
      <c r="H45" s="322">
        <v>2</v>
      </c>
      <c r="I45" s="323">
        <v>1</v>
      </c>
      <c r="J45" s="325">
        <v>0</v>
      </c>
      <c r="K45" s="323">
        <v>2</v>
      </c>
      <c r="L45" s="325">
        <v>2</v>
      </c>
      <c r="M45" s="323">
        <v>0</v>
      </c>
      <c r="N45" s="325">
        <v>1</v>
      </c>
      <c r="O45" s="324">
        <v>0</v>
      </c>
      <c r="P45" s="326">
        <v>6</v>
      </c>
      <c r="Q45" s="375">
        <v>2</v>
      </c>
      <c r="R45" s="325">
        <v>0</v>
      </c>
      <c r="S45" s="323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7"/>
      <c r="BS45" s="607"/>
      <c r="BT45" s="607"/>
      <c r="BU45" s="607"/>
      <c r="BV45" s="607"/>
      <c r="BW45" s="607"/>
      <c r="BY45" s="172"/>
      <c r="BZ45" s="172"/>
      <c r="CA45" s="191" t="str">
        <f>IF(F45&lt;&gt;F73,"* El Total de Hombres en control de 5 a 5 años 11 meses no debe ser distinto al total Hombres del Diagnóstico Nutricional Integrado. ","")</f>
        <v/>
      </c>
      <c r="CB45" s="191" t="str">
        <f>IF(G45&lt;&gt;G73,"* El Total de Mujeres en control de 5 a 5 años 11 meses no debe ser distinto al total Mujeres del Diagnóstico Nutricional Integrado. ","")</f>
        <v/>
      </c>
      <c r="CC45" s="191" t="str">
        <f>IF(H45&lt;&gt;H73,"* El Total de Hombres en control de 6 a 6 años 11 meses no debe ser distinto al total Hombres del Diagnóstico Nutricional Integrado. ","")</f>
        <v/>
      </c>
      <c r="CD45" s="191" t="str">
        <f>IF(I45&lt;&gt;I73,"* El Total de Mujeres en control de 6 a 6 años 11 meses no debe ser distinto al total Mujeres del Diagnóstico Nutricional Integrado. ","")</f>
        <v/>
      </c>
      <c r="CE45" s="191" t="str">
        <f>IF(J45&lt;&gt;J73,"* El Total de Hombres en control de 7 a 7 años 11 meses no debe ser distinto al total Hombres del Diagnóstico Nutricional Integrado. ","")</f>
        <v/>
      </c>
      <c r="CF45" s="191" t="str">
        <f>IF(K45&lt;&gt;K73,"* El Total de Mujeres en control de 7 a 7 años 11 meses no debe ser distinto al total Mujeres del Diagnóstico Nutricional Integrado. ","")</f>
        <v/>
      </c>
      <c r="CG45" s="191" t="str">
        <f>IF(L45&lt;&gt;L73,"* El Total de Hombres en control de 8 a 8 años 11 meses no debe ser distinto al total Hombres del Diagnóstico Nutricional Integrado. ","")</f>
        <v/>
      </c>
      <c r="CH45" s="191" t="str">
        <f>IF(M45&lt;&gt;M73,"* El Total de Mujeres en control de 8 a 8 años 11 meses no debe ser distinto al total Mujeres del Diagnóstico Nutricional Integrado. ","")</f>
        <v/>
      </c>
      <c r="CI45" s="191" t="str">
        <f>IF(N45&lt;&gt;N73,"* El Total de Hombres en control de 9 a 9 años 11 meses no debe ser distinto al total Hombres del Diagnóstico Nutricional Integrado. ","")</f>
        <v/>
      </c>
      <c r="CJ45" s="191" t="str">
        <f>IF(O45&lt;&gt;O73,"* El Total de Mujeres en control de 9 a 9 años 11 meses no debe ser distinto al total Mujeres del Diagnóstico Nutricional Integrado. 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48">
        <f>IF(F45&lt;&gt;F73,1,0)</f>
        <v>0</v>
      </c>
      <c r="DQ45" s="1048">
        <f>IF(G45&lt;&gt;G73,1,0)</f>
        <v>0</v>
      </c>
      <c r="DR45" s="1048">
        <f t="shared" ref="DR45:DW45" si="30">IF(H45&lt;&gt;H73,1,0)</f>
        <v>0</v>
      </c>
      <c r="DS45" s="1048">
        <f t="shared" si="30"/>
        <v>0</v>
      </c>
      <c r="DT45" s="1048">
        <f t="shared" si="30"/>
        <v>0</v>
      </c>
      <c r="DU45" s="1048">
        <f t="shared" si="30"/>
        <v>0</v>
      </c>
      <c r="DV45" s="1048">
        <f t="shared" si="30"/>
        <v>0</v>
      </c>
      <c r="DW45" s="1048">
        <f t="shared" si="30"/>
        <v>0</v>
      </c>
      <c r="DX45" s="1048">
        <f>IF(N45&lt;&gt;N73,1,0)</f>
        <v>0</v>
      </c>
      <c r="DY45" s="1048">
        <f>IF(O45&lt;&gt;O73,1,0)</f>
        <v>0</v>
      </c>
      <c r="DZ45" s="1048">
        <f t="shared" ref="DZ45:EA48" si="31">IF(AND(D45&gt;0,OR(P45="")),1,IF(P45&gt;D45,1,0))</f>
        <v>0</v>
      </c>
      <c r="EA45" s="1048">
        <f t="shared" si="31"/>
        <v>0</v>
      </c>
      <c r="EB45" s="1048">
        <f t="shared" ref="EB45:EC48" si="32">IF(AND(D45&gt;0,OR(R45="")),1,IF(R45&gt;D45,1,0))</f>
        <v>0</v>
      </c>
      <c r="EC45" s="1048">
        <f t="shared" si="32"/>
        <v>0</v>
      </c>
      <c r="ED45" s="1048">
        <f>IF(P45&lt;&gt;P73,1,0)</f>
        <v>0</v>
      </c>
      <c r="EE45" s="1048">
        <f t="shared" ref="EE45:EF45" si="33">IF(Q45&lt;&gt;Q73,1,0)</f>
        <v>0</v>
      </c>
      <c r="EF45" s="1048">
        <f t="shared" si="33"/>
        <v>0</v>
      </c>
      <c r="EG45" s="1048">
        <f>IF(S45&lt;&gt;S73,1,0)</f>
        <v>0</v>
      </c>
    </row>
    <row r="46" spans="1:151" ht="15" customHeight="1" x14ac:dyDescent="0.25">
      <c r="A46" s="1725" t="s">
        <v>258</v>
      </c>
      <c r="B46" s="65" t="s">
        <v>259</v>
      </c>
      <c r="C46" s="339">
        <f>+D46+E46</f>
        <v>2</v>
      </c>
      <c r="D46" s="363">
        <f t="shared" ref="D46:D51" si="34">+F46+H46+J46+L46+N46</f>
        <v>2</v>
      </c>
      <c r="E46" s="364">
        <f t="shared" ref="E46:E48" si="35">+G46+I46+K46+M46+O46</f>
        <v>0</v>
      </c>
      <c r="F46" s="322">
        <v>1</v>
      </c>
      <c r="G46" s="323">
        <v>0</v>
      </c>
      <c r="H46" s="322">
        <v>0</v>
      </c>
      <c r="I46" s="323">
        <v>0</v>
      </c>
      <c r="J46" s="325">
        <v>0</v>
      </c>
      <c r="K46" s="323">
        <v>0</v>
      </c>
      <c r="L46" s="325">
        <v>0</v>
      </c>
      <c r="M46" s="323">
        <v>0</v>
      </c>
      <c r="N46" s="325">
        <v>1</v>
      </c>
      <c r="O46" s="324">
        <v>0</v>
      </c>
      <c r="P46" s="326">
        <v>2</v>
      </c>
      <c r="Q46" s="375">
        <v>0</v>
      </c>
      <c r="R46" s="325">
        <v>0</v>
      </c>
      <c r="S46" s="323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7"/>
      <c r="BS46" s="607"/>
      <c r="BT46" s="607"/>
      <c r="BU46" s="607"/>
      <c r="BV46" s="607"/>
      <c r="BW46" s="607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48">
        <f t="shared" si="31"/>
        <v>0</v>
      </c>
      <c r="EA46" s="1048">
        <f t="shared" si="31"/>
        <v>0</v>
      </c>
      <c r="EB46" s="1048">
        <f t="shared" si="32"/>
        <v>0</v>
      </c>
      <c r="EC46" s="1048">
        <f t="shared" si="32"/>
        <v>0</v>
      </c>
    </row>
    <row r="47" spans="1:151" ht="15" customHeight="1" x14ac:dyDescent="0.25">
      <c r="A47" s="1723"/>
      <c r="B47" s="66" t="s">
        <v>260</v>
      </c>
      <c r="C47" s="352">
        <f t="shared" ref="C47:C72" si="36">+D47+E47</f>
        <v>1</v>
      </c>
      <c r="D47" s="365">
        <f t="shared" si="34"/>
        <v>0</v>
      </c>
      <c r="E47" s="366">
        <f t="shared" si="35"/>
        <v>1</v>
      </c>
      <c r="F47" s="354">
        <v>0</v>
      </c>
      <c r="G47" s="355">
        <v>0</v>
      </c>
      <c r="H47" s="354">
        <v>0</v>
      </c>
      <c r="I47" s="355">
        <v>1</v>
      </c>
      <c r="J47" s="357">
        <v>0</v>
      </c>
      <c r="K47" s="355">
        <v>0</v>
      </c>
      <c r="L47" s="357">
        <v>0</v>
      </c>
      <c r="M47" s="355">
        <v>0</v>
      </c>
      <c r="N47" s="357">
        <v>0</v>
      </c>
      <c r="O47" s="356">
        <v>0</v>
      </c>
      <c r="P47" s="358">
        <v>0</v>
      </c>
      <c r="Q47" s="376">
        <v>1</v>
      </c>
      <c r="R47" s="357">
        <v>0</v>
      </c>
      <c r="S47" s="355">
        <v>0</v>
      </c>
      <c r="T47" s="178" t="str">
        <f t="shared" ref="T47:T69" si="37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7"/>
      <c r="BS47" s="607"/>
      <c r="BT47" s="607"/>
      <c r="BU47" s="607"/>
      <c r="BV47" s="607"/>
      <c r="BW47" s="607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48">
        <f t="shared" si="31"/>
        <v>0</v>
      </c>
      <c r="EA47" s="1048">
        <f t="shared" si="31"/>
        <v>0</v>
      </c>
      <c r="EB47" s="1048">
        <f t="shared" si="32"/>
        <v>0</v>
      </c>
      <c r="EC47" s="1048">
        <f t="shared" si="32"/>
        <v>0</v>
      </c>
    </row>
    <row r="48" spans="1:151" ht="15" customHeight="1" x14ac:dyDescent="0.25">
      <c r="A48" s="1723"/>
      <c r="B48" s="67" t="s">
        <v>261</v>
      </c>
      <c r="C48" s="359">
        <f t="shared" si="36"/>
        <v>1</v>
      </c>
      <c r="D48" s="367">
        <f t="shared" si="34"/>
        <v>0</v>
      </c>
      <c r="E48" s="368">
        <f t="shared" si="35"/>
        <v>1</v>
      </c>
      <c r="F48" s="328">
        <v>0</v>
      </c>
      <c r="G48" s="329">
        <v>0</v>
      </c>
      <c r="H48" s="328">
        <v>0</v>
      </c>
      <c r="I48" s="329">
        <v>0</v>
      </c>
      <c r="J48" s="331">
        <v>0</v>
      </c>
      <c r="K48" s="329">
        <v>1</v>
      </c>
      <c r="L48" s="331">
        <v>0</v>
      </c>
      <c r="M48" s="329">
        <v>0</v>
      </c>
      <c r="N48" s="331">
        <v>0</v>
      </c>
      <c r="O48" s="330">
        <v>0</v>
      </c>
      <c r="P48" s="332">
        <v>0</v>
      </c>
      <c r="Q48" s="379">
        <v>0</v>
      </c>
      <c r="R48" s="331">
        <v>0</v>
      </c>
      <c r="S48" s="329">
        <v>0</v>
      </c>
      <c r="T48" s="178" t="str">
        <f t="shared" si="37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7"/>
      <c r="BS48" s="607"/>
      <c r="BT48" s="607"/>
      <c r="BU48" s="607"/>
      <c r="BV48" s="607"/>
      <c r="BW48" s="607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48">
        <f t="shared" si="31"/>
        <v>0</v>
      </c>
      <c r="EA48" s="1048">
        <f t="shared" si="31"/>
        <v>0</v>
      </c>
      <c r="EB48" s="1048">
        <f t="shared" si="32"/>
        <v>0</v>
      </c>
      <c r="EC48" s="1048">
        <f t="shared" si="32"/>
        <v>0</v>
      </c>
    </row>
    <row r="49" spans="1:133" ht="15" customHeight="1" x14ac:dyDescent="0.25">
      <c r="A49" s="1723"/>
      <c r="B49" s="1430" t="s">
        <v>94</v>
      </c>
      <c r="C49" s="1411">
        <f t="shared" si="36"/>
        <v>4</v>
      </c>
      <c r="D49" s="1409">
        <f>+F49+H49+J49+L49+N49</f>
        <v>2</v>
      </c>
      <c r="E49" s="1425">
        <f>+G49+I49+K49+M49+O49</f>
        <v>2</v>
      </c>
      <c r="F49" s="1409">
        <f>SUM(F46:F48)</f>
        <v>1</v>
      </c>
      <c r="G49" s="1425">
        <f t="shared" ref="G49:O49" si="38">SUM(G46:G48)</f>
        <v>0</v>
      </c>
      <c r="H49" s="1409">
        <f t="shared" si="38"/>
        <v>0</v>
      </c>
      <c r="I49" s="941">
        <f t="shared" si="38"/>
        <v>1</v>
      </c>
      <c r="J49" s="1410">
        <f t="shared" si="38"/>
        <v>0</v>
      </c>
      <c r="K49" s="941">
        <f t="shared" si="38"/>
        <v>1</v>
      </c>
      <c r="L49" s="1410">
        <f t="shared" si="38"/>
        <v>0</v>
      </c>
      <c r="M49" s="941">
        <f t="shared" si="38"/>
        <v>0</v>
      </c>
      <c r="N49" s="1410">
        <f t="shared" si="38"/>
        <v>1</v>
      </c>
      <c r="O49" s="1412">
        <f t="shared" si="38"/>
        <v>0</v>
      </c>
      <c r="P49" s="335">
        <f t="shared" ref="P49:S49" si="39">SUM(P46:P48)</f>
        <v>2</v>
      </c>
      <c r="Q49" s="1410">
        <f t="shared" si="39"/>
        <v>1</v>
      </c>
      <c r="R49" s="1410">
        <f t="shared" si="39"/>
        <v>0</v>
      </c>
      <c r="S49" s="1425">
        <f t="shared" si="39"/>
        <v>0</v>
      </c>
      <c r="T49" s="178"/>
      <c r="U49" s="607"/>
      <c r="V49" s="607"/>
      <c r="W49" s="607"/>
      <c r="X49" s="607"/>
      <c r="Y49" s="607"/>
      <c r="Z49" s="607"/>
      <c r="AA49" s="607"/>
      <c r="AB49" s="607"/>
      <c r="AC49" s="607"/>
      <c r="AD49" s="607"/>
      <c r="AE49" s="607"/>
      <c r="AF49" s="607"/>
      <c r="AG49" s="607"/>
      <c r="AH49" s="607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7"/>
      <c r="BS49" s="607"/>
      <c r="BT49" s="607"/>
      <c r="BU49" s="607"/>
      <c r="BV49" s="607"/>
      <c r="BW49" s="607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23"/>
      <c r="B50" s="68" t="s">
        <v>262</v>
      </c>
      <c r="C50" s="351">
        <f t="shared" si="36"/>
        <v>1</v>
      </c>
      <c r="D50" s="369">
        <f>+F50+H50+J50+L50+N50</f>
        <v>1</v>
      </c>
      <c r="E50" s="370">
        <f t="shared" ref="E50:E51" si="40">+G50+I50+K50+M50+O50</f>
        <v>0</v>
      </c>
      <c r="F50" s="322">
        <v>0</v>
      </c>
      <c r="G50" s="323">
        <v>0</v>
      </c>
      <c r="H50" s="322">
        <v>1</v>
      </c>
      <c r="I50" s="323">
        <v>0</v>
      </c>
      <c r="J50" s="325">
        <v>0</v>
      </c>
      <c r="K50" s="323">
        <v>0</v>
      </c>
      <c r="L50" s="325">
        <v>0</v>
      </c>
      <c r="M50" s="323">
        <v>0</v>
      </c>
      <c r="N50" s="325">
        <v>0</v>
      </c>
      <c r="O50" s="324">
        <v>0</v>
      </c>
      <c r="P50" s="326">
        <v>1</v>
      </c>
      <c r="Q50" s="375">
        <v>0</v>
      </c>
      <c r="R50" s="325">
        <v>0</v>
      </c>
      <c r="S50" s="323">
        <v>0</v>
      </c>
      <c r="T50" s="178" t="str">
        <f t="shared" si="37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7"/>
      <c r="BS50" s="607"/>
      <c r="BT50" s="607"/>
      <c r="BU50" s="607"/>
      <c r="BV50" s="607"/>
      <c r="BW50" s="607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48">
        <f>IF(AND(D50&gt;0,OR(P50="")),1,IF(P50&gt;D50,1,0))</f>
        <v>0</v>
      </c>
      <c r="EA50" s="1048">
        <f>IF(AND(E50&gt;0,OR(Q50="")),1,IF(Q50&gt;E50,1,0))</f>
        <v>0</v>
      </c>
      <c r="EB50" s="1048">
        <f>IF(AND(D50&gt;0,OR(R50="")),1,IF(R50&gt;D50,1,0))</f>
        <v>0</v>
      </c>
      <c r="EC50" s="1048">
        <f>IF(AND(E50&gt;0,OR(S50="")),1,IF(S50&gt;E50,1,0))</f>
        <v>0</v>
      </c>
    </row>
    <row r="51" spans="1:133" ht="15" customHeight="1" x14ac:dyDescent="0.25">
      <c r="A51" s="1723"/>
      <c r="B51" s="67" t="s">
        <v>238</v>
      </c>
      <c r="C51" s="359">
        <f>+D51+E51</f>
        <v>0</v>
      </c>
      <c r="D51" s="367">
        <f t="shared" si="34"/>
        <v>0</v>
      </c>
      <c r="E51" s="368">
        <f t="shared" si="40"/>
        <v>0</v>
      </c>
      <c r="F51" s="328">
        <v>0</v>
      </c>
      <c r="G51" s="329">
        <v>0</v>
      </c>
      <c r="H51" s="328">
        <v>0</v>
      </c>
      <c r="I51" s="329">
        <v>0</v>
      </c>
      <c r="J51" s="331">
        <v>0</v>
      </c>
      <c r="K51" s="329">
        <v>0</v>
      </c>
      <c r="L51" s="331">
        <v>0</v>
      </c>
      <c r="M51" s="329">
        <v>0</v>
      </c>
      <c r="N51" s="331">
        <v>0</v>
      </c>
      <c r="O51" s="330">
        <v>0</v>
      </c>
      <c r="P51" s="332">
        <v>0</v>
      </c>
      <c r="Q51" s="379">
        <v>0</v>
      </c>
      <c r="R51" s="331">
        <v>0</v>
      </c>
      <c r="S51" s="329">
        <v>0</v>
      </c>
      <c r="T51" s="178" t="str">
        <f t="shared" si="37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7"/>
      <c r="BS51" s="607"/>
      <c r="BT51" s="607"/>
      <c r="BU51" s="607"/>
      <c r="BV51" s="607"/>
      <c r="BW51" s="607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48">
        <f>IF(AND(D51&gt;0,OR(P51="")),1,IF(P51&gt;D51,1,0))</f>
        <v>0</v>
      </c>
      <c r="EA51" s="1048">
        <f>IF(AND(E51&gt;0,OR(Q51="")),1,IF(Q51&gt;E51,1,0))</f>
        <v>0</v>
      </c>
      <c r="EB51" s="1048">
        <f>IF(AND(D51&gt;0,OR(R51="")),1,IF(R51&gt;D51,1,0))</f>
        <v>0</v>
      </c>
      <c r="EC51" s="1048">
        <f>IF(AND(E51&gt;0,OR(S51="")),1,IF(S51&gt;E51,1,0))</f>
        <v>0</v>
      </c>
    </row>
    <row r="52" spans="1:133" ht="15" customHeight="1" x14ac:dyDescent="0.25">
      <c r="A52" s="1723"/>
      <c r="B52" s="1430" t="s">
        <v>94</v>
      </c>
      <c r="C52" s="1411">
        <f t="shared" si="36"/>
        <v>1</v>
      </c>
      <c r="D52" s="1409">
        <f>+F52+H52+J52+L52+N52</f>
        <v>1</v>
      </c>
      <c r="E52" s="1425">
        <f>+G52+I52+K52+M52+O52</f>
        <v>0</v>
      </c>
      <c r="F52" s="1414">
        <f>SUM(F50:F51)</f>
        <v>0</v>
      </c>
      <c r="G52" s="964">
        <f t="shared" ref="G52:O52" si="41">SUM(G50:G51)</f>
        <v>0</v>
      </c>
      <c r="H52" s="1414">
        <f t="shared" si="41"/>
        <v>1</v>
      </c>
      <c r="I52" s="964">
        <f t="shared" si="41"/>
        <v>0</v>
      </c>
      <c r="J52" s="1416">
        <f t="shared" si="41"/>
        <v>0</v>
      </c>
      <c r="K52" s="964">
        <f t="shared" si="41"/>
        <v>0</v>
      </c>
      <c r="L52" s="1416">
        <f t="shared" si="41"/>
        <v>0</v>
      </c>
      <c r="M52" s="964">
        <f t="shared" si="41"/>
        <v>0</v>
      </c>
      <c r="N52" s="1416">
        <f t="shared" si="41"/>
        <v>0</v>
      </c>
      <c r="O52" s="340">
        <f t="shared" si="41"/>
        <v>0</v>
      </c>
      <c r="P52" s="341">
        <f t="shared" ref="P52:S52" si="42">SUM(P50:P51)</f>
        <v>1</v>
      </c>
      <c r="Q52" s="1213">
        <f t="shared" si="42"/>
        <v>0</v>
      </c>
      <c r="R52" s="1416">
        <f t="shared" si="42"/>
        <v>0</v>
      </c>
      <c r="S52" s="964">
        <f t="shared" si="42"/>
        <v>0</v>
      </c>
      <c r="T52" s="178"/>
      <c r="U52" s="607"/>
      <c r="V52" s="607"/>
      <c r="W52" s="607"/>
      <c r="X52" s="607"/>
      <c r="Y52" s="607"/>
      <c r="Z52" s="607"/>
      <c r="AA52" s="607"/>
      <c r="AB52" s="607"/>
      <c r="AC52" s="607"/>
      <c r="AD52" s="607"/>
      <c r="AE52" s="607"/>
      <c r="AF52" s="607"/>
      <c r="AG52" s="607"/>
      <c r="AH52" s="607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7"/>
      <c r="BS52" s="607"/>
      <c r="BT52" s="607"/>
      <c r="BU52" s="607"/>
      <c r="BV52" s="607"/>
      <c r="BW52" s="607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24"/>
      <c r="B53" s="1431" t="s">
        <v>241</v>
      </c>
      <c r="C53" s="1411">
        <f t="shared" si="36"/>
        <v>4</v>
      </c>
      <c r="D53" s="1409">
        <f>+F53+H53+J53+L53+N53</f>
        <v>3</v>
      </c>
      <c r="E53" s="1425">
        <f t="shared" ref="E53:E55" si="43">+G53+I53+K53+M53+O53</f>
        <v>1</v>
      </c>
      <c r="F53" s="1404">
        <v>0</v>
      </c>
      <c r="G53" s="958">
        <v>0</v>
      </c>
      <c r="H53" s="1404">
        <v>1</v>
      </c>
      <c r="I53" s="958">
        <v>0</v>
      </c>
      <c r="J53" s="1406">
        <v>0</v>
      </c>
      <c r="K53" s="958">
        <v>1</v>
      </c>
      <c r="L53" s="1406">
        <v>2</v>
      </c>
      <c r="M53" s="958">
        <v>0</v>
      </c>
      <c r="N53" s="1406">
        <v>0</v>
      </c>
      <c r="O53" s="683">
        <v>0</v>
      </c>
      <c r="P53" s="1406">
        <v>3</v>
      </c>
      <c r="Q53" s="957">
        <v>1</v>
      </c>
      <c r="R53" s="1406">
        <v>0</v>
      </c>
      <c r="S53" s="958">
        <v>0</v>
      </c>
      <c r="T53" s="178" t="str">
        <f t="shared" si="37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7"/>
      <c r="BS53" s="607"/>
      <c r="BT53" s="607"/>
      <c r="BU53" s="607"/>
      <c r="BV53" s="607"/>
      <c r="BW53" s="607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48">
        <f t="shared" ref="DZ53:EA55" si="44">IF(AND(D53&gt;0,OR(P53="")),1,IF(P53&gt;D53,1,0))</f>
        <v>0</v>
      </c>
      <c r="EA53" s="1048">
        <f t="shared" si="44"/>
        <v>0</v>
      </c>
      <c r="EB53" s="1048">
        <f t="shared" ref="EB53:EC55" si="45">IF(AND(D53&gt;0,OR(R53="")),1,IF(R53&gt;D53,1,0))</f>
        <v>0</v>
      </c>
      <c r="EC53" s="1048">
        <f t="shared" si="45"/>
        <v>0</v>
      </c>
    </row>
    <row r="54" spans="1:133" ht="15" customHeight="1" x14ac:dyDescent="0.25">
      <c r="A54" s="1797" t="s">
        <v>263</v>
      </c>
      <c r="B54" s="670" t="s">
        <v>235</v>
      </c>
      <c r="C54" s="671">
        <f t="shared" si="36"/>
        <v>0</v>
      </c>
      <c r="D54" s="672">
        <f t="shared" ref="D54:D55" si="46">+F54+H54+J54+L54+N54</f>
        <v>0</v>
      </c>
      <c r="E54" s="673">
        <f t="shared" si="43"/>
        <v>0</v>
      </c>
      <c r="F54" s="342">
        <v>0</v>
      </c>
      <c r="G54" s="343">
        <v>0</v>
      </c>
      <c r="H54" s="342">
        <v>0</v>
      </c>
      <c r="I54" s="345">
        <v>0</v>
      </c>
      <c r="J54" s="343">
        <v>0</v>
      </c>
      <c r="K54" s="345">
        <v>0</v>
      </c>
      <c r="L54" s="343">
        <v>0</v>
      </c>
      <c r="M54" s="345">
        <v>0</v>
      </c>
      <c r="N54" s="343">
        <v>0</v>
      </c>
      <c r="O54" s="348">
        <v>0</v>
      </c>
      <c r="P54" s="347">
        <v>0</v>
      </c>
      <c r="Q54" s="646">
        <v>0</v>
      </c>
      <c r="R54" s="646">
        <v>0</v>
      </c>
      <c r="S54" s="345">
        <v>0</v>
      </c>
      <c r="T54" s="178" t="str">
        <f t="shared" si="37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7"/>
      <c r="BS54" s="607"/>
      <c r="BT54" s="607"/>
      <c r="BU54" s="607"/>
      <c r="BV54" s="607"/>
      <c r="BW54" s="607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48">
        <f t="shared" si="44"/>
        <v>0</v>
      </c>
      <c r="EA54" s="1048">
        <f t="shared" si="44"/>
        <v>0</v>
      </c>
      <c r="EB54" s="1048">
        <f t="shared" si="45"/>
        <v>0</v>
      </c>
      <c r="EC54" s="1048">
        <f t="shared" si="45"/>
        <v>0</v>
      </c>
    </row>
    <row r="55" spans="1:133" ht="15" customHeight="1" x14ac:dyDescent="0.25">
      <c r="A55" s="1798"/>
      <c r="B55" s="674" t="s">
        <v>236</v>
      </c>
      <c r="C55" s="675">
        <f t="shared" si="36"/>
        <v>1</v>
      </c>
      <c r="D55" s="676">
        <f t="shared" si="46"/>
        <v>1</v>
      </c>
      <c r="E55" s="677">
        <f t="shared" si="43"/>
        <v>0</v>
      </c>
      <c r="F55" s="328">
        <v>0</v>
      </c>
      <c r="G55" s="331">
        <v>0</v>
      </c>
      <c r="H55" s="328">
        <v>0</v>
      </c>
      <c r="I55" s="329">
        <v>0</v>
      </c>
      <c r="J55" s="331">
        <v>0</v>
      </c>
      <c r="K55" s="329">
        <v>0</v>
      </c>
      <c r="L55" s="331">
        <v>1</v>
      </c>
      <c r="M55" s="329">
        <v>0</v>
      </c>
      <c r="N55" s="331">
        <v>0</v>
      </c>
      <c r="O55" s="333">
        <v>0</v>
      </c>
      <c r="P55" s="332">
        <v>1</v>
      </c>
      <c r="Q55" s="379">
        <v>0</v>
      </c>
      <c r="R55" s="379">
        <v>0</v>
      </c>
      <c r="S55" s="329">
        <v>0</v>
      </c>
      <c r="T55" s="178" t="str">
        <f t="shared" si="37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7"/>
      <c r="BS55" s="607"/>
      <c r="BT55" s="607"/>
      <c r="BU55" s="607"/>
      <c r="BV55" s="607"/>
      <c r="BW55" s="607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48">
        <f t="shared" si="44"/>
        <v>0</v>
      </c>
      <c r="EA55" s="1048">
        <f t="shared" si="44"/>
        <v>0</v>
      </c>
      <c r="EB55" s="1048">
        <f t="shared" si="45"/>
        <v>0</v>
      </c>
      <c r="EC55" s="1048">
        <f t="shared" si="45"/>
        <v>0</v>
      </c>
    </row>
    <row r="56" spans="1:133" ht="15" customHeight="1" x14ac:dyDescent="0.25">
      <c r="A56" s="1798"/>
      <c r="B56" s="1432" t="s">
        <v>94</v>
      </c>
      <c r="C56" s="1418">
        <f t="shared" si="36"/>
        <v>1</v>
      </c>
      <c r="D56" s="1414">
        <f>+F56+H56+J56+L56+N56</f>
        <v>1</v>
      </c>
      <c r="E56" s="1415">
        <f>+G56+I56+K56+M56+O56</f>
        <v>0</v>
      </c>
      <c r="F56" s="1414">
        <f>SUM(F54:F55)</f>
        <v>0</v>
      </c>
      <c r="G56" s="1416">
        <f t="shared" ref="G56:S56" si="47">SUM(G54:G55)</f>
        <v>0</v>
      </c>
      <c r="H56" s="1414">
        <f t="shared" ref="H56:I56" si="48">SUM(H54:H55)</f>
        <v>0</v>
      </c>
      <c r="I56" s="964">
        <f t="shared" si="48"/>
        <v>0</v>
      </c>
      <c r="J56" s="1416">
        <f t="shared" ref="J56:K56" si="49">SUM(J54:J55)</f>
        <v>0</v>
      </c>
      <c r="K56" s="964">
        <f t="shared" si="49"/>
        <v>0</v>
      </c>
      <c r="L56" s="1416">
        <f t="shared" ref="L56:M56" si="50">SUM(L54:L55)</f>
        <v>1</v>
      </c>
      <c r="M56" s="964">
        <f t="shared" si="50"/>
        <v>0</v>
      </c>
      <c r="N56" s="1416">
        <f t="shared" si="47"/>
        <v>0</v>
      </c>
      <c r="O56" s="937">
        <f t="shared" si="47"/>
        <v>0</v>
      </c>
      <c r="P56" s="341">
        <f t="shared" si="47"/>
        <v>1</v>
      </c>
      <c r="Q56" s="1213">
        <f t="shared" si="47"/>
        <v>0</v>
      </c>
      <c r="R56" s="1213">
        <f t="shared" si="47"/>
        <v>0</v>
      </c>
      <c r="S56" s="964">
        <f t="shared" si="47"/>
        <v>0</v>
      </c>
      <c r="T56" s="178"/>
      <c r="U56" s="607"/>
      <c r="V56" s="607"/>
      <c r="W56" s="607"/>
      <c r="X56" s="607"/>
      <c r="Y56" s="607"/>
      <c r="Z56" s="607"/>
      <c r="AA56" s="607"/>
      <c r="AB56" s="607"/>
      <c r="AC56" s="607"/>
      <c r="AD56" s="607"/>
      <c r="AE56" s="607"/>
      <c r="AF56" s="607"/>
      <c r="AG56" s="607"/>
      <c r="AH56" s="607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7"/>
      <c r="BS56" s="607"/>
      <c r="BT56" s="607"/>
      <c r="BU56" s="607"/>
      <c r="BV56" s="607"/>
      <c r="BW56" s="607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98"/>
      <c r="B57" s="678" t="s">
        <v>237</v>
      </c>
      <c r="C57" s="671">
        <f t="shared" si="36"/>
        <v>0</v>
      </c>
      <c r="D57" s="672">
        <f t="shared" ref="D57:D58" si="51">+F57+H57+J57+L57+N57</f>
        <v>0</v>
      </c>
      <c r="E57" s="673">
        <f t="shared" ref="E57:E58" si="52">+G57+I57+K57+M57+O57</f>
        <v>0</v>
      </c>
      <c r="F57" s="342">
        <v>0</v>
      </c>
      <c r="G57" s="343">
        <v>0</v>
      </c>
      <c r="H57" s="342">
        <v>0</v>
      </c>
      <c r="I57" s="345">
        <v>0</v>
      </c>
      <c r="J57" s="343">
        <v>0</v>
      </c>
      <c r="K57" s="345">
        <v>0</v>
      </c>
      <c r="L57" s="343">
        <v>0</v>
      </c>
      <c r="M57" s="345">
        <v>0</v>
      </c>
      <c r="N57" s="343">
        <v>0</v>
      </c>
      <c r="O57" s="348">
        <v>0</v>
      </c>
      <c r="P57" s="347">
        <v>0</v>
      </c>
      <c r="Q57" s="646">
        <v>0</v>
      </c>
      <c r="R57" s="646">
        <v>0</v>
      </c>
      <c r="S57" s="345">
        <v>0</v>
      </c>
      <c r="T57" s="178" t="str">
        <f t="shared" si="37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7"/>
      <c r="BS57" s="607"/>
      <c r="BT57" s="607"/>
      <c r="BU57" s="607"/>
      <c r="BV57" s="607"/>
      <c r="BW57" s="607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48">
        <f>IF(AND(D57&gt;0,OR(P57="")),1,IF(P57&gt;D57,1,0))</f>
        <v>0</v>
      </c>
      <c r="EA57" s="1048">
        <f>IF(AND(E57&gt;0,OR(Q57="")),1,IF(Q57&gt;E57,1,0))</f>
        <v>0</v>
      </c>
      <c r="EB57" s="1048">
        <f>IF(AND(D57&gt;0,OR(R57="")),1,IF(R57&gt;D57,1,0))</f>
        <v>0</v>
      </c>
      <c r="EC57" s="1048">
        <f>IF(AND(E57&gt;0,OR(S57="")),1,IF(S57&gt;E57,1,0))</f>
        <v>0</v>
      </c>
    </row>
    <row r="58" spans="1:133" ht="15" customHeight="1" x14ac:dyDescent="0.25">
      <c r="A58" s="1798"/>
      <c r="B58" s="674" t="s">
        <v>238</v>
      </c>
      <c r="C58" s="675">
        <f t="shared" si="36"/>
        <v>0</v>
      </c>
      <c r="D58" s="676">
        <f t="shared" si="51"/>
        <v>0</v>
      </c>
      <c r="E58" s="677">
        <f t="shared" si="52"/>
        <v>0</v>
      </c>
      <c r="F58" s="328">
        <v>0</v>
      </c>
      <c r="G58" s="331">
        <v>0</v>
      </c>
      <c r="H58" s="328">
        <v>0</v>
      </c>
      <c r="I58" s="329">
        <v>0</v>
      </c>
      <c r="J58" s="331">
        <v>0</v>
      </c>
      <c r="K58" s="329">
        <v>0</v>
      </c>
      <c r="L58" s="331">
        <v>0</v>
      </c>
      <c r="M58" s="329">
        <v>0</v>
      </c>
      <c r="N58" s="331">
        <v>0</v>
      </c>
      <c r="O58" s="333">
        <v>0</v>
      </c>
      <c r="P58" s="332">
        <v>0</v>
      </c>
      <c r="Q58" s="379">
        <v>0</v>
      </c>
      <c r="R58" s="379">
        <v>0</v>
      </c>
      <c r="S58" s="329">
        <v>0</v>
      </c>
      <c r="T58" s="178" t="str">
        <f t="shared" si="37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7"/>
      <c r="BS58" s="607"/>
      <c r="BT58" s="607"/>
      <c r="BU58" s="607"/>
      <c r="BV58" s="607"/>
      <c r="BW58" s="607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48">
        <f>IF(AND(D58&gt;0,OR(P58="")),1,IF(P58&gt;D58,1,0))</f>
        <v>0</v>
      </c>
      <c r="EA58" s="1048">
        <f>IF(AND(E58&gt;0,OR(Q58="")),1,IF(Q58&gt;E58,1,0))</f>
        <v>0</v>
      </c>
      <c r="EB58" s="1048">
        <f>IF(AND(D58&gt;0,OR(R58="")),1,IF(R58&gt;D58,1,0))</f>
        <v>0</v>
      </c>
      <c r="EC58" s="1048">
        <f>IF(AND(E58&gt;0,OR(S58="")),1,IF(S58&gt;E58,1,0))</f>
        <v>0</v>
      </c>
    </row>
    <row r="59" spans="1:133" ht="15" customHeight="1" x14ac:dyDescent="0.25">
      <c r="A59" s="1798"/>
      <c r="B59" s="1432" t="s">
        <v>94</v>
      </c>
      <c r="C59" s="1418">
        <f t="shared" si="36"/>
        <v>0</v>
      </c>
      <c r="D59" s="1414">
        <f>+F59+H59+J59+L59+N59</f>
        <v>0</v>
      </c>
      <c r="E59" s="1415">
        <f>+G59+I59+K59+M59+O59</f>
        <v>0</v>
      </c>
      <c r="F59" s="1414">
        <f>SUM(F57:F58)</f>
        <v>0</v>
      </c>
      <c r="G59" s="1416">
        <f t="shared" ref="G59:S59" si="53">SUM(G57:G58)</f>
        <v>0</v>
      </c>
      <c r="H59" s="1414">
        <f t="shared" ref="H59:I59" si="54">SUM(H57:H58)</f>
        <v>0</v>
      </c>
      <c r="I59" s="964">
        <f t="shared" si="54"/>
        <v>0</v>
      </c>
      <c r="J59" s="1416">
        <f t="shared" ref="J59:K59" si="55">SUM(J57:J58)</f>
        <v>0</v>
      </c>
      <c r="K59" s="964">
        <f t="shared" si="55"/>
        <v>0</v>
      </c>
      <c r="L59" s="1416">
        <f t="shared" ref="L59:M59" si="56">SUM(L57:L58)</f>
        <v>0</v>
      </c>
      <c r="M59" s="964">
        <f t="shared" si="56"/>
        <v>0</v>
      </c>
      <c r="N59" s="1416">
        <f t="shared" si="53"/>
        <v>0</v>
      </c>
      <c r="O59" s="937">
        <f t="shared" si="53"/>
        <v>0</v>
      </c>
      <c r="P59" s="341">
        <f>SUM(P57:P58)</f>
        <v>0</v>
      </c>
      <c r="Q59" s="1213">
        <f t="shared" si="53"/>
        <v>0</v>
      </c>
      <c r="R59" s="1213">
        <f t="shared" si="53"/>
        <v>0</v>
      </c>
      <c r="S59" s="964">
        <f t="shared" si="53"/>
        <v>0</v>
      </c>
      <c r="T59" s="178"/>
      <c r="U59" s="607"/>
      <c r="V59" s="607"/>
      <c r="W59" s="607"/>
      <c r="X59" s="607"/>
      <c r="Y59" s="607"/>
      <c r="Z59" s="607"/>
      <c r="AA59" s="607"/>
      <c r="AB59" s="607"/>
      <c r="AC59" s="607"/>
      <c r="AD59" s="607"/>
      <c r="AE59" s="607"/>
      <c r="AF59" s="607"/>
      <c r="AG59" s="607"/>
      <c r="AH59" s="607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7"/>
      <c r="BS59" s="607"/>
      <c r="BT59" s="607"/>
      <c r="BU59" s="607"/>
      <c r="BV59" s="607"/>
      <c r="BW59" s="607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99"/>
      <c r="B60" s="679" t="s">
        <v>241</v>
      </c>
      <c r="C60" s="680">
        <f t="shared" si="36"/>
        <v>8</v>
      </c>
      <c r="D60" s="681">
        <f t="shared" ref="D60:D63" si="57">+F60+H60+J60+L60+N60</f>
        <v>5</v>
      </c>
      <c r="E60" s="682">
        <f t="shared" ref="E60:E63" si="58">+G60+I60+K60+M60+O60</f>
        <v>3</v>
      </c>
      <c r="F60" s="315">
        <v>1</v>
      </c>
      <c r="G60" s="343">
        <v>0</v>
      </c>
      <c r="H60" s="315">
        <v>2</v>
      </c>
      <c r="I60" s="316">
        <v>1</v>
      </c>
      <c r="J60" s="318">
        <v>0</v>
      </c>
      <c r="K60" s="316">
        <v>2</v>
      </c>
      <c r="L60" s="318">
        <v>1</v>
      </c>
      <c r="M60" s="316">
        <v>0</v>
      </c>
      <c r="N60" s="318">
        <v>1</v>
      </c>
      <c r="O60" s="684">
        <v>0</v>
      </c>
      <c r="P60" s="350">
        <v>5</v>
      </c>
      <c r="Q60" s="648">
        <v>2</v>
      </c>
      <c r="R60" s="648">
        <v>0</v>
      </c>
      <c r="S60" s="316">
        <v>0</v>
      </c>
      <c r="T60" s="178" t="str">
        <f t="shared" si="37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7"/>
      <c r="BS60" s="607"/>
      <c r="BT60" s="607"/>
      <c r="BU60" s="607"/>
      <c r="BV60" s="607"/>
      <c r="BW60" s="607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48">
        <f t="shared" ref="DZ60:EA63" si="59">IF(AND(D60&gt;0,OR(P60="")),1,IF(P60&gt;D60,1,0))</f>
        <v>0</v>
      </c>
      <c r="EA60" s="1048">
        <f t="shared" si="59"/>
        <v>0</v>
      </c>
      <c r="EB60" s="1048">
        <f t="shared" ref="EB60:EC63" si="60">IF(AND(D60&gt;0,OR(R60="")),1,IF(R60&gt;D60,1,0))</f>
        <v>0</v>
      </c>
      <c r="EC60" s="1048">
        <f t="shared" si="60"/>
        <v>0</v>
      </c>
    </row>
    <row r="61" spans="1:133" ht="15" customHeight="1" x14ac:dyDescent="0.25">
      <c r="A61" s="1800" t="s">
        <v>264</v>
      </c>
      <c r="B61" s="63" t="s">
        <v>265</v>
      </c>
      <c r="C61" s="351">
        <f t="shared" si="36"/>
        <v>5</v>
      </c>
      <c r="D61" s="369">
        <f t="shared" si="57"/>
        <v>3</v>
      </c>
      <c r="E61" s="370">
        <f t="shared" si="58"/>
        <v>2</v>
      </c>
      <c r="F61" s="322">
        <v>0</v>
      </c>
      <c r="G61" s="323">
        <v>0</v>
      </c>
      <c r="H61" s="322">
        <v>2</v>
      </c>
      <c r="I61" s="323">
        <v>0</v>
      </c>
      <c r="J61" s="325">
        <v>0</v>
      </c>
      <c r="K61" s="323">
        <v>2</v>
      </c>
      <c r="L61" s="325">
        <v>1</v>
      </c>
      <c r="M61" s="323">
        <v>0</v>
      </c>
      <c r="N61" s="325">
        <v>0</v>
      </c>
      <c r="O61" s="324">
        <v>0</v>
      </c>
      <c r="P61" s="326">
        <v>3</v>
      </c>
      <c r="Q61" s="375">
        <v>1</v>
      </c>
      <c r="R61" s="325">
        <v>0</v>
      </c>
      <c r="S61" s="323">
        <v>0</v>
      </c>
      <c r="T61" s="178" t="str">
        <f t="shared" si="37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7"/>
      <c r="BS61" s="607"/>
      <c r="BT61" s="607"/>
      <c r="BU61" s="607"/>
      <c r="BV61" s="607"/>
      <c r="BW61" s="607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48">
        <f t="shared" si="59"/>
        <v>0</v>
      </c>
      <c r="EA61" s="1048">
        <f t="shared" si="59"/>
        <v>0</v>
      </c>
      <c r="EB61" s="1048">
        <f t="shared" si="60"/>
        <v>0</v>
      </c>
      <c r="EC61" s="1048">
        <f t="shared" si="60"/>
        <v>0</v>
      </c>
    </row>
    <row r="62" spans="1:133" ht="15" customHeight="1" x14ac:dyDescent="0.25">
      <c r="A62" s="1801"/>
      <c r="B62" s="60" t="s">
        <v>266</v>
      </c>
      <c r="C62" s="352">
        <f t="shared" si="36"/>
        <v>0</v>
      </c>
      <c r="D62" s="365">
        <f t="shared" si="57"/>
        <v>0</v>
      </c>
      <c r="E62" s="366">
        <f t="shared" si="58"/>
        <v>0</v>
      </c>
      <c r="F62" s="354">
        <v>0</v>
      </c>
      <c r="G62" s="355">
        <v>0</v>
      </c>
      <c r="H62" s="354">
        <v>0</v>
      </c>
      <c r="I62" s="355">
        <v>0</v>
      </c>
      <c r="J62" s="357">
        <v>0</v>
      </c>
      <c r="K62" s="355">
        <v>0</v>
      </c>
      <c r="L62" s="357">
        <v>0</v>
      </c>
      <c r="M62" s="355">
        <v>0</v>
      </c>
      <c r="N62" s="357">
        <v>0</v>
      </c>
      <c r="O62" s="356">
        <v>0</v>
      </c>
      <c r="P62" s="358">
        <v>0</v>
      </c>
      <c r="Q62" s="376">
        <v>0</v>
      </c>
      <c r="R62" s="357">
        <v>0</v>
      </c>
      <c r="S62" s="355">
        <v>0</v>
      </c>
      <c r="T62" s="178" t="str">
        <f t="shared" si="37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7"/>
      <c r="BS62" s="607"/>
      <c r="BT62" s="607"/>
      <c r="BU62" s="607"/>
      <c r="BV62" s="607"/>
      <c r="BW62" s="607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48">
        <f t="shared" si="59"/>
        <v>0</v>
      </c>
      <c r="EA62" s="1048">
        <f t="shared" si="59"/>
        <v>0</v>
      </c>
      <c r="EB62" s="1048">
        <f t="shared" si="60"/>
        <v>0</v>
      </c>
      <c r="EC62" s="1048">
        <f t="shared" si="60"/>
        <v>0</v>
      </c>
    </row>
    <row r="63" spans="1:133" ht="15" customHeight="1" x14ac:dyDescent="0.25">
      <c r="A63" s="1801"/>
      <c r="B63" s="61" t="s">
        <v>267</v>
      </c>
      <c r="C63" s="359">
        <f t="shared" si="36"/>
        <v>0</v>
      </c>
      <c r="D63" s="367">
        <f t="shared" si="57"/>
        <v>0</v>
      </c>
      <c r="E63" s="368">
        <f t="shared" si="58"/>
        <v>0</v>
      </c>
      <c r="F63" s="328">
        <v>0</v>
      </c>
      <c r="G63" s="329">
        <v>0</v>
      </c>
      <c r="H63" s="328">
        <v>0</v>
      </c>
      <c r="I63" s="329">
        <v>0</v>
      </c>
      <c r="J63" s="331">
        <v>0</v>
      </c>
      <c r="K63" s="329">
        <v>0</v>
      </c>
      <c r="L63" s="331">
        <v>0</v>
      </c>
      <c r="M63" s="329">
        <v>0</v>
      </c>
      <c r="N63" s="331">
        <v>0</v>
      </c>
      <c r="O63" s="330">
        <v>0</v>
      </c>
      <c r="P63" s="332">
        <v>0</v>
      </c>
      <c r="Q63" s="379">
        <v>0</v>
      </c>
      <c r="R63" s="331">
        <v>0</v>
      </c>
      <c r="S63" s="329">
        <v>0</v>
      </c>
      <c r="T63" s="178" t="str">
        <f t="shared" si="37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7"/>
      <c r="BS63" s="607"/>
      <c r="BT63" s="607"/>
      <c r="BU63" s="607"/>
      <c r="BV63" s="607"/>
      <c r="BW63" s="607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48">
        <f t="shared" si="59"/>
        <v>0</v>
      </c>
      <c r="EA63" s="1048">
        <f t="shared" si="59"/>
        <v>0</v>
      </c>
      <c r="EB63" s="1048">
        <f t="shared" si="60"/>
        <v>0</v>
      </c>
      <c r="EC63" s="1048">
        <f t="shared" si="60"/>
        <v>0</v>
      </c>
    </row>
    <row r="64" spans="1:133" ht="15" customHeight="1" x14ac:dyDescent="0.25">
      <c r="A64" s="1802"/>
      <c r="B64" s="1407" t="s">
        <v>94</v>
      </c>
      <c r="C64" s="1411">
        <f>+D64+E64</f>
        <v>5</v>
      </c>
      <c r="D64" s="1409">
        <f>+F64+H64+J64+L64+N64</f>
        <v>3</v>
      </c>
      <c r="E64" s="1425">
        <f>+G64+I64+K64+M64+O64</f>
        <v>2</v>
      </c>
      <c r="F64" s="1414">
        <f>SUM(F61:F63)</f>
        <v>0</v>
      </c>
      <c r="G64" s="964">
        <f t="shared" ref="G64:R64" si="61">SUM(G61:G63)</f>
        <v>0</v>
      </c>
      <c r="H64" s="1414">
        <f t="shared" ref="H64:I64" si="62">SUM(H61:H63)</f>
        <v>2</v>
      </c>
      <c r="I64" s="964">
        <f t="shared" si="62"/>
        <v>0</v>
      </c>
      <c r="J64" s="1416">
        <f t="shared" ref="J64:K64" si="63">SUM(J61:J63)</f>
        <v>0</v>
      </c>
      <c r="K64" s="964">
        <f t="shared" si="63"/>
        <v>2</v>
      </c>
      <c r="L64" s="1416">
        <f t="shared" ref="L64:M64" si="64">SUM(L61:L63)</f>
        <v>1</v>
      </c>
      <c r="M64" s="964">
        <f t="shared" si="64"/>
        <v>0</v>
      </c>
      <c r="N64" s="1416">
        <f t="shared" si="61"/>
        <v>0</v>
      </c>
      <c r="O64" s="340">
        <f t="shared" si="61"/>
        <v>0</v>
      </c>
      <c r="P64" s="341">
        <f>SUM(P61:P63)</f>
        <v>3</v>
      </c>
      <c r="Q64" s="1213">
        <f t="shared" si="61"/>
        <v>1</v>
      </c>
      <c r="R64" s="1416">
        <f t="shared" si="61"/>
        <v>0</v>
      </c>
      <c r="S64" s="964">
        <f>SUM(S61:S63)</f>
        <v>0</v>
      </c>
      <c r="T64" s="178"/>
      <c r="U64" s="172"/>
      <c r="V64" s="607"/>
      <c r="W64" s="607"/>
      <c r="X64" s="607"/>
      <c r="Y64" s="607"/>
      <c r="Z64" s="607"/>
      <c r="AA64" s="607"/>
      <c r="AB64" s="607"/>
      <c r="AC64" s="607"/>
      <c r="AD64" s="607"/>
      <c r="AE64" s="607"/>
      <c r="AF64" s="607"/>
      <c r="AG64" s="607"/>
      <c r="AH64" s="607"/>
      <c r="AI64" s="607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7"/>
      <c r="BS64" s="607"/>
      <c r="BT64" s="607"/>
      <c r="BU64" s="607"/>
      <c r="BV64" s="607"/>
      <c r="BW64" s="607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812" t="s">
        <v>242</v>
      </c>
      <c r="B65" s="63" t="s">
        <v>268</v>
      </c>
      <c r="C65" s="351">
        <f t="shared" si="36"/>
        <v>1</v>
      </c>
      <c r="D65" s="369">
        <f t="shared" ref="D65:D70" si="65">+F65+H65+J65+L65+N65</f>
        <v>1</v>
      </c>
      <c r="E65" s="370">
        <f t="shared" ref="E65:E69" si="66">+G65+I65+K65+M65+O65</f>
        <v>0</v>
      </c>
      <c r="F65" s="322">
        <v>0</v>
      </c>
      <c r="G65" s="323">
        <v>0</v>
      </c>
      <c r="H65" s="322">
        <v>1</v>
      </c>
      <c r="I65" s="323">
        <v>0</v>
      </c>
      <c r="J65" s="325">
        <v>0</v>
      </c>
      <c r="K65" s="323">
        <v>0</v>
      </c>
      <c r="L65" s="325">
        <v>0</v>
      </c>
      <c r="M65" s="323">
        <v>0</v>
      </c>
      <c r="N65" s="325">
        <v>0</v>
      </c>
      <c r="O65" s="324">
        <v>0</v>
      </c>
      <c r="P65" s="326">
        <v>1</v>
      </c>
      <c r="Q65" s="375">
        <v>0</v>
      </c>
      <c r="R65" s="325">
        <v>0</v>
      </c>
      <c r="S65" s="323">
        <v>0</v>
      </c>
      <c r="T65" s="178" t="str">
        <f t="shared" si="37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7"/>
      <c r="BS65" s="607"/>
      <c r="BT65" s="607"/>
      <c r="BU65" s="607"/>
      <c r="BV65" s="607"/>
      <c r="BW65" s="607"/>
      <c r="BY65" s="172"/>
      <c r="BZ65" s="172"/>
      <c r="CK65" s="191" t="str">
        <f t="shared" ref="CK65:CK70" si="67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68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69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0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48">
        <f t="shared" ref="DZ65:EA70" si="71">IF(AND(D65&gt;0,OR(P65="")),1,IF(P65&gt;D65,1,0))</f>
        <v>0</v>
      </c>
      <c r="EA65" s="1048">
        <f t="shared" si="71"/>
        <v>0</v>
      </c>
      <c r="EB65" s="1048">
        <f t="shared" ref="EB65:EC70" si="72">IF(AND(D65&gt;0,OR(R65="")),1,IF(R65&gt;D65,1,0))</f>
        <v>0</v>
      </c>
      <c r="EC65" s="1048">
        <f t="shared" si="72"/>
        <v>0</v>
      </c>
    </row>
    <row r="66" spans="1:133" ht="15" customHeight="1" x14ac:dyDescent="0.25">
      <c r="A66" s="1813"/>
      <c r="B66" s="60" t="s">
        <v>269</v>
      </c>
      <c r="C66" s="352">
        <f t="shared" si="36"/>
        <v>0</v>
      </c>
      <c r="D66" s="365">
        <f t="shared" si="65"/>
        <v>0</v>
      </c>
      <c r="E66" s="366">
        <f t="shared" si="66"/>
        <v>0</v>
      </c>
      <c r="F66" s="354">
        <v>0</v>
      </c>
      <c r="G66" s="355">
        <v>0</v>
      </c>
      <c r="H66" s="354">
        <v>0</v>
      </c>
      <c r="I66" s="355">
        <v>0</v>
      </c>
      <c r="J66" s="357">
        <v>0</v>
      </c>
      <c r="K66" s="355">
        <v>0</v>
      </c>
      <c r="L66" s="357">
        <v>0</v>
      </c>
      <c r="M66" s="355">
        <v>0</v>
      </c>
      <c r="N66" s="357">
        <v>0</v>
      </c>
      <c r="O66" s="356">
        <v>0</v>
      </c>
      <c r="P66" s="358">
        <v>0</v>
      </c>
      <c r="Q66" s="376">
        <v>0</v>
      </c>
      <c r="R66" s="357">
        <v>0</v>
      </c>
      <c r="S66" s="355">
        <v>0</v>
      </c>
      <c r="T66" s="178" t="str">
        <f t="shared" si="37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7"/>
      <c r="BS66" s="607"/>
      <c r="BT66" s="607"/>
      <c r="BU66" s="607"/>
      <c r="BV66" s="607"/>
      <c r="BW66" s="607"/>
      <c r="BY66" s="172"/>
      <c r="BZ66" s="172"/>
      <c r="CK66" s="191" t="str">
        <f t="shared" si="67"/>
        <v/>
      </c>
      <c r="CL66" s="191" t="str">
        <f t="shared" si="68"/>
        <v/>
      </c>
      <c r="CM66" s="191" t="str">
        <f t="shared" si="69"/>
        <v/>
      </c>
      <c r="CN66" s="191" t="str">
        <f t="shared" si="70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48">
        <f t="shared" si="71"/>
        <v>0</v>
      </c>
      <c r="EA66" s="1048">
        <f t="shared" si="71"/>
        <v>0</v>
      </c>
      <c r="EB66" s="1048">
        <f t="shared" si="72"/>
        <v>0</v>
      </c>
      <c r="EC66" s="1048">
        <f t="shared" si="72"/>
        <v>0</v>
      </c>
    </row>
    <row r="67" spans="1:133" ht="15" customHeight="1" x14ac:dyDescent="0.25">
      <c r="A67" s="1813"/>
      <c r="B67" s="60" t="s">
        <v>270</v>
      </c>
      <c r="C67" s="352">
        <f t="shared" si="36"/>
        <v>1</v>
      </c>
      <c r="D67" s="365">
        <f t="shared" si="65"/>
        <v>0</v>
      </c>
      <c r="E67" s="366">
        <f t="shared" si="66"/>
        <v>1</v>
      </c>
      <c r="F67" s="354">
        <v>0</v>
      </c>
      <c r="G67" s="355">
        <v>0</v>
      </c>
      <c r="H67" s="354">
        <v>0</v>
      </c>
      <c r="I67" s="355">
        <v>0</v>
      </c>
      <c r="J67" s="357">
        <v>0</v>
      </c>
      <c r="K67" s="355">
        <v>1</v>
      </c>
      <c r="L67" s="357">
        <v>0</v>
      </c>
      <c r="M67" s="355">
        <v>0</v>
      </c>
      <c r="N67" s="357">
        <v>0</v>
      </c>
      <c r="O67" s="356">
        <v>0</v>
      </c>
      <c r="P67" s="358">
        <v>0</v>
      </c>
      <c r="Q67" s="376">
        <v>0</v>
      </c>
      <c r="R67" s="357">
        <v>0</v>
      </c>
      <c r="S67" s="355">
        <v>0</v>
      </c>
      <c r="T67" s="178" t="str">
        <f t="shared" si="37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7"/>
      <c r="BS67" s="607"/>
      <c r="BT67" s="607"/>
      <c r="BU67" s="607"/>
      <c r="BV67" s="607"/>
      <c r="BW67" s="607"/>
      <c r="BY67" s="172"/>
      <c r="BZ67" s="172"/>
      <c r="CK67" s="191" t="str">
        <f t="shared" si="67"/>
        <v/>
      </c>
      <c r="CL67" s="191" t="str">
        <f t="shared" si="68"/>
        <v/>
      </c>
      <c r="CM67" s="191" t="str">
        <f t="shared" si="69"/>
        <v/>
      </c>
      <c r="CN67" s="191" t="str">
        <f t="shared" si="70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48">
        <f t="shared" si="71"/>
        <v>0</v>
      </c>
      <c r="EA67" s="1048">
        <f t="shared" si="71"/>
        <v>0</v>
      </c>
      <c r="EB67" s="1048">
        <f t="shared" si="72"/>
        <v>0</v>
      </c>
      <c r="EC67" s="1048">
        <f t="shared" si="72"/>
        <v>0</v>
      </c>
    </row>
    <row r="68" spans="1:133" ht="15" customHeight="1" x14ac:dyDescent="0.25">
      <c r="A68" s="1813"/>
      <c r="B68" s="60" t="s">
        <v>246</v>
      </c>
      <c r="C68" s="352">
        <f t="shared" si="36"/>
        <v>2</v>
      </c>
      <c r="D68" s="365">
        <f t="shared" si="65"/>
        <v>1</v>
      </c>
      <c r="E68" s="366">
        <f t="shared" si="66"/>
        <v>1</v>
      </c>
      <c r="F68" s="354">
        <v>1</v>
      </c>
      <c r="G68" s="355">
        <v>0</v>
      </c>
      <c r="H68" s="354">
        <v>0</v>
      </c>
      <c r="I68" s="355">
        <v>1</v>
      </c>
      <c r="J68" s="357">
        <v>0</v>
      </c>
      <c r="K68" s="355">
        <v>0</v>
      </c>
      <c r="L68" s="357">
        <v>0</v>
      </c>
      <c r="M68" s="355">
        <v>0</v>
      </c>
      <c r="N68" s="357">
        <v>0</v>
      </c>
      <c r="O68" s="356">
        <v>0</v>
      </c>
      <c r="P68" s="358">
        <v>1</v>
      </c>
      <c r="Q68" s="376">
        <v>1</v>
      </c>
      <c r="R68" s="357">
        <v>0</v>
      </c>
      <c r="S68" s="355">
        <v>0</v>
      </c>
      <c r="T68" s="178" t="str">
        <f t="shared" si="37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7"/>
      <c r="BS68" s="607"/>
      <c r="BT68" s="607"/>
      <c r="BU68" s="607"/>
      <c r="BV68" s="607"/>
      <c r="BW68" s="607"/>
      <c r="BY68" s="172"/>
      <c r="BZ68" s="172"/>
      <c r="CK68" s="191" t="str">
        <f t="shared" si="67"/>
        <v/>
      </c>
      <c r="CL68" s="191" t="str">
        <f t="shared" si="68"/>
        <v/>
      </c>
      <c r="CM68" s="191" t="str">
        <f t="shared" si="69"/>
        <v/>
      </c>
      <c r="CN68" s="191" t="str">
        <f t="shared" si="70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48">
        <f t="shared" si="71"/>
        <v>0</v>
      </c>
      <c r="EA68" s="1048">
        <f t="shared" si="71"/>
        <v>0</v>
      </c>
      <c r="EB68" s="1048">
        <f t="shared" si="72"/>
        <v>0</v>
      </c>
      <c r="EC68" s="1048">
        <f t="shared" si="72"/>
        <v>0</v>
      </c>
    </row>
    <row r="69" spans="1:133" ht="15" customHeight="1" x14ac:dyDescent="0.25">
      <c r="A69" s="1813"/>
      <c r="B69" s="60" t="s">
        <v>271</v>
      </c>
      <c r="C69" s="352">
        <f t="shared" si="36"/>
        <v>1</v>
      </c>
      <c r="D69" s="365">
        <f t="shared" si="65"/>
        <v>1</v>
      </c>
      <c r="E69" s="366">
        <f t="shared" si="66"/>
        <v>0</v>
      </c>
      <c r="F69" s="354">
        <v>0</v>
      </c>
      <c r="G69" s="355">
        <v>0</v>
      </c>
      <c r="H69" s="354">
        <v>0</v>
      </c>
      <c r="I69" s="355">
        <v>0</v>
      </c>
      <c r="J69" s="357">
        <v>0</v>
      </c>
      <c r="K69" s="355">
        <v>0</v>
      </c>
      <c r="L69" s="357">
        <v>0</v>
      </c>
      <c r="M69" s="355">
        <v>0</v>
      </c>
      <c r="N69" s="357">
        <v>1</v>
      </c>
      <c r="O69" s="356">
        <v>0</v>
      </c>
      <c r="P69" s="358">
        <v>1</v>
      </c>
      <c r="Q69" s="376">
        <v>0</v>
      </c>
      <c r="R69" s="357">
        <v>0</v>
      </c>
      <c r="S69" s="355">
        <v>0</v>
      </c>
      <c r="T69" s="178" t="str">
        <f t="shared" si="37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7"/>
      <c r="BS69" s="607"/>
      <c r="BT69" s="607"/>
      <c r="BU69" s="607"/>
      <c r="BV69" s="607"/>
      <c r="BW69" s="607"/>
      <c r="BY69" s="172"/>
      <c r="BZ69" s="172"/>
      <c r="CK69" s="191" t="str">
        <f t="shared" si="67"/>
        <v/>
      </c>
      <c r="CL69" s="191" t="str">
        <f t="shared" si="68"/>
        <v/>
      </c>
      <c r="CM69" s="191" t="str">
        <f t="shared" si="69"/>
        <v/>
      </c>
      <c r="CN69" s="191" t="str">
        <f t="shared" si="70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48">
        <f t="shared" si="71"/>
        <v>0</v>
      </c>
      <c r="EA69" s="1048">
        <f t="shared" si="71"/>
        <v>0</v>
      </c>
      <c r="EB69" s="1048">
        <f t="shared" si="72"/>
        <v>0</v>
      </c>
      <c r="EC69" s="1048">
        <f t="shared" si="72"/>
        <v>0</v>
      </c>
    </row>
    <row r="70" spans="1:133" ht="15" customHeight="1" x14ac:dyDescent="0.25">
      <c r="A70" s="1813"/>
      <c r="B70" s="61" t="s">
        <v>131</v>
      </c>
      <c r="C70" s="359">
        <f t="shared" si="36"/>
        <v>4</v>
      </c>
      <c r="D70" s="367">
        <f t="shared" si="65"/>
        <v>3</v>
      </c>
      <c r="E70" s="368">
        <f>+G70+I70+K70+M70+O70</f>
        <v>1</v>
      </c>
      <c r="F70" s="328">
        <v>0</v>
      </c>
      <c r="G70" s="329">
        <v>0</v>
      </c>
      <c r="H70" s="328">
        <v>1</v>
      </c>
      <c r="I70" s="329">
        <v>0</v>
      </c>
      <c r="J70" s="331">
        <v>0</v>
      </c>
      <c r="K70" s="329">
        <v>1</v>
      </c>
      <c r="L70" s="331">
        <v>2</v>
      </c>
      <c r="M70" s="329">
        <v>0</v>
      </c>
      <c r="N70" s="331">
        <v>0</v>
      </c>
      <c r="O70" s="330">
        <v>0</v>
      </c>
      <c r="P70" s="332">
        <v>3</v>
      </c>
      <c r="Q70" s="379">
        <v>1</v>
      </c>
      <c r="R70" s="331">
        <v>0</v>
      </c>
      <c r="S70" s="329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7"/>
      <c r="BS70" s="607"/>
      <c r="BT70" s="607"/>
      <c r="BU70" s="607"/>
      <c r="BV70" s="607"/>
      <c r="BW70" s="607"/>
      <c r="BY70" s="172"/>
      <c r="BZ70" s="172"/>
      <c r="CK70" s="191" t="str">
        <f t="shared" si="67"/>
        <v/>
      </c>
      <c r="CL70" s="191" t="str">
        <f t="shared" si="68"/>
        <v/>
      </c>
      <c r="CM70" s="191" t="str">
        <f t="shared" si="69"/>
        <v/>
      </c>
      <c r="CN70" s="191" t="str">
        <f t="shared" si="70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48">
        <f t="shared" si="71"/>
        <v>0</v>
      </c>
      <c r="EA70" s="1048">
        <f t="shared" si="71"/>
        <v>0</v>
      </c>
      <c r="EB70" s="1048">
        <f t="shared" si="72"/>
        <v>0</v>
      </c>
      <c r="EC70" s="1048">
        <f t="shared" si="72"/>
        <v>0</v>
      </c>
    </row>
    <row r="71" spans="1:133" ht="15" customHeight="1" x14ac:dyDescent="0.25">
      <c r="A71" s="1813"/>
      <c r="B71" s="1407" t="s">
        <v>272</v>
      </c>
      <c r="C71" s="1421">
        <f>+D71+E71</f>
        <v>9</v>
      </c>
      <c r="D71" s="1424">
        <f>+F71+H71+J71+L71+N71</f>
        <v>6</v>
      </c>
      <c r="E71" s="1425">
        <f>+G71+I71+K71+M71+O71</f>
        <v>3</v>
      </c>
      <c r="F71" s="1414">
        <f>SUM(F65:F70)</f>
        <v>1</v>
      </c>
      <c r="G71" s="964">
        <f t="shared" ref="G71:S71" si="73">SUM(G65:G70)</f>
        <v>0</v>
      </c>
      <c r="H71" s="1414">
        <f t="shared" ref="H71:I71" si="74">SUM(H65:H70)</f>
        <v>2</v>
      </c>
      <c r="I71" s="964">
        <f t="shared" si="74"/>
        <v>1</v>
      </c>
      <c r="J71" s="1416">
        <f t="shared" ref="J71:K71" si="75">SUM(J65:J70)</f>
        <v>0</v>
      </c>
      <c r="K71" s="964">
        <f t="shared" si="75"/>
        <v>2</v>
      </c>
      <c r="L71" s="1416">
        <f t="shared" ref="L71:M71" si="76">SUM(L65:L70)</f>
        <v>2</v>
      </c>
      <c r="M71" s="964">
        <f t="shared" si="76"/>
        <v>0</v>
      </c>
      <c r="N71" s="1416">
        <f t="shared" si="73"/>
        <v>1</v>
      </c>
      <c r="O71" s="340">
        <f t="shared" si="73"/>
        <v>0</v>
      </c>
      <c r="P71" s="341">
        <f t="shared" si="73"/>
        <v>6</v>
      </c>
      <c r="Q71" s="1213">
        <f t="shared" si="73"/>
        <v>2</v>
      </c>
      <c r="R71" s="1416">
        <f t="shared" si="73"/>
        <v>0</v>
      </c>
      <c r="S71" s="964">
        <f t="shared" si="73"/>
        <v>0</v>
      </c>
      <c r="T71" s="178"/>
      <c r="U71" s="172"/>
      <c r="V71" s="607"/>
      <c r="W71" s="607"/>
      <c r="X71" s="607"/>
      <c r="Y71" s="607"/>
      <c r="Z71" s="607"/>
      <c r="AA71" s="607"/>
      <c r="AB71" s="607"/>
      <c r="AC71" s="607"/>
      <c r="AD71" s="607"/>
      <c r="AE71" s="607"/>
      <c r="AF71" s="607"/>
      <c r="AG71" s="607"/>
      <c r="AH71" s="607"/>
      <c r="AI71" s="607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7"/>
      <c r="BS71" s="607"/>
      <c r="BT71" s="607"/>
      <c r="BU71" s="607"/>
      <c r="BV71" s="607"/>
      <c r="BW71" s="607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813"/>
      <c r="B72" s="1413" t="s">
        <v>273</v>
      </c>
      <c r="C72" s="1421">
        <f t="shared" si="36"/>
        <v>0</v>
      </c>
      <c r="D72" s="1424">
        <f>+F72+H72+J72+L72+N72</f>
        <v>0</v>
      </c>
      <c r="E72" s="1425">
        <f>+G72+I72+K72+M72+O72</f>
        <v>0</v>
      </c>
      <c r="F72" s="1404">
        <v>0</v>
      </c>
      <c r="G72" s="958">
        <v>0</v>
      </c>
      <c r="H72" s="1404">
        <v>0</v>
      </c>
      <c r="I72" s="958">
        <v>0</v>
      </c>
      <c r="J72" s="1406">
        <v>0</v>
      </c>
      <c r="K72" s="958">
        <v>0</v>
      </c>
      <c r="L72" s="1406">
        <v>0</v>
      </c>
      <c r="M72" s="958">
        <v>0</v>
      </c>
      <c r="N72" s="1406">
        <v>0</v>
      </c>
      <c r="O72" s="319">
        <v>0</v>
      </c>
      <c r="P72" s="320">
        <v>0</v>
      </c>
      <c r="Q72" s="957">
        <v>0</v>
      </c>
      <c r="R72" s="1406">
        <v>0</v>
      </c>
      <c r="S72" s="958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7"/>
      <c r="BS72" s="607"/>
      <c r="BT72" s="607"/>
      <c r="BU72" s="607"/>
      <c r="BV72" s="607"/>
      <c r="BW72" s="607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48">
        <f>IF(AND(D72&gt;0,OR(P72="")),1,IF(P72&gt;D72,1,0))</f>
        <v>0</v>
      </c>
      <c r="EA72" s="1048">
        <f>IF(AND(E72&gt;0,OR(Q72="")),1,IF(Q72&gt;E72,1,0))</f>
        <v>0</v>
      </c>
      <c r="EB72" s="1048">
        <f>IF(AND(D72&gt;0,OR(R72="")),1,IF(R72&gt;D72,1,0))</f>
        <v>0</v>
      </c>
      <c r="EC72" s="1048">
        <f>IF(AND(E72&gt;0,OR(S72="")),1,IF(S72&gt;E72,1,0))</f>
        <v>0</v>
      </c>
    </row>
    <row r="73" spans="1:133" ht="15" customHeight="1" x14ac:dyDescent="0.25">
      <c r="A73" s="1814"/>
      <c r="B73" s="1407" t="s">
        <v>94</v>
      </c>
      <c r="C73" s="1411">
        <f>SUM(D73:E73)</f>
        <v>9</v>
      </c>
      <c r="D73" s="1409">
        <f t="shared" ref="D73:S73" si="77">SUM(D65:D70)+D72</f>
        <v>6</v>
      </c>
      <c r="E73" s="1425">
        <f t="shared" si="77"/>
        <v>3</v>
      </c>
      <c r="F73" s="1414">
        <f t="shared" si="77"/>
        <v>1</v>
      </c>
      <c r="G73" s="964">
        <f t="shared" si="77"/>
        <v>0</v>
      </c>
      <c r="H73" s="1414">
        <f t="shared" si="77"/>
        <v>2</v>
      </c>
      <c r="I73" s="964">
        <f t="shared" si="77"/>
        <v>1</v>
      </c>
      <c r="J73" s="1416">
        <f t="shared" si="77"/>
        <v>0</v>
      </c>
      <c r="K73" s="964">
        <f t="shared" si="77"/>
        <v>2</v>
      </c>
      <c r="L73" s="1416">
        <f t="shared" si="77"/>
        <v>2</v>
      </c>
      <c r="M73" s="964">
        <f t="shared" si="77"/>
        <v>0</v>
      </c>
      <c r="N73" s="1416">
        <f t="shared" si="77"/>
        <v>1</v>
      </c>
      <c r="O73" s="340">
        <f t="shared" si="77"/>
        <v>0</v>
      </c>
      <c r="P73" s="341">
        <f>SUM(P65:P70)+P72</f>
        <v>6</v>
      </c>
      <c r="Q73" s="1213">
        <f t="shared" si="77"/>
        <v>2</v>
      </c>
      <c r="R73" s="1416">
        <f t="shared" si="77"/>
        <v>0</v>
      </c>
      <c r="S73" s="964">
        <f t="shared" si="77"/>
        <v>0</v>
      </c>
      <c r="T73" s="178"/>
      <c r="U73" s="172"/>
      <c r="V73" s="607"/>
      <c r="W73" s="607"/>
      <c r="X73" s="607"/>
      <c r="Y73" s="607"/>
      <c r="Z73" s="607"/>
      <c r="AA73" s="607"/>
      <c r="AB73" s="607"/>
      <c r="AC73" s="607"/>
      <c r="AD73" s="607"/>
      <c r="AE73" s="607"/>
      <c r="AF73" s="607"/>
      <c r="AG73" s="607"/>
      <c r="AH73" s="607"/>
      <c r="AI73" s="607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7"/>
      <c r="BS73" s="607"/>
      <c r="BT73" s="607"/>
      <c r="BU73" s="607"/>
      <c r="BV73" s="607"/>
      <c r="BW73" s="607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95" t="s">
        <v>249</v>
      </c>
      <c r="B74" s="1796"/>
      <c r="C74" s="1423">
        <f>SUM(D74:E74)</f>
        <v>0</v>
      </c>
      <c r="D74" s="1424">
        <f>+F74+H74+J74+L74+N74</f>
        <v>0</v>
      </c>
      <c r="E74" s="1425">
        <f>+G74+I74+K74+M74+O74</f>
        <v>0</v>
      </c>
      <c r="F74" s="1404">
        <v>0</v>
      </c>
      <c r="G74" s="958">
        <v>0</v>
      </c>
      <c r="H74" s="1404">
        <v>0</v>
      </c>
      <c r="I74" s="958">
        <v>0</v>
      </c>
      <c r="J74" s="1406">
        <v>0</v>
      </c>
      <c r="K74" s="958">
        <v>0</v>
      </c>
      <c r="L74" s="1406">
        <v>0</v>
      </c>
      <c r="M74" s="958">
        <v>0</v>
      </c>
      <c r="N74" s="1406">
        <v>0</v>
      </c>
      <c r="O74" s="319">
        <v>0</v>
      </c>
      <c r="P74" s="320">
        <v>0</v>
      </c>
      <c r="Q74" s="957">
        <v>0</v>
      </c>
      <c r="R74" s="1406">
        <v>0</v>
      </c>
      <c r="S74" s="958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7"/>
      <c r="BS74" s="607"/>
      <c r="BT74" s="607"/>
      <c r="BU74" s="607"/>
      <c r="BV74" s="607"/>
      <c r="BW74" s="607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48">
        <f>IF(AND(D74&gt;0,OR(P74="")),1,IF(P74&gt;D74,1,0))</f>
        <v>0</v>
      </c>
      <c r="EA74" s="1048">
        <f>IF(AND(E74&gt;0,OR(Q74="")),1,IF(Q74&gt;E74,1,0))</f>
        <v>0</v>
      </c>
      <c r="EB74" s="1048">
        <f>IF(AND(D74&gt;0,OR(R74="")),1,IF(R74&gt;D74,1,0))</f>
        <v>0</v>
      </c>
      <c r="EC74" s="1048">
        <f>IF(AND(E74&gt;0,OR(S74="")),1,IF(S74&gt;E74,1,0))</f>
        <v>0</v>
      </c>
    </row>
    <row r="75" spans="1:133" ht="15.75" customHeight="1" x14ac:dyDescent="0.25">
      <c r="A75" s="1782" t="s">
        <v>274</v>
      </c>
      <c r="B75" s="1782"/>
      <c r="C75" s="1782"/>
      <c r="D75" s="1782"/>
      <c r="E75" s="1782"/>
      <c r="F75" s="1782"/>
      <c r="G75" s="1782"/>
      <c r="H75" s="1782"/>
      <c r="I75" s="1782"/>
      <c r="J75" s="1782"/>
      <c r="K75" s="1782"/>
      <c r="L75" s="1782"/>
      <c r="M75" s="1782"/>
      <c r="N75" s="1782"/>
      <c r="O75" s="1782"/>
      <c r="P75" s="1782"/>
      <c r="Q75" s="1782"/>
      <c r="R75" s="1782"/>
      <c r="S75" s="1782"/>
      <c r="T75" s="1782"/>
      <c r="U75" s="973"/>
      <c r="V75" s="973"/>
      <c r="W75" s="973"/>
      <c r="X75" s="973"/>
      <c r="Y75" s="973"/>
      <c r="Z75" s="973"/>
      <c r="AA75" s="973"/>
      <c r="AB75" s="973"/>
      <c r="AC75" s="973"/>
      <c r="AD75" s="973"/>
      <c r="AE75" s="973"/>
      <c r="AF75" s="973"/>
      <c r="AG75" s="973"/>
      <c r="AH75" s="973"/>
      <c r="AI75" s="973"/>
      <c r="AJ75" s="973"/>
      <c r="AK75" s="973"/>
      <c r="AL75" s="973"/>
      <c r="AM75" s="973"/>
      <c r="AN75" s="973"/>
      <c r="AO75" s="973"/>
      <c r="AP75" s="973"/>
      <c r="AQ75" s="973"/>
      <c r="AR75" s="973"/>
      <c r="AS75" s="973"/>
      <c r="AT75" s="973"/>
      <c r="AU75" s="973"/>
      <c r="AV75" s="973"/>
      <c r="CA75" s="973"/>
    </row>
    <row r="76" spans="1:133" ht="17.100000000000001" customHeight="1" x14ac:dyDescent="0.25">
      <c r="A76" s="1837" t="s">
        <v>275</v>
      </c>
      <c r="B76" s="1837"/>
      <c r="C76" s="1837"/>
      <c r="D76" s="1837"/>
      <c r="E76" s="1837"/>
      <c r="F76" s="1837"/>
      <c r="G76" s="1837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21" t="s">
        <v>276</v>
      </c>
      <c r="B77" s="1622"/>
      <c r="C77" s="1427" t="s">
        <v>54</v>
      </c>
      <c r="D77" s="1426" t="s">
        <v>91</v>
      </c>
      <c r="E77" s="124" t="s">
        <v>232</v>
      </c>
      <c r="F77" s="1433" t="s">
        <v>56</v>
      </c>
      <c r="G77" s="1091" t="s">
        <v>113</v>
      </c>
      <c r="H77" s="107"/>
      <c r="I77" s="107"/>
      <c r="J77" s="979"/>
      <c r="K77" s="979"/>
      <c r="L77" s="979"/>
      <c r="M77" s="980"/>
      <c r="N77" s="980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7"/>
      <c r="BQ77" s="107"/>
    </row>
    <row r="78" spans="1:133" ht="15" customHeight="1" x14ac:dyDescent="0.25">
      <c r="A78" s="1684" t="s">
        <v>131</v>
      </c>
      <c r="B78" s="72" t="s">
        <v>277</v>
      </c>
      <c r="C78" s="260">
        <f>SUM(D78:E78)</f>
        <v>0</v>
      </c>
      <c r="D78" s="310">
        <v>0</v>
      </c>
      <c r="E78" s="733">
        <v>0</v>
      </c>
      <c r="F78" s="277">
        <v>0</v>
      </c>
      <c r="G78" s="311">
        <v>0</v>
      </c>
      <c r="H78" s="172" t="str">
        <f>CA78&amp;CB78&amp;CC78&amp;CD78</f>
        <v/>
      </c>
      <c r="I78" s="607"/>
      <c r="J78" s="607"/>
      <c r="K78" s="607"/>
      <c r="L78" s="607"/>
      <c r="M78" s="607"/>
      <c r="N78" s="607"/>
      <c r="O78" s="607"/>
      <c r="P78" s="607"/>
      <c r="Q78" s="607"/>
      <c r="R78" s="607"/>
      <c r="S78" s="607"/>
      <c r="U78" s="607"/>
      <c r="V78" s="607"/>
      <c r="W78" s="172"/>
      <c r="X78" s="172"/>
      <c r="AV78" s="607"/>
      <c r="BQ78" s="107"/>
      <c r="BR78" s="172"/>
      <c r="BS78" s="172"/>
      <c r="BT78" s="172"/>
      <c r="CA78" s="191" t="str">
        <f>IF(SUM(F12,H12,J12,L12,N12,P12,R12,T12)&lt;SUM(D78,D85,D92,D99),"* La suma de Población Hombre Menor de 12 meses según resultado de Evaluación no puede ser mayor que la Población Hombres bajo control de la sección A. ","")</f>
        <v/>
      </c>
      <c r="CB78" s="191" t="str">
        <f>IF(SUM(G12,I12,K12,M12,O12,Q12,S12,U12)&lt;SUM(E78,E85,E92,E99),"*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78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79">IF(AND(C78&gt;0,OR(G78=""))," * No olvide digitar la variable Migrantes (Digite Cero si no tiene).",IF(G78&gt;C78," * La variable Migrantes no puede ser Mayor al Total.",""))</f>
        <v/>
      </c>
    </row>
    <row r="79" spans="1:133" ht="15" customHeight="1" x14ac:dyDescent="0.25">
      <c r="A79" s="1783"/>
      <c r="B79" s="74" t="s">
        <v>225</v>
      </c>
      <c r="C79" s="301">
        <f t="shared" ref="C79:C102" si="80">SUM(D79:E79)</f>
        <v>0</v>
      </c>
      <c r="D79" s="310">
        <v>0</v>
      </c>
      <c r="E79" s="733">
        <v>0</v>
      </c>
      <c r="F79" s="277">
        <v>0</v>
      </c>
      <c r="G79" s="311">
        <v>0</v>
      </c>
      <c r="H79" s="172" t="str">
        <f t="shared" ref="H79:H105" si="81">CA79&amp;CB79&amp;CC79&amp;CD79</f>
        <v/>
      </c>
      <c r="J79" s="192"/>
      <c r="K79" s="192"/>
      <c r="L79" s="192"/>
      <c r="M79" s="192"/>
      <c r="N79" s="192"/>
      <c r="AV79" s="607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78"/>
        <v/>
      </c>
      <c r="CD79" s="191" t="str">
        <f t="shared" si="79"/>
        <v/>
      </c>
      <c r="DP79" s="1048">
        <f>IF(SUM(F12,H12,J12,L12,N12,P12,R12,T12)&lt;SUM(D78,D85,D92,D99),1,0)</f>
        <v>0</v>
      </c>
      <c r="DQ79" s="1048">
        <f>IF(SUM(G12,I12,K12,M12,O12,Q12,S12,U12)&lt;SUM(E78,E85,E92,E99),1,0)</f>
        <v>0</v>
      </c>
      <c r="DR79" s="1048">
        <f t="shared" ref="DR79:DR106" si="82">IF(F78&gt;$C78,1,0)</f>
        <v>0</v>
      </c>
      <c r="DS79" s="1048">
        <f t="shared" ref="DS79:DS106" si="83">IF(G78&gt;$C78,1,0)</f>
        <v>0</v>
      </c>
      <c r="DT79" s="1048">
        <f t="shared" ref="DT79:DT106" si="84">IF(AND($C78&lt;&gt;0,F78=""),1,0)</f>
        <v>0</v>
      </c>
      <c r="DU79" s="1048">
        <f t="shared" ref="DU79:DU106" si="85">IF(AND($C78&lt;&gt;0,G78=""),1,0)</f>
        <v>0</v>
      </c>
    </row>
    <row r="80" spans="1:133" ht="15" customHeight="1" x14ac:dyDescent="0.25">
      <c r="A80" s="1784"/>
      <c r="B80" s="74" t="s">
        <v>226</v>
      </c>
      <c r="C80" s="301">
        <f t="shared" si="80"/>
        <v>0</v>
      </c>
      <c r="D80" s="310">
        <v>0</v>
      </c>
      <c r="E80" s="733">
        <v>0</v>
      </c>
      <c r="F80" s="277">
        <v>0</v>
      </c>
      <c r="G80" s="311">
        <v>0</v>
      </c>
      <c r="H80" s="172" t="str">
        <f t="shared" si="81"/>
        <v/>
      </c>
      <c r="J80" s="192"/>
      <c r="K80" s="192"/>
      <c r="L80" s="192"/>
      <c r="M80" s="192"/>
      <c r="N80" s="192"/>
      <c r="AV80" s="607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78"/>
        <v/>
      </c>
      <c r="CD80" s="191" t="str">
        <f t="shared" si="79"/>
        <v/>
      </c>
      <c r="DP80" s="1048">
        <f>IF(V$12&lt;SUM(D79,D86,D93,D100),1,0)</f>
        <v>0</v>
      </c>
      <c r="DQ80" s="1048">
        <f>IF(W$12&lt;SUM(E79,E86,E93,E100),1,0)</f>
        <v>0</v>
      </c>
      <c r="DR80" s="1048">
        <f t="shared" si="82"/>
        <v>0</v>
      </c>
      <c r="DS80" s="1048">
        <f t="shared" si="83"/>
        <v>0</v>
      </c>
      <c r="DT80" s="1048">
        <f t="shared" si="84"/>
        <v>0</v>
      </c>
      <c r="DU80" s="1048">
        <f t="shared" si="85"/>
        <v>0</v>
      </c>
    </row>
    <row r="81" spans="1:125" ht="15" customHeight="1" x14ac:dyDescent="0.25">
      <c r="A81" s="1784"/>
      <c r="B81" s="74" t="s">
        <v>227</v>
      </c>
      <c r="C81" s="301">
        <f t="shared" si="80"/>
        <v>0</v>
      </c>
      <c r="D81" s="310">
        <v>0</v>
      </c>
      <c r="E81" s="733">
        <v>0</v>
      </c>
      <c r="F81" s="277">
        <v>0</v>
      </c>
      <c r="G81" s="311">
        <v>0</v>
      </c>
      <c r="H81" s="172" t="str">
        <f t="shared" si="81"/>
        <v/>
      </c>
      <c r="J81" s="192"/>
      <c r="K81" s="192"/>
      <c r="L81" s="192"/>
      <c r="M81" s="192"/>
      <c r="N81" s="192"/>
      <c r="AV81" s="607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78"/>
        <v/>
      </c>
      <c r="CD81" s="191" t="str">
        <f t="shared" si="79"/>
        <v/>
      </c>
      <c r="DP81" s="1048">
        <f>IF(X$12&lt;SUM(D80,D87,D94,D101),1,0)</f>
        <v>0</v>
      </c>
      <c r="DQ81" s="1048">
        <f>IF(Y$12&lt;SUM(E80,E87,E94,E101),1,0)</f>
        <v>0</v>
      </c>
      <c r="DR81" s="1048">
        <f t="shared" si="82"/>
        <v>0</v>
      </c>
      <c r="DS81" s="1048">
        <f t="shared" si="83"/>
        <v>0</v>
      </c>
      <c r="DT81" s="1048">
        <f t="shared" si="84"/>
        <v>0</v>
      </c>
      <c r="DU81" s="1048">
        <f t="shared" si="85"/>
        <v>0</v>
      </c>
    </row>
    <row r="82" spans="1:125" ht="15" customHeight="1" x14ac:dyDescent="0.25">
      <c r="A82" s="1784"/>
      <c r="B82" s="801" t="s">
        <v>228</v>
      </c>
      <c r="C82" s="289">
        <f t="shared" si="80"/>
        <v>0</v>
      </c>
      <c r="D82" s="373">
        <v>0</v>
      </c>
      <c r="E82" s="734">
        <v>0</v>
      </c>
      <c r="F82" s="281">
        <v>0</v>
      </c>
      <c r="G82" s="374">
        <v>0</v>
      </c>
      <c r="H82" s="172" t="str">
        <f t="shared" si="81"/>
        <v/>
      </c>
      <c r="J82" s="192"/>
      <c r="K82" s="192"/>
      <c r="L82" s="192"/>
      <c r="M82" s="192"/>
      <c r="N82" s="192"/>
      <c r="AV82" s="607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78"/>
        <v/>
      </c>
      <c r="CD82" s="191" t="str">
        <f t="shared" si="79"/>
        <v/>
      </c>
      <c r="DP82" s="1048">
        <f>IF(Z$12&lt;SUM(D81,D88,D95,D102),1,0)</f>
        <v>0</v>
      </c>
      <c r="DQ82" s="1048">
        <f>IF(AA$12&lt;SUM(E81,E88,E95,E102),1,0)</f>
        <v>0</v>
      </c>
      <c r="DR82" s="1048">
        <f t="shared" si="82"/>
        <v>0</v>
      </c>
      <c r="DS82" s="1048">
        <f t="shared" si="83"/>
        <v>0</v>
      </c>
      <c r="DT82" s="1048">
        <f t="shared" si="84"/>
        <v>0</v>
      </c>
      <c r="DU82" s="1048">
        <f t="shared" si="85"/>
        <v>0</v>
      </c>
    </row>
    <row r="83" spans="1:125" ht="15" customHeight="1" x14ac:dyDescent="0.25">
      <c r="A83" s="1784"/>
      <c r="B83" s="801" t="s">
        <v>229</v>
      </c>
      <c r="C83" s="289">
        <f>SUM(D83:E83)</f>
        <v>0</v>
      </c>
      <c r="D83" s="373">
        <v>0</v>
      </c>
      <c r="E83" s="734">
        <v>0</v>
      </c>
      <c r="F83" s="281">
        <v>0</v>
      </c>
      <c r="G83" s="374">
        <v>0</v>
      </c>
      <c r="H83" s="172" t="str">
        <f t="shared" si="81"/>
        <v/>
      </c>
      <c r="J83" s="192"/>
      <c r="K83" s="192"/>
      <c r="L83" s="192"/>
      <c r="M83" s="192"/>
      <c r="N83" s="192"/>
      <c r="AV83" s="607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78"/>
        <v/>
      </c>
      <c r="CD83" s="191" t="str">
        <f t="shared" si="79"/>
        <v/>
      </c>
      <c r="DP83" s="1048">
        <f>IF(AB$12&lt;SUM(D82,D89,D96,D103),1,0)</f>
        <v>0</v>
      </c>
      <c r="DQ83" s="1048">
        <f>IF(AC$12&lt;SUM(E82,E89,E96,E103),1,0)</f>
        <v>0</v>
      </c>
      <c r="DR83" s="1048">
        <f t="shared" si="82"/>
        <v>0</v>
      </c>
      <c r="DS83" s="1048">
        <f t="shared" si="83"/>
        <v>0</v>
      </c>
      <c r="DT83" s="1048">
        <f t="shared" si="84"/>
        <v>0</v>
      </c>
      <c r="DU83" s="1048">
        <f t="shared" si="85"/>
        <v>0</v>
      </c>
    </row>
    <row r="84" spans="1:125" ht="15" customHeight="1" x14ac:dyDescent="0.25">
      <c r="A84" s="1685"/>
      <c r="B84" s="75" t="s">
        <v>230</v>
      </c>
      <c r="C84" s="372">
        <f t="shared" si="80"/>
        <v>0</v>
      </c>
      <c r="D84" s="290">
        <v>0</v>
      </c>
      <c r="E84" s="735">
        <v>0</v>
      </c>
      <c r="F84" s="268">
        <v>0</v>
      </c>
      <c r="G84" s="312">
        <v>0</v>
      </c>
      <c r="H84" s="172" t="str">
        <f t="shared" si="81"/>
        <v/>
      </c>
      <c r="J84" s="192"/>
      <c r="K84" s="192"/>
      <c r="L84" s="192"/>
      <c r="M84" s="192"/>
      <c r="N84" s="192"/>
      <c r="AV84" s="607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78"/>
        <v/>
      </c>
      <c r="CD84" s="191" t="str">
        <f t="shared" si="79"/>
        <v/>
      </c>
      <c r="DP84" s="1048">
        <f>IF(AD$12&lt;SUM(D83,D90,D97,D104),1,0)</f>
        <v>0</v>
      </c>
      <c r="DQ84" s="1048">
        <f>IF(AE$12&lt;SUM(E83,E90,E97,E104),1,0)</f>
        <v>0</v>
      </c>
      <c r="DR84" s="1048">
        <f t="shared" si="82"/>
        <v>0</v>
      </c>
      <c r="DS84" s="1048">
        <f t="shared" si="83"/>
        <v>0</v>
      </c>
      <c r="DT84" s="1048">
        <f t="shared" si="84"/>
        <v>0</v>
      </c>
      <c r="DU84" s="1048">
        <f t="shared" si="85"/>
        <v>0</v>
      </c>
    </row>
    <row r="85" spans="1:125" ht="15" customHeight="1" x14ac:dyDescent="0.25">
      <c r="A85" s="1684" t="s">
        <v>278</v>
      </c>
      <c r="B85" s="72" t="s">
        <v>277</v>
      </c>
      <c r="C85" s="260">
        <f>SUM(D85:E85)</f>
        <v>0</v>
      </c>
      <c r="D85" s="288">
        <v>0</v>
      </c>
      <c r="E85" s="747">
        <v>0</v>
      </c>
      <c r="F85" s="274">
        <v>0</v>
      </c>
      <c r="G85" s="688">
        <v>0</v>
      </c>
      <c r="H85" s="172" t="str">
        <f t="shared" si="81"/>
        <v/>
      </c>
      <c r="J85" s="70"/>
      <c r="K85" s="70"/>
      <c r="L85" s="70"/>
      <c r="M85" s="70"/>
      <c r="N85" s="70"/>
      <c r="AV85" s="607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79"/>
        <v/>
      </c>
      <c r="DP85" s="1048">
        <f>IF(AF$12&lt;SUM(D84,D91,D98,D105),1,0)</f>
        <v>0</v>
      </c>
      <c r="DQ85" s="1048">
        <f>IF(AG$12&lt;SUM(E84,E91,E98,E105),1,0)</f>
        <v>0</v>
      </c>
      <c r="DR85" s="1048">
        <f t="shared" si="82"/>
        <v>0</v>
      </c>
      <c r="DS85" s="1048">
        <f t="shared" si="83"/>
        <v>0</v>
      </c>
      <c r="DT85" s="1048">
        <f t="shared" si="84"/>
        <v>0</v>
      </c>
      <c r="DU85" s="1048">
        <f t="shared" si="85"/>
        <v>0</v>
      </c>
    </row>
    <row r="86" spans="1:125" ht="15" customHeight="1" x14ac:dyDescent="0.25">
      <c r="A86" s="1783"/>
      <c r="B86" s="74" t="s">
        <v>225</v>
      </c>
      <c r="C86" s="301">
        <f t="shared" si="80"/>
        <v>0</v>
      </c>
      <c r="D86" s="310">
        <v>0</v>
      </c>
      <c r="E86" s="733">
        <v>0</v>
      </c>
      <c r="F86" s="277">
        <v>0</v>
      </c>
      <c r="G86" s="311">
        <v>0</v>
      </c>
      <c r="H86" s="172" t="str">
        <f t="shared" si="81"/>
        <v/>
      </c>
      <c r="J86" s="192"/>
      <c r="K86" s="192"/>
      <c r="L86" s="192"/>
      <c r="M86" s="192"/>
      <c r="N86" s="192"/>
      <c r="AV86" s="607"/>
      <c r="BQ86" s="107"/>
      <c r="BR86" s="172"/>
      <c r="BS86" s="172"/>
      <c r="BT86" s="172"/>
      <c r="CC86" s="191" t="str">
        <f t="shared" si="78"/>
        <v/>
      </c>
      <c r="CD86" s="191" t="str">
        <f t="shared" si="79"/>
        <v/>
      </c>
      <c r="DR86" s="1048">
        <f t="shared" si="82"/>
        <v>0</v>
      </c>
      <c r="DS86" s="1048">
        <f t="shared" si="83"/>
        <v>0</v>
      </c>
      <c r="DT86" s="1048">
        <f t="shared" si="84"/>
        <v>0</v>
      </c>
      <c r="DU86" s="1048">
        <f t="shared" si="85"/>
        <v>0</v>
      </c>
    </row>
    <row r="87" spans="1:125" ht="15" customHeight="1" x14ac:dyDescent="0.25">
      <c r="A87" s="1784"/>
      <c r="B87" s="74" t="s">
        <v>226</v>
      </c>
      <c r="C87" s="301">
        <f t="shared" si="80"/>
        <v>0</v>
      </c>
      <c r="D87" s="310">
        <v>0</v>
      </c>
      <c r="E87" s="733">
        <v>0</v>
      </c>
      <c r="F87" s="277">
        <v>0</v>
      </c>
      <c r="G87" s="311">
        <v>0</v>
      </c>
      <c r="H87" s="172" t="str">
        <f t="shared" si="81"/>
        <v/>
      </c>
      <c r="J87" s="192"/>
      <c r="K87" s="192"/>
      <c r="L87" s="192"/>
      <c r="M87" s="192"/>
      <c r="N87" s="192"/>
      <c r="AV87" s="607"/>
      <c r="BQ87" s="107"/>
      <c r="BR87" s="172"/>
      <c r="BS87" s="172"/>
      <c r="BT87" s="172"/>
      <c r="CC87" s="191" t="str">
        <f t="shared" si="78"/>
        <v/>
      </c>
      <c r="CD87" s="191" t="str">
        <f t="shared" si="79"/>
        <v/>
      </c>
      <c r="DR87" s="1048">
        <f t="shared" si="82"/>
        <v>0</v>
      </c>
      <c r="DS87" s="1048">
        <f t="shared" si="83"/>
        <v>0</v>
      </c>
      <c r="DT87" s="1048">
        <f t="shared" si="84"/>
        <v>0</v>
      </c>
      <c r="DU87" s="1048">
        <f t="shared" si="85"/>
        <v>0</v>
      </c>
    </row>
    <row r="88" spans="1:125" ht="15" customHeight="1" x14ac:dyDescent="0.25">
      <c r="A88" s="1784"/>
      <c r="B88" s="74" t="s">
        <v>227</v>
      </c>
      <c r="C88" s="301">
        <f t="shared" si="80"/>
        <v>0</v>
      </c>
      <c r="D88" s="310">
        <v>0</v>
      </c>
      <c r="E88" s="733">
        <v>0</v>
      </c>
      <c r="F88" s="277">
        <v>0</v>
      </c>
      <c r="G88" s="311">
        <v>0</v>
      </c>
      <c r="H88" s="172" t="str">
        <f t="shared" si="81"/>
        <v/>
      </c>
      <c r="J88" s="192"/>
      <c r="K88" s="192"/>
      <c r="L88" s="192"/>
      <c r="M88" s="192"/>
      <c r="N88" s="192"/>
      <c r="AV88" s="607"/>
      <c r="BQ88" s="107"/>
      <c r="BR88" s="172"/>
      <c r="BS88" s="172"/>
      <c r="BT88" s="172"/>
      <c r="CC88" s="191" t="str">
        <f t="shared" si="78"/>
        <v/>
      </c>
      <c r="CD88" s="191" t="str">
        <f t="shared" si="79"/>
        <v/>
      </c>
      <c r="DR88" s="1048">
        <f t="shared" si="82"/>
        <v>0</v>
      </c>
      <c r="DS88" s="1048">
        <f t="shared" si="83"/>
        <v>0</v>
      </c>
      <c r="DT88" s="1048">
        <f t="shared" si="84"/>
        <v>0</v>
      </c>
      <c r="DU88" s="1048">
        <f t="shared" si="85"/>
        <v>0</v>
      </c>
    </row>
    <row r="89" spans="1:125" ht="15" customHeight="1" x14ac:dyDescent="0.25">
      <c r="A89" s="1784"/>
      <c r="B89" s="801" t="s">
        <v>228</v>
      </c>
      <c r="C89" s="289">
        <f t="shared" si="80"/>
        <v>0</v>
      </c>
      <c r="D89" s="373">
        <v>0</v>
      </c>
      <c r="E89" s="734">
        <v>0</v>
      </c>
      <c r="F89" s="281">
        <v>0</v>
      </c>
      <c r="G89" s="374">
        <v>0</v>
      </c>
      <c r="H89" s="172" t="str">
        <f t="shared" si="81"/>
        <v/>
      </c>
      <c r="J89" s="192"/>
      <c r="K89" s="192"/>
      <c r="L89" s="192"/>
      <c r="M89" s="192"/>
      <c r="N89" s="192"/>
      <c r="AV89" s="607"/>
      <c r="BQ89" s="107"/>
      <c r="BR89" s="172"/>
      <c r="BS89" s="172"/>
      <c r="BT89" s="172"/>
      <c r="CC89" s="191" t="str">
        <f t="shared" si="78"/>
        <v/>
      </c>
      <c r="CD89" s="191" t="str">
        <f t="shared" si="79"/>
        <v/>
      </c>
      <c r="DR89" s="1048">
        <f t="shared" si="82"/>
        <v>0</v>
      </c>
      <c r="DS89" s="1048">
        <f t="shared" si="83"/>
        <v>0</v>
      </c>
      <c r="DT89" s="1048">
        <f t="shared" si="84"/>
        <v>0</v>
      </c>
      <c r="DU89" s="1048">
        <f t="shared" si="85"/>
        <v>0</v>
      </c>
    </row>
    <row r="90" spans="1:125" ht="15" customHeight="1" x14ac:dyDescent="0.25">
      <c r="A90" s="1784"/>
      <c r="B90" s="801" t="s">
        <v>229</v>
      </c>
      <c r="C90" s="289">
        <f>SUM(D90:E90)</f>
        <v>0</v>
      </c>
      <c r="D90" s="373">
        <v>0</v>
      </c>
      <c r="E90" s="734">
        <v>0</v>
      </c>
      <c r="F90" s="281">
        <v>0</v>
      </c>
      <c r="G90" s="374">
        <v>0</v>
      </c>
      <c r="H90" s="172" t="str">
        <f t="shared" si="81"/>
        <v/>
      </c>
      <c r="J90" s="192"/>
      <c r="K90" s="192"/>
      <c r="L90" s="192"/>
      <c r="M90" s="192"/>
      <c r="N90" s="192"/>
      <c r="AV90" s="607"/>
      <c r="BQ90" s="107"/>
      <c r="BR90" s="172"/>
      <c r="BS90" s="172"/>
      <c r="BT90" s="172"/>
      <c r="CC90" s="191" t="str">
        <f t="shared" si="78"/>
        <v/>
      </c>
      <c r="CD90" s="191" t="str">
        <f t="shared" si="79"/>
        <v/>
      </c>
      <c r="DR90" s="1048">
        <f t="shared" si="82"/>
        <v>0</v>
      </c>
      <c r="DS90" s="1048">
        <f t="shared" si="83"/>
        <v>0</v>
      </c>
      <c r="DT90" s="1048">
        <f t="shared" si="84"/>
        <v>0</v>
      </c>
      <c r="DU90" s="1048">
        <f t="shared" si="85"/>
        <v>0</v>
      </c>
    </row>
    <row r="91" spans="1:125" ht="15" customHeight="1" x14ac:dyDescent="0.25">
      <c r="A91" s="1685"/>
      <c r="B91" s="75" t="s">
        <v>230</v>
      </c>
      <c r="C91" s="372">
        <f t="shared" si="80"/>
        <v>0</v>
      </c>
      <c r="D91" s="290">
        <v>0</v>
      </c>
      <c r="E91" s="735">
        <v>0</v>
      </c>
      <c r="F91" s="268">
        <v>0</v>
      </c>
      <c r="G91" s="312">
        <v>0</v>
      </c>
      <c r="H91" s="172" t="str">
        <f t="shared" si="81"/>
        <v/>
      </c>
      <c r="J91" s="192"/>
      <c r="K91" s="192"/>
      <c r="L91" s="192"/>
      <c r="M91" s="192"/>
      <c r="N91" s="192"/>
      <c r="AV91" s="607"/>
      <c r="BQ91" s="107"/>
      <c r="BR91" s="172"/>
      <c r="BS91" s="172"/>
      <c r="BT91" s="172"/>
      <c r="CC91" s="191" t="str">
        <f t="shared" si="78"/>
        <v/>
      </c>
      <c r="CD91" s="191" t="str">
        <f t="shared" si="79"/>
        <v/>
      </c>
      <c r="DR91" s="1048">
        <f t="shared" si="82"/>
        <v>0</v>
      </c>
      <c r="DS91" s="1048">
        <f t="shared" si="83"/>
        <v>0</v>
      </c>
      <c r="DT91" s="1048">
        <f t="shared" si="84"/>
        <v>0</v>
      </c>
      <c r="DU91" s="1048">
        <f t="shared" si="85"/>
        <v>0</v>
      </c>
    </row>
    <row r="92" spans="1:125" ht="15" customHeight="1" x14ac:dyDescent="0.25">
      <c r="A92" s="1684" t="s">
        <v>279</v>
      </c>
      <c r="B92" s="72" t="s">
        <v>277</v>
      </c>
      <c r="C92" s="260">
        <f t="shared" si="80"/>
        <v>0</v>
      </c>
      <c r="D92" s="288">
        <v>0</v>
      </c>
      <c r="E92" s="747">
        <v>0</v>
      </c>
      <c r="F92" s="274">
        <v>0</v>
      </c>
      <c r="G92" s="688">
        <v>0</v>
      </c>
      <c r="H92" s="172" t="str">
        <f t="shared" si="81"/>
        <v/>
      </c>
      <c r="J92" s="70"/>
      <c r="K92" s="70"/>
      <c r="L92" s="70"/>
      <c r="M92" s="70"/>
      <c r="N92" s="70"/>
      <c r="AV92" s="607"/>
      <c r="BQ92" s="107"/>
      <c r="BR92" s="172"/>
      <c r="BS92" s="172"/>
      <c r="BT92" s="172"/>
      <c r="CC92" s="191" t="str">
        <f t="shared" si="78"/>
        <v/>
      </c>
      <c r="CD92" s="191" t="str">
        <f t="shared" si="79"/>
        <v/>
      </c>
      <c r="DR92" s="1048">
        <f t="shared" si="82"/>
        <v>0</v>
      </c>
      <c r="DS92" s="1048">
        <f t="shared" si="83"/>
        <v>0</v>
      </c>
      <c r="DT92" s="1048">
        <f t="shared" si="84"/>
        <v>0</v>
      </c>
      <c r="DU92" s="1048">
        <f t="shared" si="85"/>
        <v>0</v>
      </c>
    </row>
    <row r="93" spans="1:125" ht="15" customHeight="1" x14ac:dyDescent="0.25">
      <c r="A93" s="1783"/>
      <c r="B93" s="74" t="s">
        <v>225</v>
      </c>
      <c r="C93" s="301">
        <f t="shared" si="80"/>
        <v>0</v>
      </c>
      <c r="D93" s="310">
        <v>0</v>
      </c>
      <c r="E93" s="733">
        <v>0</v>
      </c>
      <c r="F93" s="277">
        <v>0</v>
      </c>
      <c r="G93" s="311">
        <v>0</v>
      </c>
      <c r="H93" s="172" t="str">
        <f t="shared" si="81"/>
        <v/>
      </c>
      <c r="J93" s="192"/>
      <c r="K93" s="192"/>
      <c r="L93" s="192"/>
      <c r="M93" s="192"/>
      <c r="N93" s="192"/>
      <c r="AV93" s="607"/>
      <c r="BQ93" s="107"/>
      <c r="BR93" s="172"/>
      <c r="BS93" s="172"/>
      <c r="BT93" s="172"/>
      <c r="CC93" s="191" t="str">
        <f t="shared" si="78"/>
        <v/>
      </c>
      <c r="CD93" s="191" t="str">
        <f t="shared" si="79"/>
        <v/>
      </c>
      <c r="DR93" s="1048">
        <f t="shared" si="82"/>
        <v>0</v>
      </c>
      <c r="DS93" s="1048">
        <f t="shared" si="83"/>
        <v>0</v>
      </c>
      <c r="DT93" s="1048">
        <f t="shared" si="84"/>
        <v>0</v>
      </c>
      <c r="DU93" s="1048">
        <f t="shared" si="85"/>
        <v>0</v>
      </c>
    </row>
    <row r="94" spans="1:125" ht="15" customHeight="1" x14ac:dyDescent="0.25">
      <c r="A94" s="1784"/>
      <c r="B94" s="74" t="s">
        <v>226</v>
      </c>
      <c r="C94" s="301">
        <f t="shared" si="80"/>
        <v>0</v>
      </c>
      <c r="D94" s="310">
        <v>0</v>
      </c>
      <c r="E94" s="733">
        <v>0</v>
      </c>
      <c r="F94" s="277">
        <v>0</v>
      </c>
      <c r="G94" s="311">
        <v>0</v>
      </c>
      <c r="H94" s="172" t="str">
        <f t="shared" si="81"/>
        <v/>
      </c>
      <c r="J94" s="192"/>
      <c r="K94" s="192"/>
      <c r="L94" s="192"/>
      <c r="M94" s="192"/>
      <c r="N94" s="192"/>
      <c r="AV94" s="607"/>
      <c r="BQ94" s="107"/>
      <c r="BR94" s="172"/>
      <c r="BS94" s="172"/>
      <c r="BT94" s="172"/>
      <c r="CC94" s="191" t="str">
        <f t="shared" si="78"/>
        <v/>
      </c>
      <c r="CD94" s="191" t="str">
        <f t="shared" si="79"/>
        <v/>
      </c>
      <c r="DR94" s="1048">
        <f t="shared" si="82"/>
        <v>0</v>
      </c>
      <c r="DS94" s="1048">
        <f t="shared" si="83"/>
        <v>0</v>
      </c>
      <c r="DT94" s="1048">
        <f t="shared" si="84"/>
        <v>0</v>
      </c>
      <c r="DU94" s="1048">
        <f t="shared" si="85"/>
        <v>0</v>
      </c>
    </row>
    <row r="95" spans="1:125" ht="15" customHeight="1" x14ac:dyDescent="0.25">
      <c r="A95" s="1784"/>
      <c r="B95" s="74" t="s">
        <v>227</v>
      </c>
      <c r="C95" s="301">
        <f t="shared" si="80"/>
        <v>0</v>
      </c>
      <c r="D95" s="310">
        <v>0</v>
      </c>
      <c r="E95" s="733">
        <v>0</v>
      </c>
      <c r="F95" s="277">
        <v>0</v>
      </c>
      <c r="G95" s="311">
        <v>0</v>
      </c>
      <c r="H95" s="172" t="str">
        <f t="shared" si="81"/>
        <v/>
      </c>
      <c r="J95" s="192"/>
      <c r="K95" s="192"/>
      <c r="L95" s="192"/>
      <c r="M95" s="192"/>
      <c r="N95" s="192"/>
      <c r="AV95" s="607"/>
      <c r="BQ95" s="107"/>
      <c r="BR95" s="172"/>
      <c r="BS95" s="172"/>
      <c r="BT95" s="172"/>
      <c r="CC95" s="191" t="str">
        <f t="shared" si="78"/>
        <v/>
      </c>
      <c r="CD95" s="191" t="str">
        <f t="shared" si="79"/>
        <v/>
      </c>
      <c r="DR95" s="1048">
        <f t="shared" si="82"/>
        <v>0</v>
      </c>
      <c r="DS95" s="1048">
        <f t="shared" si="83"/>
        <v>0</v>
      </c>
      <c r="DT95" s="1048">
        <f t="shared" si="84"/>
        <v>0</v>
      </c>
      <c r="DU95" s="1048">
        <f t="shared" si="85"/>
        <v>0</v>
      </c>
    </row>
    <row r="96" spans="1:125" ht="15" customHeight="1" x14ac:dyDescent="0.25">
      <c r="A96" s="1784"/>
      <c r="B96" s="801" t="s">
        <v>228</v>
      </c>
      <c r="C96" s="301">
        <f t="shared" si="80"/>
        <v>0</v>
      </c>
      <c r="D96" s="373">
        <v>0</v>
      </c>
      <c r="E96" s="734">
        <v>0</v>
      </c>
      <c r="F96" s="281">
        <v>0</v>
      </c>
      <c r="G96" s="374">
        <v>0</v>
      </c>
      <c r="H96" s="172" t="str">
        <f t="shared" si="81"/>
        <v/>
      </c>
      <c r="J96" s="192"/>
      <c r="K96" s="192"/>
      <c r="L96" s="192"/>
      <c r="M96" s="192"/>
      <c r="N96" s="192"/>
      <c r="AV96" s="607"/>
      <c r="BQ96" s="107"/>
      <c r="BR96" s="172"/>
      <c r="BS96" s="172"/>
      <c r="BT96" s="172"/>
      <c r="CC96" s="191" t="str">
        <f t="shared" si="78"/>
        <v/>
      </c>
      <c r="CD96" s="191" t="str">
        <f t="shared" si="79"/>
        <v/>
      </c>
      <c r="DR96" s="1048">
        <f t="shared" si="82"/>
        <v>0</v>
      </c>
      <c r="DS96" s="1048">
        <f t="shared" si="83"/>
        <v>0</v>
      </c>
      <c r="DT96" s="1048">
        <f t="shared" si="84"/>
        <v>0</v>
      </c>
      <c r="DU96" s="1048">
        <f t="shared" si="85"/>
        <v>0</v>
      </c>
    </row>
    <row r="97" spans="1:125" ht="15" customHeight="1" x14ac:dyDescent="0.25">
      <c r="A97" s="1784"/>
      <c r="B97" s="801" t="s">
        <v>229</v>
      </c>
      <c r="C97" s="301">
        <f t="shared" si="80"/>
        <v>0</v>
      </c>
      <c r="D97" s="373">
        <v>0</v>
      </c>
      <c r="E97" s="734">
        <v>0</v>
      </c>
      <c r="F97" s="281">
        <v>0</v>
      </c>
      <c r="G97" s="374">
        <v>0</v>
      </c>
      <c r="H97" s="172" t="str">
        <f t="shared" si="81"/>
        <v/>
      </c>
      <c r="J97" s="192"/>
      <c r="K97" s="192"/>
      <c r="L97" s="192"/>
      <c r="M97" s="192"/>
      <c r="N97" s="192"/>
      <c r="AV97" s="607"/>
      <c r="BQ97" s="107"/>
      <c r="BR97" s="172"/>
      <c r="BS97" s="172"/>
      <c r="BT97" s="172"/>
      <c r="CC97" s="191" t="str">
        <f t="shared" si="78"/>
        <v/>
      </c>
      <c r="CD97" s="191" t="str">
        <f t="shared" si="79"/>
        <v/>
      </c>
      <c r="DR97" s="1048">
        <f t="shared" si="82"/>
        <v>0</v>
      </c>
      <c r="DS97" s="1048">
        <f t="shared" si="83"/>
        <v>0</v>
      </c>
      <c r="DT97" s="1048">
        <f t="shared" si="84"/>
        <v>0</v>
      </c>
      <c r="DU97" s="1048">
        <f t="shared" si="85"/>
        <v>0</v>
      </c>
    </row>
    <row r="98" spans="1:125" ht="15" customHeight="1" x14ac:dyDescent="0.25">
      <c r="A98" s="1685"/>
      <c r="B98" s="75" t="s">
        <v>230</v>
      </c>
      <c r="C98" s="372">
        <f t="shared" si="80"/>
        <v>0</v>
      </c>
      <c r="D98" s="373">
        <v>0</v>
      </c>
      <c r="E98" s="734">
        <v>0</v>
      </c>
      <c r="F98" s="281">
        <v>0</v>
      </c>
      <c r="G98" s="374">
        <v>0</v>
      </c>
      <c r="H98" s="172" t="str">
        <f t="shared" si="81"/>
        <v/>
      </c>
      <c r="J98" s="192"/>
      <c r="K98" s="192"/>
      <c r="L98" s="192"/>
      <c r="M98" s="192"/>
      <c r="N98" s="192"/>
      <c r="AV98" s="607"/>
      <c r="BQ98" s="107"/>
      <c r="BR98" s="172"/>
      <c r="BS98" s="172"/>
      <c r="BT98" s="172"/>
      <c r="CC98" s="191" t="str">
        <f t="shared" si="78"/>
        <v/>
      </c>
      <c r="CD98" s="191" t="str">
        <f t="shared" si="79"/>
        <v/>
      </c>
      <c r="DR98" s="1048">
        <f t="shared" si="82"/>
        <v>0</v>
      </c>
      <c r="DS98" s="1048">
        <f t="shared" si="83"/>
        <v>0</v>
      </c>
      <c r="DT98" s="1048">
        <f t="shared" si="84"/>
        <v>0</v>
      </c>
      <c r="DU98" s="1048">
        <f t="shared" si="85"/>
        <v>0</v>
      </c>
    </row>
    <row r="99" spans="1:125" ht="15" customHeight="1" x14ac:dyDescent="0.25">
      <c r="A99" s="1684" t="s">
        <v>280</v>
      </c>
      <c r="B99" s="72" t="s">
        <v>277</v>
      </c>
      <c r="C99" s="260">
        <f t="shared" si="80"/>
        <v>0</v>
      </c>
      <c r="D99" s="261">
        <v>0</v>
      </c>
      <c r="E99" s="579">
        <v>0</v>
      </c>
      <c r="F99" s="262">
        <v>0</v>
      </c>
      <c r="G99" s="309">
        <v>0</v>
      </c>
      <c r="H99" s="172" t="str">
        <f t="shared" si="81"/>
        <v/>
      </c>
      <c r="J99" s="192"/>
      <c r="K99" s="192"/>
      <c r="L99" s="192"/>
      <c r="M99" s="192"/>
      <c r="N99" s="192"/>
      <c r="AV99" s="607"/>
      <c r="BQ99" s="107"/>
      <c r="BR99" s="172"/>
      <c r="BS99" s="172"/>
      <c r="BT99" s="172"/>
      <c r="CC99" s="191" t="str">
        <f t="shared" si="78"/>
        <v/>
      </c>
      <c r="CD99" s="191" t="str">
        <f t="shared" si="79"/>
        <v/>
      </c>
      <c r="DR99" s="1048">
        <f t="shared" si="82"/>
        <v>0</v>
      </c>
      <c r="DS99" s="1048">
        <f t="shared" si="83"/>
        <v>0</v>
      </c>
      <c r="DT99" s="1048">
        <f t="shared" si="84"/>
        <v>0</v>
      </c>
      <c r="DU99" s="1048">
        <f t="shared" si="85"/>
        <v>0</v>
      </c>
    </row>
    <row r="100" spans="1:125" ht="15" customHeight="1" x14ac:dyDescent="0.25">
      <c r="A100" s="1783"/>
      <c r="B100" s="74" t="s">
        <v>225</v>
      </c>
      <c r="C100" s="301">
        <f t="shared" si="80"/>
        <v>0</v>
      </c>
      <c r="D100" s="310">
        <v>0</v>
      </c>
      <c r="E100" s="733">
        <v>0</v>
      </c>
      <c r="F100" s="277">
        <v>0</v>
      </c>
      <c r="G100" s="311">
        <v>0</v>
      </c>
      <c r="H100" s="172" t="str">
        <f t="shared" si="81"/>
        <v/>
      </c>
      <c r="J100" s="76"/>
      <c r="K100" s="76"/>
      <c r="L100" s="76"/>
      <c r="M100" s="76"/>
      <c r="N100" s="76"/>
      <c r="AV100" s="607"/>
      <c r="BQ100" s="107"/>
      <c r="CC100" s="191" t="str">
        <f t="shared" si="78"/>
        <v/>
      </c>
      <c r="CD100" s="191" t="str">
        <f t="shared" si="79"/>
        <v/>
      </c>
      <c r="DR100" s="1048">
        <f t="shared" si="82"/>
        <v>0</v>
      </c>
      <c r="DS100" s="1048">
        <f t="shared" si="83"/>
        <v>0</v>
      </c>
      <c r="DT100" s="1048">
        <f t="shared" si="84"/>
        <v>0</v>
      </c>
      <c r="DU100" s="1048">
        <f t="shared" si="85"/>
        <v>0</v>
      </c>
    </row>
    <row r="101" spans="1:125" ht="15" customHeight="1" x14ac:dyDescent="0.25">
      <c r="A101" s="1784"/>
      <c r="B101" s="74" t="s">
        <v>226</v>
      </c>
      <c r="C101" s="301">
        <f t="shared" si="80"/>
        <v>0</v>
      </c>
      <c r="D101" s="310">
        <v>0</v>
      </c>
      <c r="E101" s="733">
        <v>0</v>
      </c>
      <c r="F101" s="277">
        <v>0</v>
      </c>
      <c r="G101" s="311">
        <v>0</v>
      </c>
      <c r="H101" s="172" t="str">
        <f t="shared" si="81"/>
        <v/>
      </c>
      <c r="J101" s="76"/>
      <c r="K101" s="76"/>
      <c r="L101" s="76"/>
      <c r="M101" s="76"/>
      <c r="N101" s="76"/>
      <c r="AV101" s="607"/>
      <c r="BQ101" s="107"/>
      <c r="CC101" s="191" t="str">
        <f t="shared" si="78"/>
        <v/>
      </c>
      <c r="CD101" s="191" t="str">
        <f t="shared" si="79"/>
        <v/>
      </c>
      <c r="DR101" s="1048">
        <f t="shared" si="82"/>
        <v>0</v>
      </c>
      <c r="DS101" s="1048">
        <f t="shared" si="83"/>
        <v>0</v>
      </c>
      <c r="DT101" s="1048">
        <f t="shared" si="84"/>
        <v>0</v>
      </c>
      <c r="DU101" s="1048">
        <f t="shared" si="85"/>
        <v>0</v>
      </c>
    </row>
    <row r="102" spans="1:125" ht="15" customHeight="1" x14ac:dyDescent="0.25">
      <c r="A102" s="1784"/>
      <c r="B102" s="74" t="s">
        <v>227</v>
      </c>
      <c r="C102" s="301">
        <f t="shared" si="80"/>
        <v>0</v>
      </c>
      <c r="D102" s="310">
        <v>0</v>
      </c>
      <c r="E102" s="733">
        <v>0</v>
      </c>
      <c r="F102" s="277">
        <v>0</v>
      </c>
      <c r="G102" s="311">
        <v>0</v>
      </c>
      <c r="H102" s="172" t="str">
        <f t="shared" si="81"/>
        <v/>
      </c>
      <c r="J102" s="76"/>
      <c r="K102" s="76"/>
      <c r="L102" s="76"/>
      <c r="M102" s="76"/>
      <c r="N102" s="76"/>
      <c r="AV102" s="607"/>
      <c r="BQ102" s="107"/>
      <c r="CC102" s="191" t="str">
        <f t="shared" si="78"/>
        <v/>
      </c>
      <c r="CD102" s="191" t="str">
        <f t="shared" si="79"/>
        <v/>
      </c>
      <c r="DR102" s="1048">
        <f t="shared" si="82"/>
        <v>0</v>
      </c>
      <c r="DS102" s="1048">
        <f t="shared" si="83"/>
        <v>0</v>
      </c>
      <c r="DT102" s="1048">
        <f t="shared" si="84"/>
        <v>0</v>
      </c>
      <c r="DU102" s="1048">
        <f t="shared" si="85"/>
        <v>0</v>
      </c>
    </row>
    <row r="103" spans="1:125" ht="15" customHeight="1" x14ac:dyDescent="0.25">
      <c r="A103" s="1784"/>
      <c r="B103" s="801" t="s">
        <v>228</v>
      </c>
      <c r="C103" s="289">
        <f>SUM(D103:E103)</f>
        <v>0</v>
      </c>
      <c r="D103" s="373">
        <v>0</v>
      </c>
      <c r="E103" s="734">
        <v>0</v>
      </c>
      <c r="F103" s="281">
        <v>0</v>
      </c>
      <c r="G103" s="374">
        <v>0</v>
      </c>
      <c r="H103" s="172" t="str">
        <f t="shared" si="81"/>
        <v/>
      </c>
      <c r="J103" s="76"/>
      <c r="K103" s="76"/>
      <c r="L103" s="76"/>
      <c r="M103" s="76"/>
      <c r="N103" s="76"/>
      <c r="AV103" s="607"/>
      <c r="BQ103" s="107"/>
      <c r="CC103" s="191" t="str">
        <f t="shared" si="78"/>
        <v/>
      </c>
      <c r="CD103" s="191" t="str">
        <f t="shared" si="79"/>
        <v/>
      </c>
      <c r="DR103" s="1048">
        <f t="shared" si="82"/>
        <v>0</v>
      </c>
      <c r="DS103" s="1048">
        <f t="shared" si="83"/>
        <v>0</v>
      </c>
      <c r="DT103" s="1048">
        <f t="shared" si="84"/>
        <v>0</v>
      </c>
      <c r="DU103" s="1048">
        <f t="shared" si="85"/>
        <v>0</v>
      </c>
    </row>
    <row r="104" spans="1:125" ht="15" customHeight="1" x14ac:dyDescent="0.25">
      <c r="A104" s="1784"/>
      <c r="B104" s="801" t="s">
        <v>229</v>
      </c>
      <c r="C104" s="289">
        <f>SUM(D104:E104)</f>
        <v>0</v>
      </c>
      <c r="D104" s="373">
        <v>0</v>
      </c>
      <c r="E104" s="734">
        <v>0</v>
      </c>
      <c r="F104" s="281">
        <v>0</v>
      </c>
      <c r="G104" s="374">
        <v>0</v>
      </c>
      <c r="H104" s="172" t="str">
        <f t="shared" si="81"/>
        <v/>
      </c>
      <c r="J104" s="76"/>
      <c r="K104" s="76"/>
      <c r="L104" s="76"/>
      <c r="M104" s="76"/>
      <c r="N104" s="76"/>
      <c r="AV104" s="607"/>
      <c r="BQ104" s="107"/>
      <c r="CC104" s="191" t="str">
        <f t="shared" si="78"/>
        <v/>
      </c>
      <c r="CD104" s="191" t="str">
        <f t="shared" si="79"/>
        <v/>
      </c>
      <c r="DR104" s="1048">
        <f t="shared" si="82"/>
        <v>0</v>
      </c>
      <c r="DS104" s="1048">
        <f t="shared" si="83"/>
        <v>0</v>
      </c>
      <c r="DT104" s="1048">
        <f t="shared" si="84"/>
        <v>0</v>
      </c>
      <c r="DU104" s="1048">
        <f t="shared" si="85"/>
        <v>0</v>
      </c>
    </row>
    <row r="105" spans="1:125" ht="15" customHeight="1" x14ac:dyDescent="0.25">
      <c r="A105" s="1685"/>
      <c r="B105" s="75" t="s">
        <v>230</v>
      </c>
      <c r="C105" s="372">
        <f>SUM(D105:E105)</f>
        <v>0</v>
      </c>
      <c r="D105" s="290">
        <v>0</v>
      </c>
      <c r="E105" s="735">
        <v>0</v>
      </c>
      <c r="F105" s="268">
        <v>0</v>
      </c>
      <c r="G105" s="312">
        <v>0</v>
      </c>
      <c r="H105" s="172" t="str">
        <f t="shared" si="81"/>
        <v/>
      </c>
      <c r="J105" s="222"/>
      <c r="K105" s="222"/>
      <c r="AV105" s="607"/>
      <c r="BQ105" s="107"/>
      <c r="CC105" s="191" t="str">
        <f t="shared" si="78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48">
        <f t="shared" si="82"/>
        <v>0</v>
      </c>
      <c r="DS105" s="1048">
        <f t="shared" si="83"/>
        <v>0</v>
      </c>
      <c r="DT105" s="1048">
        <f t="shared" si="84"/>
        <v>0</v>
      </c>
      <c r="DU105" s="1048">
        <f t="shared" si="85"/>
        <v>0</v>
      </c>
    </row>
    <row r="106" spans="1:125" ht="17.100000000000001" customHeight="1" x14ac:dyDescent="0.25">
      <c r="A106" s="1837" t="s">
        <v>281</v>
      </c>
      <c r="B106" s="1837"/>
      <c r="C106" s="1837"/>
      <c r="D106" s="1837"/>
      <c r="E106" s="1837"/>
      <c r="F106" s="1837"/>
      <c r="G106" s="1837"/>
      <c r="H106" s="1837"/>
      <c r="I106" s="1837"/>
      <c r="J106" s="1837"/>
      <c r="K106" s="183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48">
        <f t="shared" si="82"/>
        <v>0</v>
      </c>
      <c r="DS106" s="1048">
        <f t="shared" si="83"/>
        <v>0</v>
      </c>
      <c r="DT106" s="1048">
        <f t="shared" si="84"/>
        <v>0</v>
      </c>
      <c r="DU106" s="1048">
        <f t="shared" si="85"/>
        <v>0</v>
      </c>
    </row>
    <row r="107" spans="1:125" ht="21" customHeight="1" x14ac:dyDescent="0.25">
      <c r="A107" s="1728" t="s">
        <v>282</v>
      </c>
      <c r="B107" s="1708"/>
      <c r="C107" s="1752" t="s">
        <v>54</v>
      </c>
      <c r="D107" s="1835" t="s">
        <v>283</v>
      </c>
      <c r="E107" s="1787" t="s">
        <v>218</v>
      </c>
      <c r="F107" s="1787" t="s">
        <v>219</v>
      </c>
      <c r="G107" s="1787" t="s">
        <v>220</v>
      </c>
      <c r="H107" s="1787" t="s">
        <v>221</v>
      </c>
      <c r="I107" s="1787" t="s">
        <v>222</v>
      </c>
      <c r="J107" s="1791" t="s">
        <v>223</v>
      </c>
      <c r="K107" s="1789" t="s">
        <v>284</v>
      </c>
      <c r="L107" s="1785" t="s">
        <v>285</v>
      </c>
      <c r="M107" s="1708" t="s">
        <v>56</v>
      </c>
      <c r="N107" s="1708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7"/>
    </row>
    <row r="108" spans="1:125" ht="27" customHeight="1" x14ac:dyDescent="0.25">
      <c r="A108" s="1745"/>
      <c r="B108" s="1710"/>
      <c r="C108" s="1753"/>
      <c r="D108" s="1836"/>
      <c r="E108" s="1788"/>
      <c r="F108" s="1788"/>
      <c r="G108" s="1788"/>
      <c r="H108" s="1788"/>
      <c r="I108" s="1788"/>
      <c r="J108" s="1655"/>
      <c r="K108" s="1790"/>
      <c r="L108" s="1786"/>
      <c r="M108" s="1710"/>
      <c r="N108" s="1710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7"/>
    </row>
    <row r="109" spans="1:125" ht="15" customHeight="1" x14ac:dyDescent="0.25">
      <c r="A109" s="1792" t="s">
        <v>286</v>
      </c>
      <c r="B109" s="77" t="s">
        <v>287</v>
      </c>
      <c r="C109" s="321">
        <f>SUM(D109:K109)</f>
        <v>0</v>
      </c>
      <c r="D109" s="322">
        <v>0</v>
      </c>
      <c r="E109" s="375">
        <v>0</v>
      </c>
      <c r="F109" s="375">
        <v>0</v>
      </c>
      <c r="G109" s="375">
        <v>0</v>
      </c>
      <c r="H109" s="375">
        <v>0</v>
      </c>
      <c r="I109" s="375">
        <v>0</v>
      </c>
      <c r="J109" s="323">
        <v>0</v>
      </c>
      <c r="K109" s="802">
        <v>0</v>
      </c>
      <c r="L109" s="803"/>
      <c r="M109" s="703">
        <v>0</v>
      </c>
      <c r="N109" s="703">
        <v>0</v>
      </c>
      <c r="O109" s="109" t="str">
        <f>CC109&amp;CD109&amp;CE109&amp;CF109</f>
        <v/>
      </c>
      <c r="AW109" s="109"/>
      <c r="BR109" s="607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793"/>
      <c r="B110" s="78" t="s">
        <v>288</v>
      </c>
      <c r="C110" s="353">
        <f>SUM(D110:K110)</f>
        <v>1</v>
      </c>
      <c r="D110" s="354">
        <v>0</v>
      </c>
      <c r="E110" s="376">
        <v>0</v>
      </c>
      <c r="F110" s="376">
        <v>0</v>
      </c>
      <c r="G110" s="376">
        <v>0</v>
      </c>
      <c r="H110" s="376">
        <v>0</v>
      </c>
      <c r="I110" s="376">
        <v>1</v>
      </c>
      <c r="J110" s="355">
        <v>0</v>
      </c>
      <c r="K110" s="804">
        <v>0</v>
      </c>
      <c r="L110" s="377">
        <v>0</v>
      </c>
      <c r="M110" s="703">
        <v>0</v>
      </c>
      <c r="N110" s="703">
        <v>0</v>
      </c>
      <c r="O110" s="109" t="str">
        <f>CB110&amp;CC110&amp;CD110&amp;CE110&amp;CF110</f>
        <v/>
      </c>
      <c r="AW110" s="109"/>
      <c r="BR110" s="607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48">
        <f t="shared" ref="DQ110:DR112" si="86">IF(M109&gt;$C109,1,0)</f>
        <v>0</v>
      </c>
      <c r="DR110" s="1048">
        <f t="shared" si="86"/>
        <v>0</v>
      </c>
      <c r="DS110" s="1048">
        <f>IF(AND($C109&lt;&gt;0,N109=""),1,0)</f>
        <v>0</v>
      </c>
      <c r="DT110" s="1048">
        <f>IF(AND($C109&lt;&gt;0,N109=""),1,0)</f>
        <v>0</v>
      </c>
    </row>
    <row r="111" spans="1:125" ht="15" customHeight="1" x14ac:dyDescent="0.25">
      <c r="A111" s="1793"/>
      <c r="B111" s="79" t="s">
        <v>289</v>
      </c>
      <c r="C111" s="378">
        <f>SUM(D111:K111)</f>
        <v>0</v>
      </c>
      <c r="D111" s="328">
        <v>0</v>
      </c>
      <c r="E111" s="379">
        <v>0</v>
      </c>
      <c r="F111" s="379">
        <v>0</v>
      </c>
      <c r="G111" s="379">
        <v>0</v>
      </c>
      <c r="H111" s="379">
        <v>0</v>
      </c>
      <c r="I111" s="379">
        <v>0</v>
      </c>
      <c r="J111" s="329">
        <v>0</v>
      </c>
      <c r="K111" s="805">
        <v>0</v>
      </c>
      <c r="L111" s="380">
        <v>0</v>
      </c>
      <c r="M111" s="706">
        <v>0</v>
      </c>
      <c r="N111" s="706">
        <v>0</v>
      </c>
      <c r="O111" s="109" t="str">
        <f>CB111&amp;CC111&amp;CD111&amp;CE111&amp;CF111</f>
        <v/>
      </c>
      <c r="AW111" s="109"/>
      <c r="BR111" s="607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48">
        <f>IF($C110&lt;$L110, 1,0)</f>
        <v>0</v>
      </c>
      <c r="DQ111" s="1048">
        <f t="shared" si="86"/>
        <v>0</v>
      </c>
      <c r="DR111" s="1048">
        <f t="shared" si="86"/>
        <v>0</v>
      </c>
      <c r="DS111" s="1048">
        <f>IF(AND($C110&lt;&gt;0,N110=""),1,0)</f>
        <v>0</v>
      </c>
      <c r="DT111" s="1048">
        <f>IF(AND($C110&lt;&gt;0,N110=""),1,0)</f>
        <v>0</v>
      </c>
    </row>
    <row r="112" spans="1:125" ht="15" customHeight="1" x14ac:dyDescent="0.25">
      <c r="A112" s="1794"/>
      <c r="B112" s="1437" t="s">
        <v>94</v>
      </c>
      <c r="C112" s="314">
        <f>SUM(D112:K112)</f>
        <v>1</v>
      </c>
      <c r="D112" s="1409">
        <f t="shared" ref="D112:K112" si="87">SUM(D109:D111)</f>
        <v>0</v>
      </c>
      <c r="E112" s="1212">
        <f t="shared" si="87"/>
        <v>0</v>
      </c>
      <c r="F112" s="1212">
        <f t="shared" si="87"/>
        <v>0</v>
      </c>
      <c r="G112" s="1212">
        <f t="shared" si="87"/>
        <v>0</v>
      </c>
      <c r="H112" s="1212">
        <f t="shared" si="87"/>
        <v>0</v>
      </c>
      <c r="I112" s="1212">
        <f t="shared" si="87"/>
        <v>1</v>
      </c>
      <c r="J112" s="941">
        <f t="shared" ref="J112" si="88">SUM(J109:J111)</f>
        <v>0</v>
      </c>
      <c r="K112" s="1438">
        <f t="shared" si="87"/>
        <v>0</v>
      </c>
      <c r="L112" s="381">
        <f>SUM(L110:L111)</f>
        <v>0</v>
      </c>
      <c r="M112" s="1425">
        <f>SUM(M109:M111)</f>
        <v>0</v>
      </c>
      <c r="N112" s="1425">
        <f>SUM(N109:N111)</f>
        <v>0</v>
      </c>
      <c r="AW112" s="109"/>
      <c r="BR112" s="607"/>
      <c r="BT112" s="172"/>
      <c r="BU112" s="172"/>
      <c r="BV112" s="172"/>
      <c r="DP112" s="1048">
        <f>IF($C111&lt;$L111,1,0)</f>
        <v>0</v>
      </c>
      <c r="DQ112" s="1048">
        <f t="shared" si="86"/>
        <v>0</v>
      </c>
      <c r="DR112" s="1048">
        <f t="shared" si="86"/>
        <v>0</v>
      </c>
      <c r="DS112" s="1048">
        <f>IF(AND($C111&lt;&gt;0,N111=""),1,0)</f>
        <v>0</v>
      </c>
      <c r="DT112" s="1048">
        <f>IF(AND($C111&lt;&gt;0,N111=""),1,0)</f>
        <v>0</v>
      </c>
    </row>
    <row r="113" spans="1:107" ht="17.100000000000001" customHeight="1" x14ac:dyDescent="0.25">
      <c r="A113" s="1841" t="s">
        <v>290</v>
      </c>
      <c r="B113" s="1841"/>
      <c r="C113" s="1841"/>
      <c r="D113" s="1841"/>
      <c r="E113" s="1841"/>
      <c r="F113" s="1841"/>
      <c r="G113" s="1439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28" t="s">
        <v>291</v>
      </c>
      <c r="B114" s="1708"/>
      <c r="C114" s="1752" t="s">
        <v>54</v>
      </c>
      <c r="D114" s="1301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45"/>
      <c r="B115" s="1710"/>
      <c r="C115" s="1753"/>
      <c r="D115" s="70"/>
      <c r="E115" s="70"/>
      <c r="F115" s="70"/>
      <c r="G115" s="70"/>
      <c r="H115" s="70"/>
    </row>
    <row r="116" spans="1:107" ht="15" customHeight="1" x14ac:dyDescent="0.25">
      <c r="A116" s="1768" t="s">
        <v>292</v>
      </c>
      <c r="B116" s="1769"/>
      <c r="C116" s="382">
        <v>1</v>
      </c>
      <c r="E116" s="192"/>
      <c r="F116" s="192"/>
      <c r="G116" s="192"/>
      <c r="H116" s="192"/>
    </row>
    <row r="117" spans="1:107" ht="15" customHeight="1" x14ac:dyDescent="0.25">
      <c r="A117" s="1764" t="s">
        <v>293</v>
      </c>
      <c r="B117" s="1765"/>
      <c r="C117" s="383">
        <v>0</v>
      </c>
      <c r="E117" s="192"/>
      <c r="F117" s="192"/>
      <c r="G117" s="192"/>
      <c r="H117" s="192"/>
    </row>
    <row r="118" spans="1:107" ht="17.100000000000001" customHeight="1" x14ac:dyDescent="0.25">
      <c r="A118" s="1840" t="s">
        <v>294</v>
      </c>
      <c r="B118" s="1840"/>
      <c r="C118" s="1840"/>
      <c r="D118" s="686"/>
      <c r="E118" s="686"/>
      <c r="F118" s="686"/>
      <c r="G118" s="686"/>
      <c r="H118" s="222"/>
      <c r="J118" s="222"/>
    </row>
    <row r="119" spans="1:107" ht="15" customHeight="1" x14ac:dyDescent="0.25">
      <c r="A119" s="1760" t="s">
        <v>295</v>
      </c>
      <c r="B119" s="1761"/>
      <c r="C119" s="1758" t="s">
        <v>54</v>
      </c>
      <c r="H119" s="71"/>
    </row>
    <row r="120" spans="1:107" ht="15" customHeight="1" x14ac:dyDescent="0.25">
      <c r="A120" s="1762"/>
      <c r="B120" s="1763"/>
      <c r="C120" s="1759"/>
      <c r="H120" s="70"/>
    </row>
    <row r="121" spans="1:107" ht="15" customHeight="1" x14ac:dyDescent="0.25">
      <c r="A121" s="1754" t="s">
        <v>296</v>
      </c>
      <c r="B121" s="1755"/>
      <c r="C121" s="382">
        <v>0</v>
      </c>
    </row>
    <row r="122" spans="1:107" ht="15" customHeight="1" x14ac:dyDescent="0.25">
      <c r="A122" s="1774" t="s">
        <v>297</v>
      </c>
      <c r="B122" s="1775"/>
      <c r="C122" s="685">
        <v>0</v>
      </c>
    </row>
    <row r="123" spans="1:107" ht="15" customHeight="1" x14ac:dyDescent="0.25">
      <c r="A123" s="1756" t="s">
        <v>298</v>
      </c>
      <c r="B123" s="1757"/>
      <c r="C123" s="685">
        <v>0</v>
      </c>
    </row>
    <row r="124" spans="1:107" ht="15" customHeight="1" x14ac:dyDescent="0.25">
      <c r="A124" s="1756" t="s">
        <v>299</v>
      </c>
      <c r="B124" s="1757"/>
      <c r="C124" s="685">
        <v>0</v>
      </c>
    </row>
    <row r="125" spans="1:107" ht="15" customHeight="1" x14ac:dyDescent="0.25">
      <c r="A125" s="1756" t="s">
        <v>300</v>
      </c>
      <c r="B125" s="1757"/>
      <c r="C125" s="752">
        <v>0</v>
      </c>
    </row>
    <row r="126" spans="1:107" ht="15" customHeight="1" x14ac:dyDescent="0.25">
      <c r="A126" s="1770" t="s">
        <v>94</v>
      </c>
      <c r="B126" s="1771"/>
      <c r="C126" s="1440">
        <f>SUM(C121:C125)</f>
        <v>0</v>
      </c>
    </row>
    <row r="127" spans="1:107" ht="17.100000000000001" customHeight="1" x14ac:dyDescent="0.25">
      <c r="A127" s="1839" t="s">
        <v>301</v>
      </c>
      <c r="B127" s="1839"/>
      <c r="C127" s="1839"/>
      <c r="D127" s="1839"/>
      <c r="E127" s="1839"/>
      <c r="F127" s="1839"/>
      <c r="G127" s="1839"/>
      <c r="H127" s="1839"/>
      <c r="I127" s="1839"/>
      <c r="J127" s="1839"/>
      <c r="K127" s="1839"/>
    </row>
    <row r="128" spans="1:107" ht="15" customHeight="1" x14ac:dyDescent="0.25">
      <c r="A128" s="1728" t="s">
        <v>302</v>
      </c>
      <c r="B128" s="1708"/>
      <c r="C128" s="1728" t="s">
        <v>94</v>
      </c>
      <c r="D128" s="1766"/>
      <c r="E128" s="1708"/>
      <c r="F128" s="1831" t="s">
        <v>303</v>
      </c>
      <c r="G128" s="1832"/>
      <c r="H128" s="1832"/>
      <c r="I128" s="1832"/>
      <c r="J128" s="1832"/>
      <c r="K128" s="1833"/>
      <c r="L128" s="1725" t="s">
        <v>304</v>
      </c>
      <c r="AW128" s="109"/>
      <c r="AX128" s="109"/>
      <c r="AY128" s="109"/>
      <c r="AZ128" s="109"/>
      <c r="BA128" s="109"/>
      <c r="BR128" s="607"/>
      <c r="BS128" s="607"/>
      <c r="BT128" s="607"/>
      <c r="BU128" s="607"/>
      <c r="BV128" s="607"/>
    </row>
    <row r="129" spans="1:125" ht="15" customHeight="1" x14ac:dyDescent="0.25">
      <c r="A129" s="1744"/>
      <c r="B129" s="1709"/>
      <c r="C129" s="1745"/>
      <c r="D129" s="1767"/>
      <c r="E129" s="1710"/>
      <c r="F129" s="1705" t="s">
        <v>305</v>
      </c>
      <c r="G129" s="1707"/>
      <c r="H129" s="1834" t="s">
        <v>306</v>
      </c>
      <c r="I129" s="1707"/>
      <c r="J129" s="1834" t="s">
        <v>307</v>
      </c>
      <c r="K129" s="1706"/>
      <c r="L129" s="1723"/>
      <c r="AW129" s="109"/>
      <c r="AX129" s="109"/>
      <c r="AY129" s="109"/>
      <c r="AZ129" s="109"/>
      <c r="BA129" s="109"/>
      <c r="BR129" s="607"/>
      <c r="BS129" s="607"/>
      <c r="BT129" s="607"/>
      <c r="BU129" s="607"/>
      <c r="BV129" s="607"/>
    </row>
    <row r="130" spans="1:125" ht="15" customHeight="1" x14ac:dyDescent="0.25">
      <c r="A130" s="1745"/>
      <c r="B130" s="1710"/>
      <c r="C130" s="1442" t="s">
        <v>94</v>
      </c>
      <c r="D130" s="604" t="s">
        <v>91</v>
      </c>
      <c r="E130" s="698" t="s">
        <v>232</v>
      </c>
      <c r="F130" s="1428" t="s">
        <v>91</v>
      </c>
      <c r="G130" s="1428" t="s">
        <v>232</v>
      </c>
      <c r="H130" s="1428" t="s">
        <v>91</v>
      </c>
      <c r="I130" s="1428" t="s">
        <v>232</v>
      </c>
      <c r="J130" s="981" t="s">
        <v>91</v>
      </c>
      <c r="K130" s="1402" t="s">
        <v>232</v>
      </c>
      <c r="L130" s="1724"/>
      <c r="AW130" s="109"/>
      <c r="AX130" s="109"/>
      <c r="AY130" s="109"/>
      <c r="AZ130" s="109"/>
      <c r="BA130" s="109"/>
      <c r="BR130" s="607"/>
      <c r="BS130" s="607"/>
      <c r="BT130" s="607"/>
      <c r="BU130" s="607"/>
      <c r="BV130" s="607"/>
    </row>
    <row r="131" spans="1:125" ht="15" customHeight="1" x14ac:dyDescent="0.25">
      <c r="A131" s="1734" t="s">
        <v>308</v>
      </c>
      <c r="B131" s="1735"/>
      <c r="C131" s="1141">
        <f>SUM(D131:E131)</f>
        <v>0</v>
      </c>
      <c r="D131" s="700">
        <f>+F131+H131+J131</f>
        <v>0</v>
      </c>
      <c r="E131" s="938">
        <f>+G131+I131+K131</f>
        <v>0</v>
      </c>
      <c r="F131" s="322">
        <v>0</v>
      </c>
      <c r="G131" s="325">
        <v>0</v>
      </c>
      <c r="H131" s="325">
        <v>0</v>
      </c>
      <c r="I131" s="375">
        <v>0</v>
      </c>
      <c r="J131" s="375">
        <v>0</v>
      </c>
      <c r="K131" s="701">
        <v>0</v>
      </c>
      <c r="L131" s="701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7"/>
      <c r="BS131" s="607"/>
      <c r="BT131" s="607"/>
      <c r="BU131" s="607"/>
      <c r="BV131" s="607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IF(SUM(H131)&lt;=SUM(AF12,F45),"","*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IF(SUM(J131)&lt;=SUM(H45+J45+L45+N45),"","* Hombres de 6 a 9 años clasificados debe ser menor o igual al Total de la población de Hombres bajo control de en sección A1 misma edad ")</f>
        <v/>
      </c>
      <c r="CF131" s="191" t="str">
        <f>IF(SUM(K131)&lt;=SUM(I45+K45+M45+O45),"","*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48">
        <f>IF(SUM(F131)&lt;=SUM(AB$12+AD$12),0,1)</f>
        <v>0</v>
      </c>
      <c r="DQ131" s="1048">
        <f>IF(SUM($G$131)&lt;=SUM(AC$12+AE$12),0,1)</f>
        <v>0</v>
      </c>
      <c r="DR131" s="1048">
        <f>IF(SUM($H131)&lt;=SUM($AF$12,$F$45),0,1)</f>
        <v>0</v>
      </c>
      <c r="DS131" s="1048">
        <f>IF(SUM($I131)&lt;=SUM($AG$12,$G$45),0,1)</f>
        <v>0</v>
      </c>
      <c r="DT131" s="1048">
        <f>IF(SUM($J131)&lt;=SUM($H$45+J45+L45+$N$45),0,1)</f>
        <v>0</v>
      </c>
      <c r="DU131" s="1048">
        <f>IF(SUM($K131)&lt;=SUM($I$45+K45+M45+$O$45),0,1)</f>
        <v>0</v>
      </c>
    </row>
    <row r="132" spans="1:125" ht="15" customHeight="1" x14ac:dyDescent="0.25">
      <c r="A132" s="1750" t="s">
        <v>309</v>
      </c>
      <c r="B132" s="1751"/>
      <c r="C132" s="1140">
        <f t="shared" ref="C132:C134" si="89">SUM(D132:E132)</f>
        <v>0</v>
      </c>
      <c r="D132" s="702">
        <f t="shared" ref="D132:D134" si="90">+F132+H132+J132</f>
        <v>0</v>
      </c>
      <c r="E132" s="939">
        <f t="shared" ref="E132:E134" si="91">+G132+I132+K132</f>
        <v>0</v>
      </c>
      <c r="F132" s="354">
        <v>0</v>
      </c>
      <c r="G132" s="357">
        <v>0</v>
      </c>
      <c r="H132" s="357">
        <v>0</v>
      </c>
      <c r="I132" s="376">
        <v>0</v>
      </c>
      <c r="J132" s="376">
        <v>0</v>
      </c>
      <c r="K132" s="703">
        <v>0</v>
      </c>
      <c r="L132" s="703">
        <v>0</v>
      </c>
      <c r="M132" s="109" t="str">
        <f t="shared" ref="M132:M134" si="92">CA132&amp;CB132&amp;CC132&amp;CD132&amp;CE132&amp;CF132&amp;CG132</f>
        <v/>
      </c>
      <c r="AW132" s="109"/>
      <c r="AX132" s="109"/>
      <c r="AY132" s="109"/>
      <c r="AZ132" s="109"/>
      <c r="BA132" s="109"/>
      <c r="BR132" s="607"/>
      <c r="BS132" s="607"/>
      <c r="BT132" s="607"/>
      <c r="BU132" s="607"/>
      <c r="BV132" s="607"/>
      <c r="BX132" s="172"/>
      <c r="BY132" s="172"/>
      <c r="BZ132" s="172"/>
      <c r="CA132" s="191" t="str">
        <f t="shared" ref="CA132:CA134" si="93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94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95">IF(SUM(H132)&lt;=SUM(AF13,F46),"","* Hombres de 48 a 71 meses clasificados debe ser menor o igual al Total de la población de Hombres bajo control de en sección A y A1 de la misma edad. ")</f>
        <v/>
      </c>
      <c r="CD132" s="191" t="str">
        <f t="shared" ref="CD132:CD134" si="96">IF(SUM(I132)&lt;=SUM(AG13,G46),"","* Mujeres de 48 a 71 meses clasificados debe ser menor o igual al Total de la población de Mujeres bajo control de en sección A y A1 de la misma edad. ")</f>
        <v/>
      </c>
      <c r="CE132" s="191" t="str">
        <f t="shared" ref="CE132:CE133" si="97">IF(SUM(J132)&lt;=SUM(H46+J46+L46+N46),"","* Hombres de 6 a 9 años clasificados debe ser menor o igual al Total de la población de Hombres bajo control de en sección A1 misma edad ")</f>
        <v/>
      </c>
      <c r="CF132" s="191" t="str">
        <f t="shared" ref="CF132:CF134" si="98">IF(SUM(K132)&lt;=SUM(I46+K46+M46+O46),"","* Mujeres de 6 a 9 años clasificados debe ser menor o igual al Total de la población de Mujeres bajo control de en sección A1 misma edad ")</f>
        <v/>
      </c>
      <c r="CG132" s="191" t="str">
        <f t="shared" ref="CG132:CG134" si="99">IF(AND(C132&gt;0,OR(L132=""))," * No olvide digitar la variable Derivación Nivel Secundario. Digite Cero si no tiene.",IF(L132&gt;C132," * La variable Derivación Nivel Secundario no puede ser Mayor al Total.",""))</f>
        <v/>
      </c>
      <c r="DP132" s="1048">
        <f t="shared" ref="DP132:DP134" si="100">IF(SUM(F132)&lt;=SUM(AB$12+AD$12),0,1)</f>
        <v>0</v>
      </c>
      <c r="DQ132" s="1048">
        <f t="shared" ref="DQ132:DQ134" si="101">IF(SUM($G$131)&lt;=SUM(AC$12+AE$12),0,1)</f>
        <v>0</v>
      </c>
      <c r="DR132" s="1048">
        <f t="shared" ref="DR132:DR134" si="102">IF(SUM($H132)&lt;=SUM($AF$12,$F$45),0,1)</f>
        <v>0</v>
      </c>
      <c r="DS132" s="1048">
        <f t="shared" ref="DS132:DS133" si="103">IF(SUM($I132)&lt;=SUM($AG$12,$G$45),0,1)</f>
        <v>0</v>
      </c>
      <c r="DT132" s="1048">
        <f t="shared" ref="DT132:DT134" si="104">IF(SUM($J132)&lt;=SUM($H$45+J46+L46+$N$45),0,1)</f>
        <v>0</v>
      </c>
      <c r="DU132" s="1048">
        <f t="shared" ref="DU132:DU134" si="105">IF(SUM($K132)&lt;=SUM($I$45+K46+M46+$O$45),0,1)</f>
        <v>0</v>
      </c>
    </row>
    <row r="133" spans="1:125" ht="15" customHeight="1" x14ac:dyDescent="0.25">
      <c r="A133" s="1750" t="s">
        <v>310</v>
      </c>
      <c r="B133" s="1751"/>
      <c r="C133" s="1140">
        <f t="shared" si="89"/>
        <v>0</v>
      </c>
      <c r="D133" s="702">
        <f>+F133+H133+J133</f>
        <v>0</v>
      </c>
      <c r="E133" s="939">
        <f t="shared" si="91"/>
        <v>0</v>
      </c>
      <c r="F133" s="354">
        <v>0</v>
      </c>
      <c r="G133" s="357">
        <v>0</v>
      </c>
      <c r="H133" s="357">
        <v>0</v>
      </c>
      <c r="I133" s="376">
        <v>0</v>
      </c>
      <c r="J133" s="376">
        <v>0</v>
      </c>
      <c r="K133" s="703">
        <v>0</v>
      </c>
      <c r="L133" s="703">
        <v>0</v>
      </c>
      <c r="M133" s="109" t="str">
        <f t="shared" si="92"/>
        <v/>
      </c>
      <c r="AW133" s="109"/>
      <c r="AX133" s="109"/>
      <c r="AY133" s="109"/>
      <c r="AZ133" s="109"/>
      <c r="BA133" s="109"/>
      <c r="BR133" s="607"/>
      <c r="BS133" s="607"/>
      <c r="BT133" s="607"/>
      <c r="BU133" s="607"/>
      <c r="BV133" s="607"/>
      <c r="BX133" s="172"/>
      <c r="BY133" s="172"/>
      <c r="BZ133" s="172"/>
      <c r="CA133" s="191" t="str">
        <f t="shared" si="93"/>
        <v/>
      </c>
      <c r="CB133" s="191" t="str">
        <f t="shared" si="94"/>
        <v/>
      </c>
      <c r="CC133" s="191" t="str">
        <f t="shared" si="95"/>
        <v/>
      </c>
      <c r="CD133" s="191" t="str">
        <f t="shared" si="96"/>
        <v/>
      </c>
      <c r="CE133" s="191" t="str">
        <f t="shared" si="97"/>
        <v/>
      </c>
      <c r="CF133" s="191" t="str">
        <f t="shared" si="98"/>
        <v/>
      </c>
      <c r="CG133" s="191" t="str">
        <f t="shared" si="99"/>
        <v/>
      </c>
      <c r="DP133" s="1048">
        <f t="shared" si="100"/>
        <v>0</v>
      </c>
      <c r="DQ133" s="1048">
        <f t="shared" si="101"/>
        <v>0</v>
      </c>
      <c r="DR133" s="1048">
        <f t="shared" si="102"/>
        <v>0</v>
      </c>
      <c r="DS133" s="1048">
        <f t="shared" si="103"/>
        <v>0</v>
      </c>
      <c r="DT133" s="1048">
        <f t="shared" si="104"/>
        <v>0</v>
      </c>
      <c r="DU133" s="1048">
        <f t="shared" si="105"/>
        <v>0</v>
      </c>
    </row>
    <row r="134" spans="1:125" ht="15" customHeight="1" x14ac:dyDescent="0.25">
      <c r="A134" s="1738" t="s">
        <v>311</v>
      </c>
      <c r="B134" s="1739"/>
      <c r="C134" s="1142">
        <f t="shared" si="89"/>
        <v>0</v>
      </c>
      <c r="D134" s="704">
        <f t="shared" si="90"/>
        <v>0</v>
      </c>
      <c r="E134" s="940">
        <f t="shared" si="91"/>
        <v>0</v>
      </c>
      <c r="F134" s="328">
        <v>0</v>
      </c>
      <c r="G134" s="331">
        <v>0</v>
      </c>
      <c r="H134" s="331">
        <v>0</v>
      </c>
      <c r="I134" s="379">
        <v>0</v>
      </c>
      <c r="J134" s="379">
        <v>0</v>
      </c>
      <c r="K134" s="706">
        <v>0</v>
      </c>
      <c r="L134" s="706">
        <v>0</v>
      </c>
      <c r="M134" s="109" t="str">
        <f t="shared" si="92"/>
        <v/>
      </c>
      <c r="AW134" s="109"/>
      <c r="AX134" s="109"/>
      <c r="AY134" s="109"/>
      <c r="AZ134" s="109"/>
      <c r="BA134" s="109"/>
      <c r="BR134" s="607"/>
      <c r="BS134" s="607"/>
      <c r="BT134" s="607"/>
      <c r="BU134" s="607"/>
      <c r="BV134" s="607"/>
      <c r="BX134" s="172"/>
      <c r="BY134" s="172"/>
      <c r="BZ134" s="172"/>
      <c r="CA134" s="191" t="str">
        <f t="shared" si="93"/>
        <v/>
      </c>
      <c r="CB134" s="191" t="str">
        <f t="shared" si="94"/>
        <v/>
      </c>
      <c r="CC134" s="191" t="str">
        <f t="shared" si="95"/>
        <v/>
      </c>
      <c r="CD134" s="191" t="str">
        <f t="shared" si="96"/>
        <v/>
      </c>
      <c r="CE134" s="191" t="str">
        <f>IF(SUM(J134)&lt;=SUM(H48+J48+L48+N48),"","* Hombres de 6 a 9 años clasificados debe ser menor o igual al Total de la población de Hombres bajo control de en sección A1 misma edad ")</f>
        <v/>
      </c>
      <c r="CF134" s="191" t="str">
        <f t="shared" si="98"/>
        <v/>
      </c>
      <c r="CG134" s="191" t="str">
        <f t="shared" si="99"/>
        <v/>
      </c>
      <c r="DP134" s="1048">
        <f t="shared" si="100"/>
        <v>0</v>
      </c>
      <c r="DQ134" s="1048">
        <f t="shared" si="101"/>
        <v>0</v>
      </c>
      <c r="DR134" s="1048">
        <f t="shared" si="102"/>
        <v>0</v>
      </c>
      <c r="DS134" s="1048">
        <f>IF(SUM($I134)&lt;=SUM($AG$12,$G$45),0,1)</f>
        <v>0</v>
      </c>
      <c r="DT134" s="1048">
        <f t="shared" si="104"/>
        <v>0</v>
      </c>
      <c r="DU134" s="1048">
        <f t="shared" si="105"/>
        <v>0</v>
      </c>
    </row>
    <row r="135" spans="1:125" ht="15" customHeight="1" x14ac:dyDescent="0.25">
      <c r="A135" s="1772" t="s">
        <v>94</v>
      </c>
      <c r="B135" s="1773"/>
      <c r="C135" s="1443">
        <f>SUM(D135:E135)</f>
        <v>0</v>
      </c>
      <c r="D135" s="1444">
        <f>+F135+H135+J135</f>
        <v>0</v>
      </c>
      <c r="E135" s="1425">
        <f>+G135+I135+K135</f>
        <v>0</v>
      </c>
      <c r="F135" s="1409">
        <f>SUM(F131:F134)</f>
        <v>0</v>
      </c>
      <c r="G135" s="1410">
        <f>SUM(G131:G134)</f>
        <v>0</v>
      </c>
      <c r="H135" s="1410">
        <f t="shared" ref="H135:J135" si="106">SUM(H131:H134)</f>
        <v>0</v>
      </c>
      <c r="I135" s="1212">
        <f t="shared" si="106"/>
        <v>0</v>
      </c>
      <c r="J135" s="1212">
        <f t="shared" si="106"/>
        <v>0</v>
      </c>
      <c r="K135" s="1425">
        <f>SUM(K131:K134)</f>
        <v>0</v>
      </c>
      <c r="L135" s="1425">
        <f>SUM(L131:L134)</f>
        <v>0</v>
      </c>
      <c r="AW135" s="109"/>
      <c r="AX135" s="109"/>
      <c r="AY135" s="109"/>
      <c r="AZ135" s="109"/>
      <c r="BA135" s="109"/>
      <c r="BR135" s="607"/>
      <c r="BS135" s="607"/>
      <c r="BT135" s="607"/>
      <c r="BU135" s="607"/>
      <c r="BV135" s="607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838" t="s">
        <v>312</v>
      </c>
      <c r="B136" s="1838"/>
      <c r="C136" s="1838"/>
      <c r="D136" s="1838"/>
      <c r="E136" s="1838"/>
      <c r="F136" s="1838"/>
      <c r="G136" s="1838"/>
      <c r="H136" s="1838"/>
      <c r="I136" s="1838"/>
      <c r="AW136" s="109"/>
      <c r="BR136" s="607"/>
      <c r="BT136" s="172"/>
      <c r="BU136" s="172"/>
      <c r="BV136" s="172"/>
    </row>
    <row r="137" spans="1:125" ht="15" customHeight="1" x14ac:dyDescent="0.25">
      <c r="A137" s="1728" t="s">
        <v>282</v>
      </c>
      <c r="B137" s="1708"/>
      <c r="C137" s="1752" t="s">
        <v>54</v>
      </c>
      <c r="D137" s="1831" t="s">
        <v>303</v>
      </c>
      <c r="E137" s="1832"/>
      <c r="F137" s="1832"/>
      <c r="G137" s="1832"/>
      <c r="H137" s="1832"/>
      <c r="I137" s="1833"/>
      <c r="BS137" s="172"/>
      <c r="BT137" s="172"/>
      <c r="BU137" s="172"/>
    </row>
    <row r="138" spans="1:125" ht="22.15" customHeight="1" x14ac:dyDescent="0.25">
      <c r="A138" s="1745"/>
      <c r="B138" s="1710"/>
      <c r="C138" s="1753"/>
      <c r="D138" s="1434" t="s">
        <v>313</v>
      </c>
      <c r="E138" s="1435" t="s">
        <v>314</v>
      </c>
      <c r="F138" s="1435" t="s">
        <v>227</v>
      </c>
      <c r="G138" s="1435" t="s">
        <v>305</v>
      </c>
      <c r="H138" s="1435" t="s">
        <v>230</v>
      </c>
      <c r="I138" s="1436" t="s">
        <v>315</v>
      </c>
      <c r="BS138" s="172"/>
      <c r="BT138" s="172"/>
      <c r="BU138" s="172"/>
    </row>
    <row r="139" spans="1:125" ht="15" customHeight="1" x14ac:dyDescent="0.25">
      <c r="A139" s="1734" t="s">
        <v>316</v>
      </c>
      <c r="B139" s="1735"/>
      <c r="C139" s="321">
        <f>SUM(D139:I139)</f>
        <v>0</v>
      </c>
      <c r="D139" s="322">
        <v>0</v>
      </c>
      <c r="E139" s="375">
        <v>0</v>
      </c>
      <c r="F139" s="375">
        <v>0</v>
      </c>
      <c r="G139" s="375">
        <v>0</v>
      </c>
      <c r="H139" s="375">
        <v>0</v>
      </c>
      <c r="I139" s="323">
        <v>0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 Niños(as) de 4 a 11 ms clasificados debe ser menor o igual al Total niños diagnostidos en NORMAL sección A misma edad. ")</f>
        <v/>
      </c>
      <c r="CB139" s="191" t="str">
        <f>IF($E139&lt;=SUM($V$36:$Y$36),"","* Niños(as) de 12 a 23 ms clasificados debe ser menor o igual al Total niños diagnosticados en NORMAL en sección A misma edad. ")</f>
        <v/>
      </c>
      <c r="CC139" s="191" t="str">
        <f>IF($F139&lt;=SUM($Z$36:$AA$36),"","* Niños(as) de 24 a 35 ms clasificados debe ser menor o igual al Total niños diagnosticados en NORMAL en sección A misma edad. ")</f>
        <v/>
      </c>
      <c r="CD139" s="191" t="str">
        <f>IF($G139&lt;=SUM($AB$36:$AE$36),"","* Niños(as) de 36 a 47 ms clasificados Sin Riesgo debe ser menor o igual a la suma de Diagnostico Nutricional Integrado: Normal de sección A, mismos Grupos de edad. ")</f>
        <v/>
      </c>
      <c r="CE139" s="191" t="str">
        <f>IF($H139&lt;=SUM($AF$36:$AG$36),"","* Niños(as) de 48 a 59 ms clasificados debe ser menor o igual al Total niños diagnosticados en NORMAL en sección A misma edad. ")</f>
        <v/>
      </c>
      <c r="CF139" s="191" t="str">
        <f>IF($I139&lt;=SUM($F$70:$G$70),"","* Niños(as) de 60 a 71 ms clasificados debe ser menor o igual al Total niños diagnosticados en NORMAL en sección A1 misma edad. ")</f>
        <v/>
      </c>
      <c r="DP139" s="1048">
        <f>IF($D139&lt;=SUM($N$36:$U$36),0,1)</f>
        <v>0</v>
      </c>
      <c r="DQ139" s="1048">
        <f>IF($E139&lt;=SUM($V$36:$Y$36),0,1)</f>
        <v>0</v>
      </c>
      <c r="DR139" s="1048">
        <f>IF($F139&lt;=SUM($Z$36:$AA$36),0,1)</f>
        <v>0</v>
      </c>
      <c r="DS139" s="1048">
        <f>IF($G139&lt;=SUM($AB$36:$AC$36),0,1)</f>
        <v>0</v>
      </c>
      <c r="DT139" s="1048">
        <f>IF($H139&lt;=SUM($AF$36:$AG$36),0,1)</f>
        <v>0</v>
      </c>
      <c r="DU139" s="1048">
        <f>IF($I139&lt;=SUM($F$70:$G$70),0,1)</f>
        <v>0</v>
      </c>
    </row>
    <row r="140" spans="1:125" ht="15" customHeight="1" x14ac:dyDescent="0.25">
      <c r="A140" s="1738" t="s">
        <v>317</v>
      </c>
      <c r="B140" s="1739"/>
      <c r="C140" s="378">
        <f>SUM(D140:I140)</f>
        <v>0</v>
      </c>
      <c r="D140" s="328">
        <v>0</v>
      </c>
      <c r="E140" s="379">
        <v>0</v>
      </c>
      <c r="F140" s="379">
        <v>0</v>
      </c>
      <c r="G140" s="379">
        <v>0</v>
      </c>
      <c r="H140" s="379">
        <v>0</v>
      </c>
      <c r="I140" s="329">
        <v>0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 Niños(as) de 4 a 11 ms clasificados debe ser menor o igual al Total niños diagnostidos en NORMAL sección A misma edad. ")</f>
        <v/>
      </c>
      <c r="CB140" s="191" t="str">
        <f>IF($E140&lt;=SUM($V$36:$Y$36),"","* Niños(as) de 12 a 23 ms clasificados debe ser menor o igual al Total niños diagnosticados en NORMAL en sección A misma edad. ")</f>
        <v/>
      </c>
      <c r="CC140" s="191" t="str">
        <f>IF($F140&lt;=SUM($Z$36:$AA$36),"","* Niños(as) de 24 a 35 ms clasificados debe ser menor o igual al Total niños diagnosticados en NORMAL en sección A misma edad. ")</f>
        <v/>
      </c>
      <c r="CD140" s="191" t="str">
        <f>IF($G140&lt;=SUM($AB$32:$AE$32),"","* Niños(as) de 36 a 47 ms. clasificados Con Riesgo debe ser menor o igual a la suma de Diagnostico Nutricional Integrado: Riesgo de denutrir de sección A, mismos Grupos de edad. ")</f>
        <v/>
      </c>
      <c r="CE140" s="191" t="str">
        <f>IF($H140&lt;=SUM($AF$36:$AG$36),"","* Niños(as) de 48 a 59 ms clasificados debe ser menor o igual al Total niños diagnosticados en NORMAL en sección A misma edad. ")</f>
        <v/>
      </c>
      <c r="CF140" s="191" t="str">
        <f>IF($I140&lt;=SUM($F$70:$G$70),"","* Niños(as) de 60 a 71 ms clasificados debe ser menor o igual al Total niños diagnosticados en NORMAL en sección A1 misma edad. ")</f>
        <v/>
      </c>
      <c r="DP140" s="1048">
        <f t="shared" ref="DP140" si="107">IF($D140&lt;=SUM($N$36:$U$36),0,1)</f>
        <v>0</v>
      </c>
      <c r="DQ140" s="1048">
        <f>IF($E140&lt;=SUM($V$36:$Y$36),0,1)</f>
        <v>0</v>
      </c>
      <c r="DR140" s="1048">
        <f>IF($F140&lt;=SUM($Z$36:$AA$36),0,1)</f>
        <v>0</v>
      </c>
      <c r="DS140" s="1048">
        <f>IF($G140&lt;=SUM($AB$36:$AC$36),0,1)</f>
        <v>0</v>
      </c>
      <c r="DT140" s="1048">
        <f>IF($H140&lt;=SUM($AF$36:$AG$36),0,1)</f>
        <v>0</v>
      </c>
      <c r="DU140" s="1048">
        <f>IF($I140&lt;=SUM($F$70:$G$70),0,1)</f>
        <v>0</v>
      </c>
    </row>
    <row r="141" spans="1:125" ht="15" customHeight="1" x14ac:dyDescent="0.25">
      <c r="A141" s="1772" t="s">
        <v>94</v>
      </c>
      <c r="B141" s="1773"/>
      <c r="C141" s="1408">
        <f>SUM(D141:I141)</f>
        <v>0</v>
      </c>
      <c r="D141" s="1409">
        <f t="shared" ref="D141:I141" si="108">SUM(D139:D140)</f>
        <v>0</v>
      </c>
      <c r="E141" s="1212">
        <f t="shared" si="108"/>
        <v>0</v>
      </c>
      <c r="F141" s="1212">
        <f t="shared" si="108"/>
        <v>0</v>
      </c>
      <c r="G141" s="1410">
        <f t="shared" si="108"/>
        <v>0</v>
      </c>
      <c r="H141" s="1212">
        <f t="shared" si="108"/>
        <v>0</v>
      </c>
      <c r="I141" s="941">
        <f t="shared" si="108"/>
        <v>0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837" t="s">
        <v>318</v>
      </c>
      <c r="B142" s="1837"/>
      <c r="C142" s="1837"/>
      <c r="D142" s="1837"/>
      <c r="E142" s="1837"/>
      <c r="F142" s="1837"/>
      <c r="G142" s="1837"/>
      <c r="H142" s="1837"/>
      <c r="I142" s="1837"/>
      <c r="J142" s="1837"/>
      <c r="K142" s="1837"/>
      <c r="L142" s="1837"/>
      <c r="M142" s="1837"/>
      <c r="N142" s="1837"/>
      <c r="O142" s="1837"/>
      <c r="P142" s="1837"/>
      <c r="Q142" s="1837"/>
      <c r="R142" s="1837"/>
      <c r="S142" s="1837"/>
      <c r="T142" s="1837"/>
      <c r="U142" s="1837"/>
      <c r="V142" s="1837"/>
      <c r="W142" s="1837"/>
      <c r="X142" s="1837"/>
      <c r="Y142" s="1837"/>
      <c r="Z142" s="1837"/>
      <c r="AA142" s="1837"/>
      <c r="AB142" s="1837"/>
      <c r="AC142" s="1837"/>
      <c r="AD142" s="1837"/>
      <c r="AE142" s="1837"/>
      <c r="AF142" s="1837"/>
      <c r="AG142" s="1837"/>
      <c r="AH142" s="1837"/>
      <c r="AI142" s="1837"/>
      <c r="AJ142" s="1837"/>
      <c r="AK142" s="1837"/>
      <c r="AL142" s="1837"/>
      <c r="AM142" s="1837"/>
      <c r="AN142" s="1837"/>
      <c r="AO142" s="1837"/>
      <c r="AP142" s="1837"/>
      <c r="AQ142" s="1837"/>
      <c r="AR142" s="107"/>
      <c r="AS142" s="107"/>
      <c r="AT142" s="107"/>
      <c r="AU142" s="107"/>
      <c r="AV142" s="107"/>
    </row>
    <row r="143" spans="1:125" ht="15" customHeight="1" x14ac:dyDescent="0.25">
      <c r="A143" s="1776" t="s">
        <v>319</v>
      </c>
      <c r="B143" s="1777"/>
      <c r="C143" s="1842" t="s">
        <v>54</v>
      </c>
      <c r="D143" s="1843"/>
      <c r="E143" s="1844"/>
      <c r="F143" s="1824" t="s">
        <v>251</v>
      </c>
      <c r="G143" s="1825"/>
      <c r="H143" s="1825"/>
      <c r="I143" s="1825"/>
      <c r="J143" s="1825"/>
      <c r="K143" s="1825"/>
      <c r="L143" s="1825"/>
      <c r="M143" s="1825"/>
      <c r="N143" s="1825"/>
      <c r="O143" s="1825"/>
      <c r="P143" s="1825"/>
      <c r="Q143" s="1825"/>
      <c r="R143" s="1825"/>
      <c r="S143" s="1825"/>
      <c r="T143" s="1825"/>
      <c r="U143" s="1825"/>
      <c r="V143" s="1825"/>
      <c r="W143" s="1825"/>
      <c r="X143" s="1825"/>
      <c r="Y143" s="1825"/>
      <c r="Z143" s="1825"/>
      <c r="AA143" s="1825"/>
      <c r="AB143" s="1825"/>
      <c r="AC143" s="1825"/>
      <c r="AD143" s="1825"/>
      <c r="AE143" s="1825"/>
      <c r="AF143" s="1825"/>
      <c r="AG143" s="1825"/>
      <c r="AH143" s="1825"/>
      <c r="AI143" s="1825"/>
      <c r="AJ143" s="1825"/>
      <c r="AK143" s="1825"/>
      <c r="AL143" s="1825"/>
      <c r="AM143" s="1825"/>
      <c r="AN143" s="1825"/>
      <c r="AO143" s="1825"/>
      <c r="AP143" s="1825"/>
      <c r="AQ143" s="1826"/>
      <c r="AR143" s="1827" t="s">
        <v>56</v>
      </c>
      <c r="AS143" s="1828"/>
      <c r="AT143" s="1818" t="s">
        <v>113</v>
      </c>
      <c r="AU143" s="1819"/>
      <c r="AV143" s="107"/>
      <c r="AW143" s="107"/>
      <c r="AX143" s="107"/>
      <c r="AY143" s="107"/>
      <c r="AZ143" s="107"/>
      <c r="BR143" s="607"/>
      <c r="BS143" s="607"/>
      <c r="BT143" s="607"/>
      <c r="BU143" s="607"/>
    </row>
    <row r="144" spans="1:125" ht="15" customHeight="1" x14ac:dyDescent="0.25">
      <c r="A144" s="1778"/>
      <c r="B144" s="1779"/>
      <c r="C144" s="1845"/>
      <c r="D144" s="1846"/>
      <c r="E144" s="1847"/>
      <c r="F144" s="1850" t="s">
        <v>217</v>
      </c>
      <c r="G144" s="1822"/>
      <c r="H144" s="1822" t="s">
        <v>218</v>
      </c>
      <c r="I144" s="1822"/>
      <c r="J144" s="1822" t="s">
        <v>219</v>
      </c>
      <c r="K144" s="1822"/>
      <c r="L144" s="1822" t="s">
        <v>220</v>
      </c>
      <c r="M144" s="1822"/>
      <c r="N144" s="1822" t="s">
        <v>221</v>
      </c>
      <c r="O144" s="1822"/>
      <c r="P144" s="1822" t="s">
        <v>222</v>
      </c>
      <c r="Q144" s="1822"/>
      <c r="R144" s="1822" t="s">
        <v>223</v>
      </c>
      <c r="S144" s="1822"/>
      <c r="T144" s="1822" t="s">
        <v>224</v>
      </c>
      <c r="U144" s="1822"/>
      <c r="V144" s="1822" t="s">
        <v>225</v>
      </c>
      <c r="W144" s="1822"/>
      <c r="X144" s="1822" t="s">
        <v>226</v>
      </c>
      <c r="Y144" s="1822"/>
      <c r="Z144" s="1822" t="s">
        <v>227</v>
      </c>
      <c r="AA144" s="1822"/>
      <c r="AB144" s="1822" t="s">
        <v>228</v>
      </c>
      <c r="AC144" s="1822"/>
      <c r="AD144" s="1822" t="s">
        <v>229</v>
      </c>
      <c r="AE144" s="1822"/>
      <c r="AF144" s="1822" t="s">
        <v>230</v>
      </c>
      <c r="AG144" s="1822"/>
      <c r="AH144" s="1822" t="s">
        <v>315</v>
      </c>
      <c r="AI144" s="1822"/>
      <c r="AJ144" s="1822" t="s">
        <v>320</v>
      </c>
      <c r="AK144" s="1822"/>
      <c r="AL144" s="1822" t="s">
        <v>321</v>
      </c>
      <c r="AM144" s="1822"/>
      <c r="AN144" s="1822" t="s">
        <v>322</v>
      </c>
      <c r="AO144" s="1822"/>
      <c r="AP144" s="1822" t="s">
        <v>62</v>
      </c>
      <c r="AQ144" s="1823"/>
      <c r="AR144" s="1829"/>
      <c r="AS144" s="1830"/>
      <c r="AT144" s="1820"/>
      <c r="AU144" s="1821"/>
      <c r="AV144" s="107"/>
      <c r="AW144" s="107"/>
      <c r="AX144" s="107"/>
      <c r="AY144" s="107"/>
      <c r="AZ144" s="107"/>
      <c r="BR144" s="607"/>
      <c r="BS144" s="607"/>
      <c r="BT144" s="607"/>
      <c r="BU144" s="607"/>
    </row>
    <row r="145" spans="1:123" ht="15" customHeight="1" x14ac:dyDescent="0.25">
      <c r="A145" s="1780"/>
      <c r="B145" s="1781"/>
      <c r="C145" s="1445" t="s">
        <v>231</v>
      </c>
      <c r="D145" s="604" t="s">
        <v>91</v>
      </c>
      <c r="E145" s="975" t="s">
        <v>232</v>
      </c>
      <c r="F145" s="1403" t="s">
        <v>91</v>
      </c>
      <c r="G145" s="981" t="s">
        <v>232</v>
      </c>
      <c r="H145" s="981" t="s">
        <v>91</v>
      </c>
      <c r="I145" s="981" t="s">
        <v>232</v>
      </c>
      <c r="J145" s="981" t="s">
        <v>91</v>
      </c>
      <c r="K145" s="981" t="s">
        <v>232</v>
      </c>
      <c r="L145" s="981" t="s">
        <v>91</v>
      </c>
      <c r="M145" s="981" t="s">
        <v>232</v>
      </c>
      <c r="N145" s="981" t="s">
        <v>91</v>
      </c>
      <c r="O145" s="981" t="s">
        <v>232</v>
      </c>
      <c r="P145" s="981" t="s">
        <v>91</v>
      </c>
      <c r="Q145" s="981" t="s">
        <v>232</v>
      </c>
      <c r="R145" s="981" t="s">
        <v>91</v>
      </c>
      <c r="S145" s="981" t="s">
        <v>232</v>
      </c>
      <c r="T145" s="981" t="s">
        <v>91</v>
      </c>
      <c r="U145" s="981" t="s">
        <v>232</v>
      </c>
      <c r="V145" s="981" t="s">
        <v>91</v>
      </c>
      <c r="W145" s="981" t="s">
        <v>232</v>
      </c>
      <c r="X145" s="981" t="s">
        <v>91</v>
      </c>
      <c r="Y145" s="981" t="s">
        <v>232</v>
      </c>
      <c r="Z145" s="981" t="s">
        <v>91</v>
      </c>
      <c r="AA145" s="981" t="s">
        <v>232</v>
      </c>
      <c r="AB145" s="981" t="s">
        <v>91</v>
      </c>
      <c r="AC145" s="981" t="s">
        <v>232</v>
      </c>
      <c r="AD145" s="981" t="s">
        <v>91</v>
      </c>
      <c r="AE145" s="981" t="s">
        <v>232</v>
      </c>
      <c r="AF145" s="981" t="s">
        <v>91</v>
      </c>
      <c r="AG145" s="981" t="s">
        <v>232</v>
      </c>
      <c r="AH145" s="981" t="s">
        <v>91</v>
      </c>
      <c r="AI145" s="981" t="s">
        <v>232</v>
      </c>
      <c r="AJ145" s="981" t="s">
        <v>91</v>
      </c>
      <c r="AK145" s="981" t="s">
        <v>232</v>
      </c>
      <c r="AL145" s="981" t="s">
        <v>91</v>
      </c>
      <c r="AM145" s="981" t="s">
        <v>232</v>
      </c>
      <c r="AN145" s="981" t="s">
        <v>91</v>
      </c>
      <c r="AO145" s="981" t="s">
        <v>232</v>
      </c>
      <c r="AP145" s="981" t="s">
        <v>91</v>
      </c>
      <c r="AQ145" s="868" t="s">
        <v>232</v>
      </c>
      <c r="AR145" s="982" t="s">
        <v>91</v>
      </c>
      <c r="AS145" s="868" t="s">
        <v>232</v>
      </c>
      <c r="AT145" s="1403" t="s">
        <v>91</v>
      </c>
      <c r="AU145" s="893" t="s">
        <v>232</v>
      </c>
      <c r="AV145" s="107"/>
      <c r="AW145" s="107"/>
      <c r="AX145" s="107"/>
      <c r="AY145" s="107"/>
      <c r="AZ145" s="107"/>
      <c r="BR145" s="607"/>
      <c r="BS145" s="607"/>
      <c r="BT145" s="607"/>
      <c r="BU145" s="607"/>
    </row>
    <row r="146" spans="1:123" ht="15" customHeight="1" x14ac:dyDescent="0.25">
      <c r="A146" s="1748" t="s">
        <v>323</v>
      </c>
      <c r="B146" s="1749"/>
      <c r="C146" s="1408">
        <f>SUM(D146:E146)</f>
        <v>0</v>
      </c>
      <c r="D146" s="1410">
        <f t="shared" ref="D146:D162" si="109">+F146+H146+J146+L146+N146+P146+R146+T146+V146+X146+Z146+AB146+AD146+AF146+AH146+AN146+AP146+AJ146+AL146</f>
        <v>0</v>
      </c>
      <c r="E146" s="941">
        <f t="shared" ref="E146:E162" si="110">+G146+I146+K146+M146+O146+Q146+S146+U146+W146+Y146+AA146+AC146+AE146+AG146+AI146+AO146+AQ146+AK146+AM146</f>
        <v>0</v>
      </c>
      <c r="F146" s="1406">
        <v>0</v>
      </c>
      <c r="G146" s="957">
        <v>0</v>
      </c>
      <c r="H146" s="957">
        <v>0</v>
      </c>
      <c r="I146" s="957">
        <v>0</v>
      </c>
      <c r="J146" s="957">
        <v>0</v>
      </c>
      <c r="K146" s="957">
        <v>0</v>
      </c>
      <c r="L146" s="957">
        <v>0</v>
      </c>
      <c r="M146" s="957">
        <v>0</v>
      </c>
      <c r="N146" s="957">
        <v>0</v>
      </c>
      <c r="O146" s="957">
        <v>0</v>
      </c>
      <c r="P146" s="957">
        <v>0</v>
      </c>
      <c r="Q146" s="957">
        <v>0</v>
      </c>
      <c r="R146" s="957">
        <v>0</v>
      </c>
      <c r="S146" s="957">
        <v>0</v>
      </c>
      <c r="T146" s="957">
        <v>0</v>
      </c>
      <c r="U146" s="957">
        <v>0</v>
      </c>
      <c r="V146" s="957">
        <v>0</v>
      </c>
      <c r="W146" s="957">
        <v>0</v>
      </c>
      <c r="X146" s="957">
        <v>0</v>
      </c>
      <c r="Y146" s="957">
        <v>0</v>
      </c>
      <c r="Z146" s="957">
        <v>0</v>
      </c>
      <c r="AA146" s="957">
        <v>0</v>
      </c>
      <c r="AB146" s="957">
        <v>0</v>
      </c>
      <c r="AC146" s="957">
        <v>0</v>
      </c>
      <c r="AD146" s="957">
        <v>0</v>
      </c>
      <c r="AE146" s="957">
        <v>0</v>
      </c>
      <c r="AF146" s="957">
        <v>0</v>
      </c>
      <c r="AG146" s="957">
        <v>0</v>
      </c>
      <c r="AH146" s="957">
        <v>0</v>
      </c>
      <c r="AI146" s="957">
        <v>0</v>
      </c>
      <c r="AJ146" s="957">
        <v>0</v>
      </c>
      <c r="AK146" s="957">
        <v>0</v>
      </c>
      <c r="AL146" s="957">
        <v>0</v>
      </c>
      <c r="AM146" s="957">
        <v>0</v>
      </c>
      <c r="AN146" s="957">
        <v>0</v>
      </c>
      <c r="AO146" s="957">
        <v>0</v>
      </c>
      <c r="AP146" s="957">
        <v>0</v>
      </c>
      <c r="AQ146" s="319">
        <v>0</v>
      </c>
      <c r="AR146" s="320">
        <v>0</v>
      </c>
      <c r="AS146" s="319">
        <v>0</v>
      </c>
      <c r="AT146" s="1404">
        <v>0</v>
      </c>
      <c r="AU146" s="958">
        <v>0</v>
      </c>
      <c r="AV146" s="109" t="str">
        <f>CA146&amp;CB146&amp;CC146&amp;CD146</f>
        <v/>
      </c>
      <c r="BK146" s="172"/>
      <c r="BL146" s="172"/>
      <c r="BR146" s="607"/>
      <c r="BS146" s="607"/>
      <c r="BT146" s="607"/>
      <c r="BU146" s="607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1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2">IF(AND(E146&gt;0,AU146="")," * No olvide digitar la variable Migrantes Mujeres (Digite Cero si no tiene).",IF(AU146&gt;E146," * La variable Migrantes  Mujeres no debe ser mayor que el Total de Mujeres",""))</f>
        <v/>
      </c>
      <c r="DP146" s="1048">
        <f t="shared" ref="DP146:DP190" si="113">IF(AND(D146&gt;0,AR146=""),1,IF(AR146&gt;D146,1,0))</f>
        <v>0</v>
      </c>
      <c r="DQ146" s="1048">
        <f t="shared" ref="DQ146:DQ190" si="114">IF(AND(E146&gt;0,AS146=""),1,IF(AS146&gt;E146,1,0))</f>
        <v>0</v>
      </c>
      <c r="DR146" s="1048">
        <f t="shared" ref="DR146:DR190" si="115">IF(AND(D146&gt;0,AT146=""),1,IF(AT146&gt;D146,1,0))</f>
        <v>0</v>
      </c>
      <c r="DS146" s="1048">
        <f t="shared" ref="DS146:DS190" si="116">IF(AND(E146&gt;0,AU146=""),1,IF(AU146&gt;E146,1,0))</f>
        <v>0</v>
      </c>
    </row>
    <row r="147" spans="1:123" ht="15" customHeight="1" x14ac:dyDescent="0.25">
      <c r="A147" s="1848" t="s">
        <v>324</v>
      </c>
      <c r="B147" s="1849"/>
      <c r="C147" s="338">
        <f t="shared" ref="C147:C162" si="117">SUM(D147:E147)</f>
        <v>0</v>
      </c>
      <c r="D147" s="1137">
        <f t="shared" si="109"/>
        <v>0</v>
      </c>
      <c r="E147" s="889">
        <f t="shared" si="110"/>
        <v>0</v>
      </c>
      <c r="F147" s="343">
        <v>0</v>
      </c>
      <c r="G147" s="646">
        <v>0</v>
      </c>
      <c r="H147" s="646">
        <v>0</v>
      </c>
      <c r="I147" s="646">
        <v>0</v>
      </c>
      <c r="J147" s="646">
        <v>0</v>
      </c>
      <c r="K147" s="646">
        <v>0</v>
      </c>
      <c r="L147" s="646">
        <v>0</v>
      </c>
      <c r="M147" s="646">
        <v>0</v>
      </c>
      <c r="N147" s="646">
        <v>0</v>
      </c>
      <c r="O147" s="646">
        <v>0</v>
      </c>
      <c r="P147" s="646">
        <v>0</v>
      </c>
      <c r="Q147" s="646">
        <v>0</v>
      </c>
      <c r="R147" s="646">
        <v>0</v>
      </c>
      <c r="S147" s="646">
        <v>0</v>
      </c>
      <c r="T147" s="646">
        <v>0</v>
      </c>
      <c r="U147" s="646">
        <v>0</v>
      </c>
      <c r="V147" s="646">
        <v>0</v>
      </c>
      <c r="W147" s="646">
        <v>0</v>
      </c>
      <c r="X147" s="646">
        <v>0</v>
      </c>
      <c r="Y147" s="646">
        <v>0</v>
      </c>
      <c r="Z147" s="646">
        <v>0</v>
      </c>
      <c r="AA147" s="646">
        <v>0</v>
      </c>
      <c r="AB147" s="646">
        <v>0</v>
      </c>
      <c r="AC147" s="646">
        <v>0</v>
      </c>
      <c r="AD147" s="646">
        <v>0</v>
      </c>
      <c r="AE147" s="646">
        <v>0</v>
      </c>
      <c r="AF147" s="646">
        <v>0</v>
      </c>
      <c r="AG147" s="646">
        <v>0</v>
      </c>
      <c r="AH147" s="646">
        <v>0</v>
      </c>
      <c r="AI147" s="646">
        <v>0</v>
      </c>
      <c r="AJ147" s="646">
        <v>0</v>
      </c>
      <c r="AK147" s="646">
        <v>0</v>
      </c>
      <c r="AL147" s="646">
        <v>0</v>
      </c>
      <c r="AM147" s="646">
        <v>0</v>
      </c>
      <c r="AN147" s="646">
        <v>0</v>
      </c>
      <c r="AO147" s="646">
        <v>0</v>
      </c>
      <c r="AP147" s="646">
        <v>0</v>
      </c>
      <c r="AQ147" s="344">
        <v>0</v>
      </c>
      <c r="AR147" s="347">
        <v>0</v>
      </c>
      <c r="AS147" s="344">
        <v>0</v>
      </c>
      <c r="AT147" s="342">
        <v>0</v>
      </c>
      <c r="AU147" s="345">
        <v>0</v>
      </c>
      <c r="AV147" s="109" t="str">
        <f t="shared" ref="AV147:AV190" si="118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7"/>
      <c r="BS147" s="607"/>
      <c r="BT147" s="607"/>
      <c r="BU147" s="607"/>
      <c r="CA147" s="191" t="str">
        <f t="shared" ref="CA147:CA190" si="119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0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1"/>
        <v/>
      </c>
      <c r="CD147" s="191" t="str">
        <f t="shared" si="112"/>
        <v/>
      </c>
      <c r="DP147" s="1048">
        <f t="shared" si="113"/>
        <v>0</v>
      </c>
      <c r="DQ147" s="1048">
        <f t="shared" si="114"/>
        <v>0</v>
      </c>
      <c r="DR147" s="1048">
        <f t="shared" si="115"/>
        <v>0</v>
      </c>
      <c r="DS147" s="1048">
        <f t="shared" si="116"/>
        <v>0</v>
      </c>
    </row>
    <row r="148" spans="1:123" ht="15" customHeight="1" x14ac:dyDescent="0.25">
      <c r="A148" s="1715" t="s">
        <v>325</v>
      </c>
      <c r="B148" s="1716" t="s">
        <v>325</v>
      </c>
      <c r="C148" s="353">
        <f t="shared" si="117"/>
        <v>0</v>
      </c>
      <c r="D148" s="1138">
        <f t="shared" si="109"/>
        <v>0</v>
      </c>
      <c r="E148" s="890">
        <f t="shared" si="110"/>
        <v>0</v>
      </c>
      <c r="F148" s="357">
        <v>0</v>
      </c>
      <c r="G148" s="376">
        <v>0</v>
      </c>
      <c r="H148" s="376">
        <v>0</v>
      </c>
      <c r="I148" s="376">
        <v>0</v>
      </c>
      <c r="J148" s="376">
        <v>0</v>
      </c>
      <c r="K148" s="376">
        <v>0</v>
      </c>
      <c r="L148" s="376">
        <v>0</v>
      </c>
      <c r="M148" s="376">
        <v>0</v>
      </c>
      <c r="N148" s="376">
        <v>0</v>
      </c>
      <c r="O148" s="376">
        <v>0</v>
      </c>
      <c r="P148" s="376">
        <v>0</v>
      </c>
      <c r="Q148" s="376">
        <v>0</v>
      </c>
      <c r="R148" s="376">
        <v>0</v>
      </c>
      <c r="S148" s="376">
        <v>0</v>
      </c>
      <c r="T148" s="376">
        <v>0</v>
      </c>
      <c r="U148" s="376">
        <v>0</v>
      </c>
      <c r="V148" s="376">
        <v>0</v>
      </c>
      <c r="W148" s="376">
        <v>0</v>
      </c>
      <c r="X148" s="376">
        <v>0</v>
      </c>
      <c r="Y148" s="376">
        <v>0</v>
      </c>
      <c r="Z148" s="376">
        <v>0</v>
      </c>
      <c r="AA148" s="376">
        <v>0</v>
      </c>
      <c r="AB148" s="376">
        <v>0</v>
      </c>
      <c r="AC148" s="376">
        <v>0</v>
      </c>
      <c r="AD148" s="376">
        <v>0</v>
      </c>
      <c r="AE148" s="376">
        <v>0</v>
      </c>
      <c r="AF148" s="376">
        <v>0</v>
      </c>
      <c r="AG148" s="376">
        <v>0</v>
      </c>
      <c r="AH148" s="376">
        <v>0</v>
      </c>
      <c r="AI148" s="376">
        <v>0</v>
      </c>
      <c r="AJ148" s="376">
        <v>0</v>
      </c>
      <c r="AK148" s="376">
        <v>0</v>
      </c>
      <c r="AL148" s="376">
        <v>0</v>
      </c>
      <c r="AM148" s="376">
        <v>0</v>
      </c>
      <c r="AN148" s="376">
        <v>0</v>
      </c>
      <c r="AO148" s="376">
        <v>0</v>
      </c>
      <c r="AP148" s="376">
        <v>0</v>
      </c>
      <c r="AQ148" s="356">
        <v>0</v>
      </c>
      <c r="AR148" s="358">
        <v>0</v>
      </c>
      <c r="AS148" s="356">
        <v>0</v>
      </c>
      <c r="AT148" s="354">
        <v>0</v>
      </c>
      <c r="AU148" s="355">
        <v>0</v>
      </c>
      <c r="AV148" s="109" t="str">
        <f t="shared" si="118"/>
        <v/>
      </c>
      <c r="AW148" s="109"/>
      <c r="AX148" s="109"/>
      <c r="AY148" s="109"/>
      <c r="AZ148" s="109"/>
      <c r="BR148" s="607"/>
      <c r="BS148" s="607"/>
      <c r="BT148" s="607"/>
      <c r="BU148" s="607"/>
      <c r="CA148" s="191" t="str">
        <f t="shared" si="119"/>
        <v/>
      </c>
      <c r="CB148" s="191" t="str">
        <f t="shared" si="120"/>
        <v/>
      </c>
      <c r="CC148" s="191" t="str">
        <f t="shared" si="111"/>
        <v/>
      </c>
      <c r="CD148" s="191" t="str">
        <f t="shared" si="112"/>
        <v/>
      </c>
      <c r="DP148" s="1048">
        <f t="shared" si="113"/>
        <v>0</v>
      </c>
      <c r="DQ148" s="1048">
        <f t="shared" si="114"/>
        <v>0</v>
      </c>
      <c r="DR148" s="1048">
        <f t="shared" si="115"/>
        <v>0</v>
      </c>
      <c r="DS148" s="1048">
        <f t="shared" si="116"/>
        <v>0</v>
      </c>
    </row>
    <row r="149" spans="1:123" ht="15" customHeight="1" x14ac:dyDescent="0.25">
      <c r="A149" s="1715" t="s">
        <v>326</v>
      </c>
      <c r="B149" s="1716" t="s">
        <v>326</v>
      </c>
      <c r="C149" s="353">
        <f t="shared" si="117"/>
        <v>0</v>
      </c>
      <c r="D149" s="1138">
        <f t="shared" si="109"/>
        <v>0</v>
      </c>
      <c r="E149" s="890">
        <f t="shared" si="110"/>
        <v>0</v>
      </c>
      <c r="F149" s="357">
        <v>0</v>
      </c>
      <c r="G149" s="376">
        <v>0</v>
      </c>
      <c r="H149" s="376">
        <v>0</v>
      </c>
      <c r="I149" s="376">
        <v>0</v>
      </c>
      <c r="J149" s="376">
        <v>0</v>
      </c>
      <c r="K149" s="376">
        <v>0</v>
      </c>
      <c r="L149" s="376">
        <v>0</v>
      </c>
      <c r="M149" s="376">
        <v>0</v>
      </c>
      <c r="N149" s="376">
        <v>0</v>
      </c>
      <c r="O149" s="376">
        <v>0</v>
      </c>
      <c r="P149" s="376">
        <v>0</v>
      </c>
      <c r="Q149" s="376">
        <v>0</v>
      </c>
      <c r="R149" s="376">
        <v>0</v>
      </c>
      <c r="S149" s="376">
        <v>0</v>
      </c>
      <c r="T149" s="376">
        <v>0</v>
      </c>
      <c r="U149" s="376">
        <v>0</v>
      </c>
      <c r="V149" s="376">
        <v>0</v>
      </c>
      <c r="W149" s="376">
        <v>0</v>
      </c>
      <c r="X149" s="376">
        <v>0</v>
      </c>
      <c r="Y149" s="376">
        <v>0</v>
      </c>
      <c r="Z149" s="376">
        <v>0</v>
      </c>
      <c r="AA149" s="376">
        <v>0</v>
      </c>
      <c r="AB149" s="376">
        <v>0</v>
      </c>
      <c r="AC149" s="376">
        <v>0</v>
      </c>
      <c r="AD149" s="376">
        <v>0</v>
      </c>
      <c r="AE149" s="376">
        <v>0</v>
      </c>
      <c r="AF149" s="376">
        <v>0</v>
      </c>
      <c r="AG149" s="376">
        <v>0</v>
      </c>
      <c r="AH149" s="376">
        <v>0</v>
      </c>
      <c r="AI149" s="376">
        <v>0</v>
      </c>
      <c r="AJ149" s="376">
        <v>0</v>
      </c>
      <c r="AK149" s="376">
        <v>0</v>
      </c>
      <c r="AL149" s="376">
        <v>0</v>
      </c>
      <c r="AM149" s="376">
        <v>0</v>
      </c>
      <c r="AN149" s="376">
        <v>0</v>
      </c>
      <c r="AO149" s="376">
        <v>0</v>
      </c>
      <c r="AP149" s="376">
        <v>0</v>
      </c>
      <c r="AQ149" s="356">
        <v>0</v>
      </c>
      <c r="AR149" s="358">
        <v>0</v>
      </c>
      <c r="AS149" s="356">
        <v>0</v>
      </c>
      <c r="AT149" s="354">
        <v>0</v>
      </c>
      <c r="AU149" s="355">
        <v>0</v>
      </c>
      <c r="AV149" s="109" t="str">
        <f t="shared" si="118"/>
        <v/>
      </c>
      <c r="CA149" s="191" t="str">
        <f t="shared" si="119"/>
        <v/>
      </c>
      <c r="CB149" s="191" t="str">
        <f t="shared" si="120"/>
        <v/>
      </c>
      <c r="CC149" s="191" t="str">
        <f t="shared" si="111"/>
        <v/>
      </c>
      <c r="CD149" s="191" t="str">
        <f t="shared" si="112"/>
        <v/>
      </c>
      <c r="DP149" s="1048">
        <f t="shared" si="113"/>
        <v>0</v>
      </c>
      <c r="DQ149" s="1048">
        <f t="shared" si="114"/>
        <v>0</v>
      </c>
      <c r="DR149" s="1048">
        <f t="shared" si="115"/>
        <v>0</v>
      </c>
      <c r="DS149" s="1048">
        <f t="shared" si="116"/>
        <v>0</v>
      </c>
    </row>
    <row r="150" spans="1:123" ht="15" customHeight="1" x14ac:dyDescent="0.25">
      <c r="A150" s="1715" t="s">
        <v>327</v>
      </c>
      <c r="B150" s="1716" t="s">
        <v>327</v>
      </c>
      <c r="C150" s="353">
        <f t="shared" si="117"/>
        <v>0</v>
      </c>
      <c r="D150" s="1138">
        <f t="shared" si="109"/>
        <v>0</v>
      </c>
      <c r="E150" s="890">
        <f t="shared" si="110"/>
        <v>0</v>
      </c>
      <c r="F150" s="357">
        <v>0</v>
      </c>
      <c r="G150" s="376">
        <v>0</v>
      </c>
      <c r="H150" s="376">
        <v>0</v>
      </c>
      <c r="I150" s="376">
        <v>0</v>
      </c>
      <c r="J150" s="376">
        <v>0</v>
      </c>
      <c r="K150" s="376">
        <v>0</v>
      </c>
      <c r="L150" s="376">
        <v>0</v>
      </c>
      <c r="M150" s="376">
        <v>0</v>
      </c>
      <c r="N150" s="376">
        <v>0</v>
      </c>
      <c r="O150" s="376">
        <v>0</v>
      </c>
      <c r="P150" s="376">
        <v>0</v>
      </c>
      <c r="Q150" s="376">
        <v>0</v>
      </c>
      <c r="R150" s="376">
        <v>0</v>
      </c>
      <c r="S150" s="376">
        <v>0</v>
      </c>
      <c r="T150" s="376">
        <v>0</v>
      </c>
      <c r="U150" s="376">
        <v>0</v>
      </c>
      <c r="V150" s="376">
        <v>0</v>
      </c>
      <c r="W150" s="376">
        <v>0</v>
      </c>
      <c r="X150" s="376">
        <v>0</v>
      </c>
      <c r="Y150" s="376">
        <v>0</v>
      </c>
      <c r="Z150" s="376">
        <v>0</v>
      </c>
      <c r="AA150" s="376">
        <v>0</v>
      </c>
      <c r="AB150" s="376">
        <v>0</v>
      </c>
      <c r="AC150" s="376">
        <v>0</v>
      </c>
      <c r="AD150" s="376">
        <v>0</v>
      </c>
      <c r="AE150" s="376">
        <v>0</v>
      </c>
      <c r="AF150" s="376">
        <v>0</v>
      </c>
      <c r="AG150" s="376">
        <v>0</v>
      </c>
      <c r="AH150" s="376">
        <v>0</v>
      </c>
      <c r="AI150" s="376">
        <v>0</v>
      </c>
      <c r="AJ150" s="376">
        <v>0</v>
      </c>
      <c r="AK150" s="376">
        <v>0</v>
      </c>
      <c r="AL150" s="376">
        <v>0</v>
      </c>
      <c r="AM150" s="376">
        <v>0</v>
      </c>
      <c r="AN150" s="376">
        <v>0</v>
      </c>
      <c r="AO150" s="376">
        <v>0</v>
      </c>
      <c r="AP150" s="376">
        <v>0</v>
      </c>
      <c r="AQ150" s="356">
        <v>0</v>
      </c>
      <c r="AR150" s="358">
        <v>0</v>
      </c>
      <c r="AS150" s="356">
        <v>0</v>
      </c>
      <c r="AT150" s="354">
        <v>0</v>
      </c>
      <c r="AU150" s="355">
        <v>0</v>
      </c>
      <c r="AV150" s="109" t="str">
        <f t="shared" si="118"/>
        <v/>
      </c>
      <c r="AW150" s="109"/>
      <c r="AX150" s="109"/>
      <c r="AY150" s="109"/>
      <c r="AZ150" s="109"/>
      <c r="BR150" s="607"/>
      <c r="BS150" s="607"/>
      <c r="BT150" s="607"/>
      <c r="BU150" s="607"/>
      <c r="CA150" s="191" t="str">
        <f t="shared" si="119"/>
        <v/>
      </c>
      <c r="CB150" s="191" t="str">
        <f t="shared" si="120"/>
        <v/>
      </c>
      <c r="CC150" s="191" t="str">
        <f t="shared" si="111"/>
        <v/>
      </c>
      <c r="CD150" s="191" t="str">
        <f t="shared" si="112"/>
        <v/>
      </c>
      <c r="DP150" s="1048">
        <f t="shared" si="113"/>
        <v>0</v>
      </c>
      <c r="DQ150" s="1048">
        <f t="shared" si="114"/>
        <v>0</v>
      </c>
      <c r="DR150" s="1048">
        <f t="shared" si="115"/>
        <v>0</v>
      </c>
      <c r="DS150" s="1048">
        <f t="shared" si="116"/>
        <v>0</v>
      </c>
    </row>
    <row r="151" spans="1:123" ht="15" customHeight="1" x14ac:dyDescent="0.25">
      <c r="A151" s="1715" t="s">
        <v>328</v>
      </c>
      <c r="B151" s="1716" t="s">
        <v>328</v>
      </c>
      <c r="C151" s="353">
        <f t="shared" si="117"/>
        <v>0</v>
      </c>
      <c r="D151" s="1138">
        <f t="shared" si="109"/>
        <v>0</v>
      </c>
      <c r="E151" s="890">
        <f t="shared" si="110"/>
        <v>0</v>
      </c>
      <c r="F151" s="357">
        <v>0</v>
      </c>
      <c r="G151" s="376">
        <v>0</v>
      </c>
      <c r="H151" s="376">
        <v>0</v>
      </c>
      <c r="I151" s="376">
        <v>0</v>
      </c>
      <c r="J151" s="376">
        <v>0</v>
      </c>
      <c r="K151" s="376">
        <v>0</v>
      </c>
      <c r="L151" s="376">
        <v>0</v>
      </c>
      <c r="M151" s="376">
        <v>0</v>
      </c>
      <c r="N151" s="376">
        <v>0</v>
      </c>
      <c r="O151" s="376">
        <v>0</v>
      </c>
      <c r="P151" s="376">
        <v>0</v>
      </c>
      <c r="Q151" s="376">
        <v>0</v>
      </c>
      <c r="R151" s="376">
        <v>0</v>
      </c>
      <c r="S151" s="376">
        <v>0</v>
      </c>
      <c r="T151" s="376">
        <v>0</v>
      </c>
      <c r="U151" s="376">
        <v>0</v>
      </c>
      <c r="V151" s="376">
        <v>0</v>
      </c>
      <c r="W151" s="376">
        <v>0</v>
      </c>
      <c r="X151" s="376">
        <v>0</v>
      </c>
      <c r="Y151" s="376">
        <v>0</v>
      </c>
      <c r="Z151" s="376">
        <v>0</v>
      </c>
      <c r="AA151" s="376">
        <v>0</v>
      </c>
      <c r="AB151" s="376">
        <v>0</v>
      </c>
      <c r="AC151" s="376">
        <v>0</v>
      </c>
      <c r="AD151" s="376">
        <v>0</v>
      </c>
      <c r="AE151" s="376">
        <v>0</v>
      </c>
      <c r="AF151" s="376">
        <v>0</v>
      </c>
      <c r="AG151" s="376">
        <v>0</v>
      </c>
      <c r="AH151" s="376">
        <v>0</v>
      </c>
      <c r="AI151" s="376">
        <v>0</v>
      </c>
      <c r="AJ151" s="376">
        <v>0</v>
      </c>
      <c r="AK151" s="376">
        <v>0</v>
      </c>
      <c r="AL151" s="376">
        <v>0</v>
      </c>
      <c r="AM151" s="376">
        <v>0</v>
      </c>
      <c r="AN151" s="376">
        <v>0</v>
      </c>
      <c r="AO151" s="376">
        <v>0</v>
      </c>
      <c r="AP151" s="376">
        <v>0</v>
      </c>
      <c r="AQ151" s="356">
        <v>0</v>
      </c>
      <c r="AR151" s="358">
        <v>0</v>
      </c>
      <c r="AS151" s="356">
        <v>0</v>
      </c>
      <c r="AT151" s="354">
        <v>0</v>
      </c>
      <c r="AU151" s="355">
        <v>0</v>
      </c>
      <c r="AV151" s="109" t="str">
        <f t="shared" si="118"/>
        <v/>
      </c>
      <c r="AW151" s="109"/>
      <c r="AX151" s="109"/>
      <c r="AY151" s="109"/>
      <c r="AZ151" s="109"/>
      <c r="BR151" s="607"/>
      <c r="BS151" s="607"/>
      <c r="BT151" s="607"/>
      <c r="BU151" s="607"/>
      <c r="CA151" s="191" t="str">
        <f t="shared" si="119"/>
        <v/>
      </c>
      <c r="CB151" s="191" t="str">
        <f t="shared" si="120"/>
        <v/>
      </c>
      <c r="CC151" s="191" t="str">
        <f t="shared" si="111"/>
        <v/>
      </c>
      <c r="CD151" s="191" t="str">
        <f t="shared" si="112"/>
        <v/>
      </c>
      <c r="DP151" s="1048">
        <f t="shared" si="113"/>
        <v>0</v>
      </c>
      <c r="DQ151" s="1048">
        <f t="shared" si="114"/>
        <v>0</v>
      </c>
      <c r="DR151" s="1048">
        <f t="shared" si="115"/>
        <v>0</v>
      </c>
      <c r="DS151" s="1048">
        <f t="shared" si="116"/>
        <v>0</v>
      </c>
    </row>
    <row r="152" spans="1:123" ht="15" customHeight="1" x14ac:dyDescent="0.25">
      <c r="A152" s="1715" t="s">
        <v>329</v>
      </c>
      <c r="B152" s="1716" t="s">
        <v>330</v>
      </c>
      <c r="C152" s="353">
        <f t="shared" si="117"/>
        <v>0</v>
      </c>
      <c r="D152" s="1138">
        <f t="shared" si="109"/>
        <v>0</v>
      </c>
      <c r="E152" s="890">
        <f t="shared" si="110"/>
        <v>0</v>
      </c>
      <c r="F152" s="357">
        <v>0</v>
      </c>
      <c r="G152" s="376">
        <v>0</v>
      </c>
      <c r="H152" s="376">
        <v>0</v>
      </c>
      <c r="I152" s="376">
        <v>0</v>
      </c>
      <c r="J152" s="376">
        <v>0</v>
      </c>
      <c r="K152" s="376">
        <v>0</v>
      </c>
      <c r="L152" s="376">
        <v>0</v>
      </c>
      <c r="M152" s="376">
        <v>0</v>
      </c>
      <c r="N152" s="376">
        <v>0</v>
      </c>
      <c r="O152" s="376">
        <v>0</v>
      </c>
      <c r="P152" s="376">
        <v>0</v>
      </c>
      <c r="Q152" s="376">
        <v>0</v>
      </c>
      <c r="R152" s="376">
        <v>0</v>
      </c>
      <c r="S152" s="376">
        <v>0</v>
      </c>
      <c r="T152" s="376">
        <v>0</v>
      </c>
      <c r="U152" s="376">
        <v>0</v>
      </c>
      <c r="V152" s="376">
        <v>0</v>
      </c>
      <c r="W152" s="376">
        <v>0</v>
      </c>
      <c r="X152" s="376">
        <v>0</v>
      </c>
      <c r="Y152" s="376">
        <v>0</v>
      </c>
      <c r="Z152" s="376">
        <v>0</v>
      </c>
      <c r="AA152" s="376">
        <v>0</v>
      </c>
      <c r="AB152" s="376">
        <v>0</v>
      </c>
      <c r="AC152" s="376">
        <v>0</v>
      </c>
      <c r="AD152" s="376">
        <v>0</v>
      </c>
      <c r="AE152" s="376">
        <v>0</v>
      </c>
      <c r="AF152" s="376">
        <v>0</v>
      </c>
      <c r="AG152" s="376">
        <v>0</v>
      </c>
      <c r="AH152" s="376">
        <v>0</v>
      </c>
      <c r="AI152" s="376">
        <v>0</v>
      </c>
      <c r="AJ152" s="376">
        <v>0</v>
      </c>
      <c r="AK152" s="376">
        <v>0</v>
      </c>
      <c r="AL152" s="376">
        <v>0</v>
      </c>
      <c r="AM152" s="376">
        <v>0</v>
      </c>
      <c r="AN152" s="376">
        <v>0</v>
      </c>
      <c r="AO152" s="376">
        <v>0</v>
      </c>
      <c r="AP152" s="376">
        <v>0</v>
      </c>
      <c r="AQ152" s="356">
        <v>0</v>
      </c>
      <c r="AR152" s="358">
        <v>0</v>
      </c>
      <c r="AS152" s="356">
        <v>0</v>
      </c>
      <c r="AT152" s="354">
        <v>0</v>
      </c>
      <c r="AU152" s="355">
        <v>0</v>
      </c>
      <c r="AV152" s="109" t="str">
        <f t="shared" si="118"/>
        <v/>
      </c>
      <c r="CA152" s="191" t="str">
        <f t="shared" si="119"/>
        <v/>
      </c>
      <c r="CB152" s="191" t="str">
        <f t="shared" si="120"/>
        <v/>
      </c>
      <c r="CC152" s="191" t="str">
        <f t="shared" si="111"/>
        <v/>
      </c>
      <c r="CD152" s="191" t="str">
        <f t="shared" si="112"/>
        <v/>
      </c>
      <c r="DP152" s="1048">
        <f t="shared" si="113"/>
        <v>0</v>
      </c>
      <c r="DQ152" s="1048">
        <f t="shared" si="114"/>
        <v>0</v>
      </c>
      <c r="DR152" s="1048">
        <f t="shared" si="115"/>
        <v>0</v>
      </c>
      <c r="DS152" s="1048">
        <f t="shared" si="116"/>
        <v>0</v>
      </c>
    </row>
    <row r="153" spans="1:123" ht="15" customHeight="1" x14ac:dyDescent="0.25">
      <c r="A153" s="1715" t="s">
        <v>331</v>
      </c>
      <c r="B153" s="1716" t="s">
        <v>332</v>
      </c>
      <c r="C153" s="353">
        <f t="shared" si="117"/>
        <v>0</v>
      </c>
      <c r="D153" s="1138">
        <f t="shared" si="109"/>
        <v>0</v>
      </c>
      <c r="E153" s="890">
        <f t="shared" si="110"/>
        <v>0</v>
      </c>
      <c r="F153" s="357">
        <v>0</v>
      </c>
      <c r="G153" s="376">
        <v>0</v>
      </c>
      <c r="H153" s="376">
        <v>0</v>
      </c>
      <c r="I153" s="376">
        <v>0</v>
      </c>
      <c r="J153" s="376">
        <v>0</v>
      </c>
      <c r="K153" s="376">
        <v>0</v>
      </c>
      <c r="L153" s="376">
        <v>0</v>
      </c>
      <c r="M153" s="376">
        <v>0</v>
      </c>
      <c r="N153" s="376">
        <v>0</v>
      </c>
      <c r="O153" s="376">
        <v>0</v>
      </c>
      <c r="P153" s="376">
        <v>0</v>
      </c>
      <c r="Q153" s="376">
        <v>0</v>
      </c>
      <c r="R153" s="376">
        <v>0</v>
      </c>
      <c r="S153" s="376">
        <v>0</v>
      </c>
      <c r="T153" s="376">
        <v>0</v>
      </c>
      <c r="U153" s="376">
        <v>0</v>
      </c>
      <c r="V153" s="376">
        <v>0</v>
      </c>
      <c r="W153" s="376">
        <v>0</v>
      </c>
      <c r="X153" s="376">
        <v>0</v>
      </c>
      <c r="Y153" s="376">
        <v>0</v>
      </c>
      <c r="Z153" s="376">
        <v>0</v>
      </c>
      <c r="AA153" s="376">
        <v>0</v>
      </c>
      <c r="AB153" s="376">
        <v>0</v>
      </c>
      <c r="AC153" s="376">
        <v>0</v>
      </c>
      <c r="AD153" s="376">
        <v>0</v>
      </c>
      <c r="AE153" s="376">
        <v>0</v>
      </c>
      <c r="AF153" s="376">
        <v>0</v>
      </c>
      <c r="AG153" s="376">
        <v>0</v>
      </c>
      <c r="AH153" s="376">
        <v>0</v>
      </c>
      <c r="AI153" s="376">
        <v>0</v>
      </c>
      <c r="AJ153" s="376">
        <v>0</v>
      </c>
      <c r="AK153" s="376">
        <v>0</v>
      </c>
      <c r="AL153" s="376">
        <v>0</v>
      </c>
      <c r="AM153" s="376">
        <v>0</v>
      </c>
      <c r="AN153" s="376">
        <v>0</v>
      </c>
      <c r="AO153" s="376">
        <v>0</v>
      </c>
      <c r="AP153" s="376">
        <v>0</v>
      </c>
      <c r="AQ153" s="356">
        <v>0</v>
      </c>
      <c r="AR153" s="358">
        <v>0</v>
      </c>
      <c r="AS153" s="356">
        <v>0</v>
      </c>
      <c r="AT153" s="354">
        <v>0</v>
      </c>
      <c r="AU153" s="355">
        <v>0</v>
      </c>
      <c r="AV153" s="109" t="str">
        <f t="shared" si="118"/>
        <v/>
      </c>
      <c r="AW153" s="109"/>
      <c r="AX153" s="109"/>
      <c r="AY153" s="109"/>
      <c r="AZ153" s="109"/>
      <c r="BR153" s="607"/>
      <c r="BS153" s="607"/>
      <c r="BT153" s="607"/>
      <c r="BU153" s="607"/>
      <c r="CA153" s="191" t="str">
        <f t="shared" si="119"/>
        <v/>
      </c>
      <c r="CB153" s="191" t="str">
        <f t="shared" si="120"/>
        <v/>
      </c>
      <c r="CC153" s="191" t="str">
        <f t="shared" si="111"/>
        <v/>
      </c>
      <c r="CD153" s="191" t="str">
        <f t="shared" si="112"/>
        <v/>
      </c>
      <c r="DP153" s="1048">
        <f t="shared" si="113"/>
        <v>0</v>
      </c>
      <c r="DQ153" s="1048">
        <f t="shared" si="114"/>
        <v>0</v>
      </c>
      <c r="DR153" s="1048">
        <f t="shared" si="115"/>
        <v>0</v>
      </c>
      <c r="DS153" s="1048">
        <f t="shared" si="116"/>
        <v>0</v>
      </c>
    </row>
    <row r="154" spans="1:123" s="228" customFormat="1" ht="15" customHeight="1" x14ac:dyDescent="0.15">
      <c r="A154" s="1715" t="s">
        <v>333</v>
      </c>
      <c r="B154" s="1716" t="s">
        <v>333</v>
      </c>
      <c r="C154" s="1140">
        <f t="shared" si="117"/>
        <v>0</v>
      </c>
      <c r="D154" s="702">
        <f t="shared" si="109"/>
        <v>0</v>
      </c>
      <c r="E154" s="891">
        <f t="shared" si="110"/>
        <v>0</v>
      </c>
      <c r="F154" s="888">
        <v>0</v>
      </c>
      <c r="G154" s="753">
        <v>0</v>
      </c>
      <c r="H154" s="753">
        <v>0</v>
      </c>
      <c r="I154" s="753">
        <v>0</v>
      </c>
      <c r="J154" s="753">
        <v>0</v>
      </c>
      <c r="K154" s="753">
        <v>0</v>
      </c>
      <c r="L154" s="753">
        <v>0</v>
      </c>
      <c r="M154" s="753">
        <v>0</v>
      </c>
      <c r="N154" s="753">
        <v>0</v>
      </c>
      <c r="O154" s="753">
        <v>0</v>
      </c>
      <c r="P154" s="753">
        <v>0</v>
      </c>
      <c r="Q154" s="753">
        <v>0</v>
      </c>
      <c r="R154" s="753">
        <v>0</v>
      </c>
      <c r="S154" s="753">
        <v>0</v>
      </c>
      <c r="T154" s="753">
        <v>0</v>
      </c>
      <c r="U154" s="753">
        <v>0</v>
      </c>
      <c r="V154" s="753">
        <v>0</v>
      </c>
      <c r="W154" s="753">
        <v>0</v>
      </c>
      <c r="X154" s="753">
        <v>0</v>
      </c>
      <c r="Y154" s="753">
        <v>0</v>
      </c>
      <c r="Z154" s="753">
        <v>0</v>
      </c>
      <c r="AA154" s="753">
        <v>0</v>
      </c>
      <c r="AB154" s="753">
        <v>0</v>
      </c>
      <c r="AC154" s="753">
        <v>0</v>
      </c>
      <c r="AD154" s="753">
        <v>0</v>
      </c>
      <c r="AE154" s="753">
        <v>0</v>
      </c>
      <c r="AF154" s="753">
        <v>0</v>
      </c>
      <c r="AG154" s="753">
        <v>0</v>
      </c>
      <c r="AH154" s="753">
        <v>0</v>
      </c>
      <c r="AI154" s="753">
        <v>0</v>
      </c>
      <c r="AJ154" s="753">
        <v>0</v>
      </c>
      <c r="AK154" s="753">
        <v>0</v>
      </c>
      <c r="AL154" s="753">
        <v>0</v>
      </c>
      <c r="AM154" s="753">
        <v>0</v>
      </c>
      <c r="AN154" s="753">
        <v>0</v>
      </c>
      <c r="AO154" s="753">
        <v>0</v>
      </c>
      <c r="AP154" s="753">
        <v>0</v>
      </c>
      <c r="AQ154" s="806">
        <v>0</v>
      </c>
      <c r="AR154" s="754">
        <v>0</v>
      </c>
      <c r="AS154" s="806">
        <v>0</v>
      </c>
      <c r="AT154" s="942">
        <v>0</v>
      </c>
      <c r="AU154" s="755">
        <v>0</v>
      </c>
      <c r="AV154" s="109" t="str">
        <f t="shared" si="118"/>
        <v/>
      </c>
      <c r="AW154" s="756"/>
      <c r="AX154" s="756"/>
      <c r="AY154" s="756"/>
      <c r="AZ154" s="756"/>
      <c r="BA154" s="807"/>
      <c r="BB154" s="807"/>
      <c r="BC154" s="807"/>
      <c r="BD154" s="807"/>
      <c r="BE154" s="807"/>
      <c r="BF154" s="807"/>
      <c r="BG154" s="807"/>
      <c r="BH154" s="807"/>
      <c r="BI154" s="807"/>
      <c r="BJ154" s="807"/>
      <c r="BK154" s="807"/>
      <c r="BL154" s="807"/>
      <c r="BM154" s="807"/>
      <c r="BN154" s="807"/>
      <c r="BO154" s="807"/>
      <c r="BP154" s="807"/>
      <c r="BQ154" s="807"/>
      <c r="BR154" s="807"/>
      <c r="BS154" s="807"/>
      <c r="BT154" s="807"/>
      <c r="BU154" s="807"/>
      <c r="CA154" s="191" t="str">
        <f t="shared" si="119"/>
        <v/>
      </c>
      <c r="CB154" s="191" t="str">
        <f t="shared" si="120"/>
        <v/>
      </c>
      <c r="CC154" s="191" t="str">
        <f t="shared" si="111"/>
        <v/>
      </c>
      <c r="CD154" s="191" t="str">
        <f t="shared" si="112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48">
        <f t="shared" si="113"/>
        <v>0</v>
      </c>
      <c r="DQ154" s="1048">
        <f t="shared" si="114"/>
        <v>0</v>
      </c>
      <c r="DR154" s="1048">
        <f t="shared" si="115"/>
        <v>0</v>
      </c>
      <c r="DS154" s="1048">
        <f t="shared" si="116"/>
        <v>0</v>
      </c>
    </row>
    <row r="155" spans="1:123" ht="24" customHeight="1" x14ac:dyDescent="0.25">
      <c r="A155" s="1715" t="s">
        <v>334</v>
      </c>
      <c r="B155" s="1716" t="s">
        <v>334</v>
      </c>
      <c r="C155" s="353">
        <f t="shared" si="117"/>
        <v>0</v>
      </c>
      <c r="D155" s="1138">
        <f t="shared" si="109"/>
        <v>0</v>
      </c>
      <c r="E155" s="890">
        <f t="shared" si="110"/>
        <v>0</v>
      </c>
      <c r="F155" s="357">
        <v>0</v>
      </c>
      <c r="G155" s="376">
        <v>0</v>
      </c>
      <c r="H155" s="376">
        <v>0</v>
      </c>
      <c r="I155" s="376">
        <v>0</v>
      </c>
      <c r="J155" s="376">
        <v>0</v>
      </c>
      <c r="K155" s="376">
        <v>0</v>
      </c>
      <c r="L155" s="376">
        <v>0</v>
      </c>
      <c r="M155" s="376">
        <v>0</v>
      </c>
      <c r="N155" s="376">
        <v>0</v>
      </c>
      <c r="O155" s="376">
        <v>0</v>
      </c>
      <c r="P155" s="376">
        <v>0</v>
      </c>
      <c r="Q155" s="376">
        <v>0</v>
      </c>
      <c r="R155" s="376">
        <v>0</v>
      </c>
      <c r="S155" s="376">
        <v>0</v>
      </c>
      <c r="T155" s="376">
        <v>0</v>
      </c>
      <c r="U155" s="376">
        <v>0</v>
      </c>
      <c r="V155" s="376">
        <v>0</v>
      </c>
      <c r="W155" s="376">
        <v>0</v>
      </c>
      <c r="X155" s="376">
        <v>0</v>
      </c>
      <c r="Y155" s="376">
        <v>0</v>
      </c>
      <c r="Z155" s="376">
        <v>0</v>
      </c>
      <c r="AA155" s="376">
        <v>0</v>
      </c>
      <c r="AB155" s="376">
        <v>0</v>
      </c>
      <c r="AC155" s="376">
        <v>0</v>
      </c>
      <c r="AD155" s="376">
        <v>0</v>
      </c>
      <c r="AE155" s="376">
        <v>0</v>
      </c>
      <c r="AF155" s="376">
        <v>0</v>
      </c>
      <c r="AG155" s="376">
        <v>0</v>
      </c>
      <c r="AH155" s="376">
        <v>0</v>
      </c>
      <c r="AI155" s="376">
        <v>0</v>
      </c>
      <c r="AJ155" s="376">
        <v>0</v>
      </c>
      <c r="AK155" s="376">
        <v>0</v>
      </c>
      <c r="AL155" s="376">
        <v>0</v>
      </c>
      <c r="AM155" s="376">
        <v>0</v>
      </c>
      <c r="AN155" s="376">
        <v>0</v>
      </c>
      <c r="AO155" s="376">
        <v>0</v>
      </c>
      <c r="AP155" s="376">
        <v>0</v>
      </c>
      <c r="AQ155" s="356">
        <v>0</v>
      </c>
      <c r="AR155" s="358">
        <v>0</v>
      </c>
      <c r="AS155" s="356">
        <v>0</v>
      </c>
      <c r="AT155" s="354">
        <v>0</v>
      </c>
      <c r="AU155" s="355">
        <v>0</v>
      </c>
      <c r="AV155" s="109" t="str">
        <f t="shared" si="118"/>
        <v/>
      </c>
      <c r="AW155" s="109"/>
      <c r="AX155" s="109"/>
      <c r="AY155" s="109"/>
      <c r="AZ155" s="109"/>
      <c r="BR155" s="607"/>
      <c r="BS155" s="607"/>
      <c r="BT155" s="607"/>
      <c r="BU155" s="607"/>
      <c r="CA155" s="191" t="str">
        <f t="shared" si="119"/>
        <v/>
      </c>
      <c r="CB155" s="191" t="str">
        <f t="shared" si="120"/>
        <v/>
      </c>
      <c r="CC155" s="191" t="str">
        <f t="shared" si="111"/>
        <v/>
      </c>
      <c r="CD155" s="191" t="str">
        <f t="shared" si="112"/>
        <v/>
      </c>
      <c r="DP155" s="1048">
        <f t="shared" si="113"/>
        <v>0</v>
      </c>
      <c r="DQ155" s="1048">
        <f t="shared" si="114"/>
        <v>0</v>
      </c>
      <c r="DR155" s="1048">
        <f t="shared" si="115"/>
        <v>0</v>
      </c>
      <c r="DS155" s="1048">
        <f t="shared" si="116"/>
        <v>0</v>
      </c>
    </row>
    <row r="156" spans="1:123" s="228" customFormat="1" ht="15" customHeight="1" x14ac:dyDescent="0.15">
      <c r="A156" s="1715" t="s">
        <v>335</v>
      </c>
      <c r="B156" s="1716" t="s">
        <v>336</v>
      </c>
      <c r="C156" s="1140">
        <f t="shared" si="117"/>
        <v>0</v>
      </c>
      <c r="D156" s="702">
        <f t="shared" si="109"/>
        <v>0</v>
      </c>
      <c r="E156" s="891">
        <f t="shared" si="110"/>
        <v>0</v>
      </c>
      <c r="F156" s="888">
        <v>0</v>
      </c>
      <c r="G156" s="753">
        <v>0</v>
      </c>
      <c r="H156" s="753">
        <v>0</v>
      </c>
      <c r="I156" s="753">
        <v>0</v>
      </c>
      <c r="J156" s="753">
        <v>0</v>
      </c>
      <c r="K156" s="753">
        <v>0</v>
      </c>
      <c r="L156" s="753">
        <v>0</v>
      </c>
      <c r="M156" s="753">
        <v>0</v>
      </c>
      <c r="N156" s="753">
        <v>0</v>
      </c>
      <c r="O156" s="753">
        <v>0</v>
      </c>
      <c r="P156" s="753">
        <v>0</v>
      </c>
      <c r="Q156" s="753">
        <v>0</v>
      </c>
      <c r="R156" s="753">
        <v>0</v>
      </c>
      <c r="S156" s="753">
        <v>0</v>
      </c>
      <c r="T156" s="753">
        <v>0</v>
      </c>
      <c r="U156" s="753">
        <v>0</v>
      </c>
      <c r="V156" s="753">
        <v>0</v>
      </c>
      <c r="W156" s="753">
        <v>0</v>
      </c>
      <c r="X156" s="753">
        <v>0</v>
      </c>
      <c r="Y156" s="753">
        <v>0</v>
      </c>
      <c r="Z156" s="753">
        <v>0</v>
      </c>
      <c r="AA156" s="753">
        <v>0</v>
      </c>
      <c r="AB156" s="753">
        <v>0</v>
      </c>
      <c r="AC156" s="753">
        <v>0</v>
      </c>
      <c r="AD156" s="753">
        <v>0</v>
      </c>
      <c r="AE156" s="753">
        <v>0</v>
      </c>
      <c r="AF156" s="753">
        <v>0</v>
      </c>
      <c r="AG156" s="753">
        <v>0</v>
      </c>
      <c r="AH156" s="753">
        <v>0</v>
      </c>
      <c r="AI156" s="753">
        <v>0</v>
      </c>
      <c r="AJ156" s="753">
        <v>0</v>
      </c>
      <c r="AK156" s="753">
        <v>0</v>
      </c>
      <c r="AL156" s="753">
        <v>0</v>
      </c>
      <c r="AM156" s="753">
        <v>0</v>
      </c>
      <c r="AN156" s="753">
        <v>0</v>
      </c>
      <c r="AO156" s="753">
        <v>0</v>
      </c>
      <c r="AP156" s="753">
        <v>0</v>
      </c>
      <c r="AQ156" s="806">
        <v>0</v>
      </c>
      <c r="AR156" s="754">
        <v>0</v>
      </c>
      <c r="AS156" s="806">
        <v>0</v>
      </c>
      <c r="AT156" s="942">
        <v>0</v>
      </c>
      <c r="AU156" s="755">
        <v>0</v>
      </c>
      <c r="AV156" s="109" t="str">
        <f t="shared" si="118"/>
        <v/>
      </c>
      <c r="AW156" s="756"/>
      <c r="AX156" s="756"/>
      <c r="AY156" s="756"/>
      <c r="AZ156" s="756"/>
      <c r="BA156" s="807"/>
      <c r="BB156" s="807"/>
      <c r="BC156" s="807"/>
      <c r="BD156" s="807"/>
      <c r="BE156" s="807"/>
      <c r="BF156" s="807"/>
      <c r="BG156" s="807"/>
      <c r="BH156" s="807"/>
      <c r="BI156" s="807"/>
      <c r="BJ156" s="807"/>
      <c r="BK156" s="807"/>
      <c r="BL156" s="807"/>
      <c r="BM156" s="807"/>
      <c r="BN156" s="807"/>
      <c r="BO156" s="807"/>
      <c r="BP156" s="807"/>
      <c r="BQ156" s="807"/>
      <c r="BR156" s="807"/>
      <c r="BS156" s="807"/>
      <c r="BT156" s="807"/>
      <c r="BU156" s="807"/>
      <c r="CA156" s="191" t="str">
        <f t="shared" si="119"/>
        <v/>
      </c>
      <c r="CB156" s="191" t="str">
        <f t="shared" si="120"/>
        <v/>
      </c>
      <c r="CC156" s="191" t="str">
        <f t="shared" si="111"/>
        <v/>
      </c>
      <c r="CD156" s="191" t="str">
        <f t="shared" si="112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48">
        <f t="shared" si="113"/>
        <v>0</v>
      </c>
      <c r="DQ156" s="1048">
        <f t="shared" si="114"/>
        <v>0</v>
      </c>
      <c r="DR156" s="1048">
        <f t="shared" si="115"/>
        <v>0</v>
      </c>
      <c r="DS156" s="1048">
        <f t="shared" si="116"/>
        <v>0</v>
      </c>
    </row>
    <row r="157" spans="1:123" ht="24.75" customHeight="1" x14ac:dyDescent="0.25">
      <c r="A157" s="1715" t="s">
        <v>337</v>
      </c>
      <c r="B157" s="1716" t="s">
        <v>338</v>
      </c>
      <c r="C157" s="353">
        <f t="shared" si="117"/>
        <v>0</v>
      </c>
      <c r="D157" s="1138">
        <f t="shared" si="109"/>
        <v>0</v>
      </c>
      <c r="E157" s="890">
        <f t="shared" si="110"/>
        <v>0</v>
      </c>
      <c r="F157" s="357">
        <v>0</v>
      </c>
      <c r="G157" s="376">
        <v>0</v>
      </c>
      <c r="H157" s="376">
        <v>0</v>
      </c>
      <c r="I157" s="376">
        <v>0</v>
      </c>
      <c r="J157" s="376">
        <v>0</v>
      </c>
      <c r="K157" s="376">
        <v>0</v>
      </c>
      <c r="L157" s="376">
        <v>0</v>
      </c>
      <c r="M157" s="376">
        <v>0</v>
      </c>
      <c r="N157" s="376">
        <v>0</v>
      </c>
      <c r="O157" s="376">
        <v>0</v>
      </c>
      <c r="P157" s="376">
        <v>0</v>
      </c>
      <c r="Q157" s="376">
        <v>0</v>
      </c>
      <c r="R157" s="376">
        <v>0</v>
      </c>
      <c r="S157" s="376">
        <v>0</v>
      </c>
      <c r="T157" s="376">
        <v>0</v>
      </c>
      <c r="U157" s="376">
        <v>0</v>
      </c>
      <c r="V157" s="376">
        <v>0</v>
      </c>
      <c r="W157" s="376">
        <v>0</v>
      </c>
      <c r="X157" s="376">
        <v>0</v>
      </c>
      <c r="Y157" s="376">
        <v>0</v>
      </c>
      <c r="Z157" s="376">
        <v>0</v>
      </c>
      <c r="AA157" s="376">
        <v>0</v>
      </c>
      <c r="AB157" s="376">
        <v>0</v>
      </c>
      <c r="AC157" s="376">
        <v>0</v>
      </c>
      <c r="AD157" s="376">
        <v>0</v>
      </c>
      <c r="AE157" s="376">
        <v>0</v>
      </c>
      <c r="AF157" s="376">
        <v>0</v>
      </c>
      <c r="AG157" s="376">
        <v>0</v>
      </c>
      <c r="AH157" s="376">
        <v>0</v>
      </c>
      <c r="AI157" s="376">
        <v>0</v>
      </c>
      <c r="AJ157" s="376">
        <v>0</v>
      </c>
      <c r="AK157" s="376">
        <v>0</v>
      </c>
      <c r="AL157" s="376">
        <v>0</v>
      </c>
      <c r="AM157" s="376">
        <v>0</v>
      </c>
      <c r="AN157" s="376">
        <v>0</v>
      </c>
      <c r="AO157" s="376">
        <v>0</v>
      </c>
      <c r="AP157" s="376">
        <v>0</v>
      </c>
      <c r="AQ157" s="356">
        <v>0</v>
      </c>
      <c r="AR157" s="358">
        <v>0</v>
      </c>
      <c r="AS157" s="356">
        <v>0</v>
      </c>
      <c r="AT157" s="354">
        <v>0</v>
      </c>
      <c r="AU157" s="355">
        <v>0</v>
      </c>
      <c r="AV157" s="109" t="str">
        <f t="shared" si="118"/>
        <v/>
      </c>
      <c r="AW157" s="109"/>
      <c r="AX157" s="109"/>
      <c r="AY157" s="109"/>
      <c r="AZ157" s="109"/>
      <c r="BR157" s="607"/>
      <c r="BS157" s="607"/>
      <c r="BT157" s="607"/>
      <c r="BU157" s="607"/>
      <c r="CA157" s="191" t="str">
        <f t="shared" si="119"/>
        <v/>
      </c>
      <c r="CB157" s="191" t="str">
        <f t="shared" si="120"/>
        <v/>
      </c>
      <c r="CC157" s="191" t="str">
        <f t="shared" si="111"/>
        <v/>
      </c>
      <c r="CD157" s="191" t="str">
        <f t="shared" si="112"/>
        <v/>
      </c>
      <c r="DP157" s="1048">
        <f t="shared" si="113"/>
        <v>0</v>
      </c>
      <c r="DQ157" s="1048">
        <f t="shared" si="114"/>
        <v>0</v>
      </c>
      <c r="DR157" s="1048">
        <f t="shared" si="115"/>
        <v>0</v>
      </c>
      <c r="DS157" s="1048">
        <f t="shared" si="116"/>
        <v>0</v>
      </c>
    </row>
    <row r="158" spans="1:123" ht="15" customHeight="1" x14ac:dyDescent="0.25">
      <c r="A158" s="1715" t="s">
        <v>339</v>
      </c>
      <c r="B158" s="1716" t="s">
        <v>339</v>
      </c>
      <c r="C158" s="353">
        <f t="shared" si="117"/>
        <v>0</v>
      </c>
      <c r="D158" s="1138">
        <f t="shared" si="109"/>
        <v>0</v>
      </c>
      <c r="E158" s="890">
        <f t="shared" si="110"/>
        <v>0</v>
      </c>
      <c r="F158" s="357">
        <v>0</v>
      </c>
      <c r="G158" s="376">
        <v>0</v>
      </c>
      <c r="H158" s="376">
        <v>0</v>
      </c>
      <c r="I158" s="376">
        <v>0</v>
      </c>
      <c r="J158" s="376">
        <v>0</v>
      </c>
      <c r="K158" s="376">
        <v>0</v>
      </c>
      <c r="L158" s="376">
        <v>0</v>
      </c>
      <c r="M158" s="376">
        <v>0</v>
      </c>
      <c r="N158" s="376">
        <v>0</v>
      </c>
      <c r="O158" s="376">
        <v>0</v>
      </c>
      <c r="P158" s="376">
        <v>0</v>
      </c>
      <c r="Q158" s="376">
        <v>0</v>
      </c>
      <c r="R158" s="376">
        <v>0</v>
      </c>
      <c r="S158" s="376">
        <v>0</v>
      </c>
      <c r="T158" s="376">
        <v>0</v>
      </c>
      <c r="U158" s="376">
        <v>0</v>
      </c>
      <c r="V158" s="376">
        <v>0</v>
      </c>
      <c r="W158" s="376">
        <v>0</v>
      </c>
      <c r="X158" s="376">
        <v>0</v>
      </c>
      <c r="Y158" s="376">
        <v>0</v>
      </c>
      <c r="Z158" s="376">
        <v>0</v>
      </c>
      <c r="AA158" s="376">
        <v>0</v>
      </c>
      <c r="AB158" s="376">
        <v>0</v>
      </c>
      <c r="AC158" s="376">
        <v>0</v>
      </c>
      <c r="AD158" s="376">
        <v>0</v>
      </c>
      <c r="AE158" s="376">
        <v>0</v>
      </c>
      <c r="AF158" s="376">
        <v>0</v>
      </c>
      <c r="AG158" s="376">
        <v>0</v>
      </c>
      <c r="AH158" s="376">
        <v>0</v>
      </c>
      <c r="AI158" s="376">
        <v>0</v>
      </c>
      <c r="AJ158" s="376">
        <v>0</v>
      </c>
      <c r="AK158" s="376">
        <v>0</v>
      </c>
      <c r="AL158" s="376">
        <v>0</v>
      </c>
      <c r="AM158" s="376">
        <v>0</v>
      </c>
      <c r="AN158" s="376">
        <v>0</v>
      </c>
      <c r="AO158" s="376">
        <v>0</v>
      </c>
      <c r="AP158" s="376">
        <v>0</v>
      </c>
      <c r="AQ158" s="356">
        <v>0</v>
      </c>
      <c r="AR158" s="358">
        <v>0</v>
      </c>
      <c r="AS158" s="356">
        <v>0</v>
      </c>
      <c r="AT158" s="354">
        <v>0</v>
      </c>
      <c r="AU158" s="355">
        <v>0</v>
      </c>
      <c r="AV158" s="109" t="str">
        <f t="shared" si="118"/>
        <v/>
      </c>
      <c r="AW158" s="109"/>
      <c r="AX158" s="109"/>
      <c r="AY158" s="109"/>
      <c r="AZ158" s="109"/>
      <c r="BR158" s="607"/>
      <c r="BS158" s="607"/>
      <c r="BT158" s="607"/>
      <c r="BU158" s="607"/>
      <c r="CA158" s="191" t="str">
        <f t="shared" si="119"/>
        <v/>
      </c>
      <c r="CB158" s="191" t="str">
        <f t="shared" si="120"/>
        <v/>
      </c>
      <c r="CC158" s="191" t="str">
        <f t="shared" si="111"/>
        <v/>
      </c>
      <c r="CD158" s="191" t="str">
        <f t="shared" si="112"/>
        <v/>
      </c>
      <c r="DP158" s="1048">
        <f t="shared" si="113"/>
        <v>0</v>
      </c>
      <c r="DQ158" s="1048">
        <f t="shared" si="114"/>
        <v>0</v>
      </c>
      <c r="DR158" s="1048">
        <f t="shared" si="115"/>
        <v>0</v>
      </c>
      <c r="DS158" s="1048">
        <f t="shared" si="116"/>
        <v>0</v>
      </c>
    </row>
    <row r="159" spans="1:123" ht="15" customHeight="1" x14ac:dyDescent="0.25">
      <c r="A159" s="1715" t="s">
        <v>340</v>
      </c>
      <c r="B159" s="1716" t="s">
        <v>340</v>
      </c>
      <c r="C159" s="353">
        <f t="shared" si="117"/>
        <v>0</v>
      </c>
      <c r="D159" s="1138">
        <f t="shared" si="109"/>
        <v>0</v>
      </c>
      <c r="E159" s="890">
        <f t="shared" si="110"/>
        <v>0</v>
      </c>
      <c r="F159" s="357">
        <v>0</v>
      </c>
      <c r="G159" s="376">
        <v>0</v>
      </c>
      <c r="H159" s="376">
        <v>0</v>
      </c>
      <c r="I159" s="376">
        <v>0</v>
      </c>
      <c r="J159" s="376">
        <v>0</v>
      </c>
      <c r="K159" s="376">
        <v>0</v>
      </c>
      <c r="L159" s="376">
        <v>0</v>
      </c>
      <c r="M159" s="376">
        <v>0</v>
      </c>
      <c r="N159" s="376">
        <v>0</v>
      </c>
      <c r="O159" s="376">
        <v>0</v>
      </c>
      <c r="P159" s="376">
        <v>0</v>
      </c>
      <c r="Q159" s="376">
        <v>0</v>
      </c>
      <c r="R159" s="376">
        <v>0</v>
      </c>
      <c r="S159" s="376">
        <v>0</v>
      </c>
      <c r="T159" s="376">
        <v>0</v>
      </c>
      <c r="U159" s="376">
        <v>0</v>
      </c>
      <c r="V159" s="376">
        <v>0</v>
      </c>
      <c r="W159" s="376">
        <v>0</v>
      </c>
      <c r="X159" s="376">
        <v>0</v>
      </c>
      <c r="Y159" s="376">
        <v>0</v>
      </c>
      <c r="Z159" s="376">
        <v>0</v>
      </c>
      <c r="AA159" s="376">
        <v>0</v>
      </c>
      <c r="AB159" s="376">
        <v>0</v>
      </c>
      <c r="AC159" s="376">
        <v>0</v>
      </c>
      <c r="AD159" s="376">
        <v>0</v>
      </c>
      <c r="AE159" s="376">
        <v>0</v>
      </c>
      <c r="AF159" s="376">
        <v>0</v>
      </c>
      <c r="AG159" s="376">
        <v>0</v>
      </c>
      <c r="AH159" s="376">
        <v>0</v>
      </c>
      <c r="AI159" s="376">
        <v>0</v>
      </c>
      <c r="AJ159" s="376">
        <v>0</v>
      </c>
      <c r="AK159" s="376">
        <v>0</v>
      </c>
      <c r="AL159" s="376">
        <v>0</v>
      </c>
      <c r="AM159" s="376">
        <v>0</v>
      </c>
      <c r="AN159" s="376">
        <v>0</v>
      </c>
      <c r="AO159" s="376">
        <v>0</v>
      </c>
      <c r="AP159" s="376">
        <v>0</v>
      </c>
      <c r="AQ159" s="356">
        <v>0</v>
      </c>
      <c r="AR159" s="358">
        <v>0</v>
      </c>
      <c r="AS159" s="356">
        <v>0</v>
      </c>
      <c r="AT159" s="354">
        <v>0</v>
      </c>
      <c r="AU159" s="355">
        <v>0</v>
      </c>
      <c r="AV159" s="109" t="str">
        <f t="shared" si="118"/>
        <v/>
      </c>
      <c r="CA159" s="191" t="str">
        <f t="shared" si="119"/>
        <v/>
      </c>
      <c r="CB159" s="191" t="str">
        <f t="shared" si="120"/>
        <v/>
      </c>
      <c r="CC159" s="191" t="str">
        <f t="shared" si="111"/>
        <v/>
      </c>
      <c r="CD159" s="191" t="str">
        <f t="shared" si="112"/>
        <v/>
      </c>
      <c r="DP159" s="1048">
        <f t="shared" si="113"/>
        <v>0</v>
      </c>
      <c r="DQ159" s="1048">
        <f t="shared" si="114"/>
        <v>0</v>
      </c>
      <c r="DR159" s="1048">
        <f t="shared" si="115"/>
        <v>0</v>
      </c>
      <c r="DS159" s="1048">
        <f t="shared" si="116"/>
        <v>0</v>
      </c>
    </row>
    <row r="160" spans="1:123" ht="15" customHeight="1" x14ac:dyDescent="0.25">
      <c r="A160" s="1715" t="s">
        <v>341</v>
      </c>
      <c r="B160" s="1716" t="s">
        <v>341</v>
      </c>
      <c r="C160" s="353">
        <f t="shared" si="117"/>
        <v>0</v>
      </c>
      <c r="D160" s="1138">
        <f t="shared" si="109"/>
        <v>0</v>
      </c>
      <c r="E160" s="890">
        <f t="shared" si="110"/>
        <v>0</v>
      </c>
      <c r="F160" s="357">
        <v>0</v>
      </c>
      <c r="G160" s="376">
        <v>0</v>
      </c>
      <c r="H160" s="376">
        <v>0</v>
      </c>
      <c r="I160" s="376">
        <v>0</v>
      </c>
      <c r="J160" s="376">
        <v>0</v>
      </c>
      <c r="K160" s="376">
        <v>0</v>
      </c>
      <c r="L160" s="376">
        <v>0</v>
      </c>
      <c r="M160" s="376">
        <v>0</v>
      </c>
      <c r="N160" s="376">
        <v>0</v>
      </c>
      <c r="O160" s="376">
        <v>0</v>
      </c>
      <c r="P160" s="376">
        <v>0</v>
      </c>
      <c r="Q160" s="376">
        <v>0</v>
      </c>
      <c r="R160" s="376">
        <v>0</v>
      </c>
      <c r="S160" s="376">
        <v>0</v>
      </c>
      <c r="T160" s="376">
        <v>0</v>
      </c>
      <c r="U160" s="376">
        <v>0</v>
      </c>
      <c r="V160" s="376">
        <v>0</v>
      </c>
      <c r="W160" s="376">
        <v>0</v>
      </c>
      <c r="X160" s="376">
        <v>0</v>
      </c>
      <c r="Y160" s="376">
        <v>0</v>
      </c>
      <c r="Z160" s="376">
        <v>0</v>
      </c>
      <c r="AA160" s="376">
        <v>0</v>
      </c>
      <c r="AB160" s="376">
        <v>0</v>
      </c>
      <c r="AC160" s="376">
        <v>0</v>
      </c>
      <c r="AD160" s="376">
        <v>0</v>
      </c>
      <c r="AE160" s="376">
        <v>0</v>
      </c>
      <c r="AF160" s="376">
        <v>0</v>
      </c>
      <c r="AG160" s="376">
        <v>0</v>
      </c>
      <c r="AH160" s="376">
        <v>0</v>
      </c>
      <c r="AI160" s="376">
        <v>0</v>
      </c>
      <c r="AJ160" s="376">
        <v>0</v>
      </c>
      <c r="AK160" s="376">
        <v>0</v>
      </c>
      <c r="AL160" s="376">
        <v>0</v>
      </c>
      <c r="AM160" s="376">
        <v>0</v>
      </c>
      <c r="AN160" s="376">
        <v>0</v>
      </c>
      <c r="AO160" s="376">
        <v>0</v>
      </c>
      <c r="AP160" s="376">
        <v>0</v>
      </c>
      <c r="AQ160" s="356">
        <v>0</v>
      </c>
      <c r="AR160" s="358">
        <v>0</v>
      </c>
      <c r="AS160" s="356">
        <v>0</v>
      </c>
      <c r="AT160" s="354">
        <v>0</v>
      </c>
      <c r="AU160" s="355">
        <v>0</v>
      </c>
      <c r="AV160" s="109" t="str">
        <f t="shared" si="118"/>
        <v/>
      </c>
      <c r="AW160" s="109"/>
      <c r="AX160" s="109"/>
      <c r="AY160" s="109"/>
      <c r="AZ160" s="109"/>
      <c r="BR160" s="607"/>
      <c r="BS160" s="607"/>
      <c r="BT160" s="607"/>
      <c r="BU160" s="607"/>
      <c r="CA160" s="191" t="str">
        <f t="shared" si="119"/>
        <v/>
      </c>
      <c r="CB160" s="191" t="str">
        <f t="shared" si="120"/>
        <v/>
      </c>
      <c r="CC160" s="191" t="str">
        <f t="shared" si="111"/>
        <v/>
      </c>
      <c r="CD160" s="191" t="str">
        <f t="shared" si="112"/>
        <v/>
      </c>
      <c r="DP160" s="1048">
        <f t="shared" si="113"/>
        <v>0</v>
      </c>
      <c r="DQ160" s="1048">
        <f t="shared" si="114"/>
        <v>0</v>
      </c>
      <c r="DR160" s="1048">
        <f t="shared" si="115"/>
        <v>0</v>
      </c>
      <c r="DS160" s="1048">
        <f t="shared" si="116"/>
        <v>0</v>
      </c>
    </row>
    <row r="161" spans="1:123" ht="15" customHeight="1" x14ac:dyDescent="0.25">
      <c r="A161" s="1715" t="s">
        <v>342</v>
      </c>
      <c r="B161" s="1716" t="s">
        <v>342</v>
      </c>
      <c r="C161" s="353">
        <f t="shared" si="117"/>
        <v>0</v>
      </c>
      <c r="D161" s="1138">
        <f t="shared" si="109"/>
        <v>0</v>
      </c>
      <c r="E161" s="890">
        <f t="shared" si="110"/>
        <v>0</v>
      </c>
      <c r="F161" s="357">
        <v>0</v>
      </c>
      <c r="G161" s="376">
        <v>0</v>
      </c>
      <c r="H161" s="376">
        <v>0</v>
      </c>
      <c r="I161" s="376">
        <v>0</v>
      </c>
      <c r="J161" s="376">
        <v>0</v>
      </c>
      <c r="K161" s="376">
        <v>0</v>
      </c>
      <c r="L161" s="376">
        <v>0</v>
      </c>
      <c r="M161" s="376">
        <v>0</v>
      </c>
      <c r="N161" s="376">
        <v>0</v>
      </c>
      <c r="O161" s="376">
        <v>0</v>
      </c>
      <c r="P161" s="376">
        <v>0</v>
      </c>
      <c r="Q161" s="376">
        <v>0</v>
      </c>
      <c r="R161" s="376">
        <v>0</v>
      </c>
      <c r="S161" s="376">
        <v>0</v>
      </c>
      <c r="T161" s="376">
        <v>0</v>
      </c>
      <c r="U161" s="376">
        <v>0</v>
      </c>
      <c r="V161" s="376">
        <v>0</v>
      </c>
      <c r="W161" s="376">
        <v>0</v>
      </c>
      <c r="X161" s="376">
        <v>0</v>
      </c>
      <c r="Y161" s="376">
        <v>0</v>
      </c>
      <c r="Z161" s="376">
        <v>0</v>
      </c>
      <c r="AA161" s="376">
        <v>0</v>
      </c>
      <c r="AB161" s="376">
        <v>0</v>
      </c>
      <c r="AC161" s="376">
        <v>0</v>
      </c>
      <c r="AD161" s="376">
        <v>0</v>
      </c>
      <c r="AE161" s="376">
        <v>0</v>
      </c>
      <c r="AF161" s="376">
        <v>0</v>
      </c>
      <c r="AG161" s="376">
        <v>0</v>
      </c>
      <c r="AH161" s="376">
        <v>0</v>
      </c>
      <c r="AI161" s="376">
        <v>0</v>
      </c>
      <c r="AJ161" s="376">
        <v>0</v>
      </c>
      <c r="AK161" s="376">
        <v>0</v>
      </c>
      <c r="AL161" s="376">
        <v>0</v>
      </c>
      <c r="AM161" s="376">
        <v>0</v>
      </c>
      <c r="AN161" s="376">
        <v>0</v>
      </c>
      <c r="AO161" s="376">
        <v>0</v>
      </c>
      <c r="AP161" s="376">
        <v>0</v>
      </c>
      <c r="AQ161" s="356">
        <v>0</v>
      </c>
      <c r="AR161" s="358">
        <v>0</v>
      </c>
      <c r="AS161" s="356">
        <v>0</v>
      </c>
      <c r="AT161" s="354">
        <v>0</v>
      </c>
      <c r="AU161" s="355">
        <v>0</v>
      </c>
      <c r="AV161" s="109" t="str">
        <f t="shared" si="118"/>
        <v/>
      </c>
      <c r="CA161" s="191" t="str">
        <f t="shared" si="119"/>
        <v/>
      </c>
      <c r="CB161" s="191" t="str">
        <f t="shared" si="120"/>
        <v/>
      </c>
      <c r="CC161" s="191" t="str">
        <f t="shared" si="111"/>
        <v/>
      </c>
      <c r="CD161" s="191" t="str">
        <f t="shared" si="112"/>
        <v/>
      </c>
      <c r="DP161" s="1048">
        <f t="shared" si="113"/>
        <v>0</v>
      </c>
      <c r="DQ161" s="1048">
        <f t="shared" si="114"/>
        <v>0</v>
      </c>
      <c r="DR161" s="1048">
        <f t="shared" si="115"/>
        <v>0</v>
      </c>
      <c r="DS161" s="1048">
        <f t="shared" si="116"/>
        <v>0</v>
      </c>
    </row>
    <row r="162" spans="1:123" s="228" customFormat="1" ht="15" customHeight="1" x14ac:dyDescent="0.15">
      <c r="A162" s="1715" t="s">
        <v>343</v>
      </c>
      <c r="B162" s="1716" t="s">
        <v>343</v>
      </c>
      <c r="C162" s="1140">
        <f t="shared" si="117"/>
        <v>0</v>
      </c>
      <c r="D162" s="702">
        <f t="shared" si="109"/>
        <v>0</v>
      </c>
      <c r="E162" s="891">
        <f t="shared" si="110"/>
        <v>0</v>
      </c>
      <c r="F162" s="888">
        <v>0</v>
      </c>
      <c r="G162" s="753">
        <v>0</v>
      </c>
      <c r="H162" s="753">
        <v>0</v>
      </c>
      <c r="I162" s="753">
        <v>0</v>
      </c>
      <c r="J162" s="753">
        <v>0</v>
      </c>
      <c r="K162" s="753">
        <v>0</v>
      </c>
      <c r="L162" s="753">
        <v>0</v>
      </c>
      <c r="M162" s="753">
        <v>0</v>
      </c>
      <c r="N162" s="753">
        <v>0</v>
      </c>
      <c r="O162" s="753">
        <v>0</v>
      </c>
      <c r="P162" s="753">
        <v>0</v>
      </c>
      <c r="Q162" s="753">
        <v>0</v>
      </c>
      <c r="R162" s="753">
        <v>0</v>
      </c>
      <c r="S162" s="753">
        <v>0</v>
      </c>
      <c r="T162" s="753">
        <v>0</v>
      </c>
      <c r="U162" s="753">
        <v>0</v>
      </c>
      <c r="V162" s="753">
        <v>0</v>
      </c>
      <c r="W162" s="753">
        <v>0</v>
      </c>
      <c r="X162" s="753">
        <v>0</v>
      </c>
      <c r="Y162" s="753">
        <v>0</v>
      </c>
      <c r="Z162" s="753">
        <v>0</v>
      </c>
      <c r="AA162" s="753">
        <v>0</v>
      </c>
      <c r="AB162" s="753">
        <v>0</v>
      </c>
      <c r="AC162" s="753">
        <v>0</v>
      </c>
      <c r="AD162" s="753">
        <v>0</v>
      </c>
      <c r="AE162" s="753">
        <v>0</v>
      </c>
      <c r="AF162" s="753">
        <v>0</v>
      </c>
      <c r="AG162" s="753">
        <v>0</v>
      </c>
      <c r="AH162" s="753">
        <v>0</v>
      </c>
      <c r="AI162" s="753">
        <v>0</v>
      </c>
      <c r="AJ162" s="753">
        <v>0</v>
      </c>
      <c r="AK162" s="753">
        <v>0</v>
      </c>
      <c r="AL162" s="753">
        <v>0</v>
      </c>
      <c r="AM162" s="753">
        <v>0</v>
      </c>
      <c r="AN162" s="753">
        <v>0</v>
      </c>
      <c r="AO162" s="753">
        <v>0</v>
      </c>
      <c r="AP162" s="753">
        <v>0</v>
      </c>
      <c r="AQ162" s="806">
        <v>0</v>
      </c>
      <c r="AR162" s="754">
        <v>0</v>
      </c>
      <c r="AS162" s="806">
        <v>0</v>
      </c>
      <c r="AT162" s="942">
        <v>0</v>
      </c>
      <c r="AU162" s="755">
        <v>0</v>
      </c>
      <c r="AV162" s="109" t="str">
        <f t="shared" si="118"/>
        <v/>
      </c>
      <c r="AW162" s="756"/>
      <c r="AX162" s="756"/>
      <c r="AY162" s="756"/>
      <c r="AZ162" s="756"/>
      <c r="BA162" s="807"/>
      <c r="BB162" s="807"/>
      <c r="BC162" s="807"/>
      <c r="BD162" s="807"/>
      <c r="BE162" s="807"/>
      <c r="BF162" s="807"/>
      <c r="BG162" s="807"/>
      <c r="BH162" s="807"/>
      <c r="BI162" s="807"/>
      <c r="BJ162" s="807"/>
      <c r="BK162" s="807"/>
      <c r="BL162" s="807"/>
      <c r="BM162" s="807"/>
      <c r="BN162" s="807"/>
      <c r="BO162" s="807"/>
      <c r="BP162" s="807"/>
      <c r="BQ162" s="807"/>
      <c r="BR162" s="807"/>
      <c r="BS162" s="807"/>
      <c r="BT162" s="807"/>
      <c r="BU162" s="807"/>
      <c r="CA162" s="191" t="str">
        <f t="shared" si="119"/>
        <v/>
      </c>
      <c r="CB162" s="191" t="str">
        <f t="shared" si="120"/>
        <v/>
      </c>
      <c r="CC162" s="191" t="str">
        <f t="shared" si="111"/>
        <v/>
      </c>
      <c r="CD162" s="191" t="str">
        <f t="shared" si="112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48">
        <f t="shared" si="113"/>
        <v>0</v>
      </c>
      <c r="DQ162" s="1048">
        <f t="shared" si="114"/>
        <v>0</v>
      </c>
      <c r="DR162" s="1048">
        <f t="shared" si="115"/>
        <v>0</v>
      </c>
      <c r="DS162" s="1048">
        <f t="shared" si="116"/>
        <v>0</v>
      </c>
    </row>
    <row r="163" spans="1:123" ht="15" customHeight="1" x14ac:dyDescent="0.25">
      <c r="A163" s="1715" t="s">
        <v>344</v>
      </c>
      <c r="B163" s="1716"/>
      <c r="C163" s="1140">
        <f t="shared" ref="C163:C168" si="121">SUM(D163:E163)</f>
        <v>0</v>
      </c>
      <c r="D163" s="1138">
        <f t="shared" ref="D163:D190" si="122">+F163+H163+J163+L163+N163+P163+R163+T163+V163+X163+Z163+AB163+AD163+AF163+AH163+AN163+AP163+AJ163+AL163</f>
        <v>0</v>
      </c>
      <c r="E163" s="890">
        <f t="shared" ref="E163:E188" si="123">+G163+I163+K163+M163+O163+Q163+S163+U163+W163+Y163+AA163+AC163+AE163+AG163+AI163+AO163+AQ163+AK163+AM163</f>
        <v>0</v>
      </c>
      <c r="F163" s="357">
        <v>0</v>
      </c>
      <c r="G163" s="376">
        <v>0</v>
      </c>
      <c r="H163" s="376">
        <v>0</v>
      </c>
      <c r="I163" s="376">
        <v>0</v>
      </c>
      <c r="J163" s="376">
        <v>0</v>
      </c>
      <c r="K163" s="376">
        <v>0</v>
      </c>
      <c r="L163" s="376">
        <v>0</v>
      </c>
      <c r="M163" s="376">
        <v>0</v>
      </c>
      <c r="N163" s="376">
        <v>0</v>
      </c>
      <c r="O163" s="376">
        <v>0</v>
      </c>
      <c r="P163" s="376">
        <v>0</v>
      </c>
      <c r="Q163" s="376">
        <v>0</v>
      </c>
      <c r="R163" s="376">
        <v>0</v>
      </c>
      <c r="S163" s="376">
        <v>0</v>
      </c>
      <c r="T163" s="376">
        <v>0</v>
      </c>
      <c r="U163" s="376">
        <v>0</v>
      </c>
      <c r="V163" s="376">
        <v>0</v>
      </c>
      <c r="W163" s="376">
        <v>0</v>
      </c>
      <c r="X163" s="376">
        <v>0</v>
      </c>
      <c r="Y163" s="376">
        <v>0</v>
      </c>
      <c r="Z163" s="376">
        <v>0</v>
      </c>
      <c r="AA163" s="376">
        <v>0</v>
      </c>
      <c r="AB163" s="376">
        <v>0</v>
      </c>
      <c r="AC163" s="376">
        <v>0</v>
      </c>
      <c r="AD163" s="376">
        <v>0</v>
      </c>
      <c r="AE163" s="376">
        <v>0</v>
      </c>
      <c r="AF163" s="376">
        <v>0</v>
      </c>
      <c r="AG163" s="376">
        <v>0</v>
      </c>
      <c r="AH163" s="376">
        <v>0</v>
      </c>
      <c r="AI163" s="376">
        <v>0</v>
      </c>
      <c r="AJ163" s="376">
        <v>0</v>
      </c>
      <c r="AK163" s="376">
        <v>0</v>
      </c>
      <c r="AL163" s="376">
        <v>0</v>
      </c>
      <c r="AM163" s="376">
        <v>0</v>
      </c>
      <c r="AN163" s="376">
        <v>0</v>
      </c>
      <c r="AO163" s="376">
        <v>0</v>
      </c>
      <c r="AP163" s="376">
        <v>0</v>
      </c>
      <c r="AQ163" s="356">
        <v>0</v>
      </c>
      <c r="AR163" s="358">
        <v>0</v>
      </c>
      <c r="AS163" s="356">
        <v>0</v>
      </c>
      <c r="AT163" s="354">
        <v>0</v>
      </c>
      <c r="AU163" s="355">
        <v>0</v>
      </c>
      <c r="AV163" s="109" t="str">
        <f t="shared" si="118"/>
        <v/>
      </c>
      <c r="AW163" s="109"/>
      <c r="AX163" s="109"/>
      <c r="AY163" s="109"/>
      <c r="AZ163" s="109"/>
      <c r="BR163" s="607"/>
      <c r="BS163" s="607"/>
      <c r="BT163" s="607"/>
      <c r="BU163" s="607"/>
      <c r="CA163" s="191" t="str">
        <f t="shared" si="119"/>
        <v/>
      </c>
      <c r="CB163" s="191" t="str">
        <f t="shared" si="120"/>
        <v/>
      </c>
      <c r="CC163" s="191" t="str">
        <f t="shared" si="111"/>
        <v/>
      </c>
      <c r="CD163" s="191" t="str">
        <f t="shared" si="112"/>
        <v/>
      </c>
      <c r="DP163" s="1048">
        <f t="shared" si="113"/>
        <v>0</v>
      </c>
      <c r="DQ163" s="1048">
        <f t="shared" si="114"/>
        <v>0</v>
      </c>
      <c r="DR163" s="1048">
        <f t="shared" si="115"/>
        <v>0</v>
      </c>
      <c r="DS163" s="1048">
        <f t="shared" si="116"/>
        <v>0</v>
      </c>
    </row>
    <row r="164" spans="1:123" s="228" customFormat="1" ht="15" customHeight="1" x14ac:dyDescent="0.15">
      <c r="A164" s="1715" t="s">
        <v>345</v>
      </c>
      <c r="B164" s="1716" t="s">
        <v>345</v>
      </c>
      <c r="C164" s="1140">
        <f t="shared" si="121"/>
        <v>0</v>
      </c>
      <c r="D164" s="702">
        <f t="shared" ref="D164:E168" si="124">+F164+H164+J164+L164+N164+P164+R164+T164+V164+X164+Z164+AB164+AD164+AF164+AH164+AN164+AP164+AJ164+AL164</f>
        <v>0</v>
      </c>
      <c r="E164" s="891">
        <f t="shared" si="124"/>
        <v>0</v>
      </c>
      <c r="F164" s="888">
        <v>0</v>
      </c>
      <c r="G164" s="753">
        <v>0</v>
      </c>
      <c r="H164" s="753">
        <v>0</v>
      </c>
      <c r="I164" s="753">
        <v>0</v>
      </c>
      <c r="J164" s="753">
        <v>0</v>
      </c>
      <c r="K164" s="753">
        <v>0</v>
      </c>
      <c r="L164" s="753">
        <v>0</v>
      </c>
      <c r="M164" s="753">
        <v>0</v>
      </c>
      <c r="N164" s="753">
        <v>0</v>
      </c>
      <c r="O164" s="753">
        <v>0</v>
      </c>
      <c r="P164" s="753">
        <v>0</v>
      </c>
      <c r="Q164" s="753">
        <v>0</v>
      </c>
      <c r="R164" s="753">
        <v>0</v>
      </c>
      <c r="S164" s="753">
        <v>0</v>
      </c>
      <c r="T164" s="753">
        <v>0</v>
      </c>
      <c r="U164" s="753">
        <v>0</v>
      </c>
      <c r="V164" s="753">
        <v>0</v>
      </c>
      <c r="W164" s="753">
        <v>0</v>
      </c>
      <c r="X164" s="753">
        <v>0</v>
      </c>
      <c r="Y164" s="753">
        <v>0</v>
      </c>
      <c r="Z164" s="753">
        <v>0</v>
      </c>
      <c r="AA164" s="753">
        <v>0</v>
      </c>
      <c r="AB164" s="753">
        <v>0</v>
      </c>
      <c r="AC164" s="753">
        <v>0</v>
      </c>
      <c r="AD164" s="753">
        <v>0</v>
      </c>
      <c r="AE164" s="753">
        <v>0</v>
      </c>
      <c r="AF164" s="753">
        <v>0</v>
      </c>
      <c r="AG164" s="753">
        <v>0</v>
      </c>
      <c r="AH164" s="753">
        <v>0</v>
      </c>
      <c r="AI164" s="753">
        <v>0</v>
      </c>
      <c r="AJ164" s="753">
        <v>0</v>
      </c>
      <c r="AK164" s="753">
        <v>0</v>
      </c>
      <c r="AL164" s="753">
        <v>0</v>
      </c>
      <c r="AM164" s="753">
        <v>0</v>
      </c>
      <c r="AN164" s="753">
        <v>0</v>
      </c>
      <c r="AO164" s="753">
        <v>0</v>
      </c>
      <c r="AP164" s="753">
        <v>0</v>
      </c>
      <c r="AQ164" s="806">
        <v>0</v>
      </c>
      <c r="AR164" s="754">
        <v>0</v>
      </c>
      <c r="AS164" s="806">
        <v>0</v>
      </c>
      <c r="AT164" s="942">
        <v>0</v>
      </c>
      <c r="AU164" s="755">
        <v>0</v>
      </c>
      <c r="AV164" s="109" t="str">
        <f t="shared" si="118"/>
        <v/>
      </c>
      <c r="AW164" s="756"/>
      <c r="AX164" s="756"/>
      <c r="AY164" s="756"/>
      <c r="AZ164" s="756"/>
      <c r="BA164" s="807"/>
      <c r="BB164" s="807"/>
      <c r="BC164" s="807"/>
      <c r="BD164" s="807"/>
      <c r="BE164" s="807"/>
      <c r="BF164" s="807"/>
      <c r="BG164" s="807"/>
      <c r="BH164" s="807"/>
      <c r="BI164" s="807"/>
      <c r="BJ164" s="807"/>
      <c r="BK164" s="807"/>
      <c r="BL164" s="807"/>
      <c r="BM164" s="807"/>
      <c r="BN164" s="807"/>
      <c r="BO164" s="807"/>
      <c r="BP164" s="807"/>
      <c r="BQ164" s="807"/>
      <c r="BR164" s="807"/>
      <c r="BS164" s="807"/>
      <c r="BT164" s="807"/>
      <c r="BU164" s="807"/>
      <c r="CA164" s="191" t="str">
        <f t="shared" si="119"/>
        <v/>
      </c>
      <c r="CB164" s="191" t="str">
        <f t="shared" si="120"/>
        <v/>
      </c>
      <c r="CC164" s="191" t="str">
        <f t="shared" si="111"/>
        <v/>
      </c>
      <c r="CD164" s="191" t="str">
        <f t="shared" si="112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48">
        <f t="shared" si="113"/>
        <v>0</v>
      </c>
      <c r="DQ164" s="1048">
        <f t="shared" si="114"/>
        <v>0</v>
      </c>
      <c r="DR164" s="1048">
        <f t="shared" si="115"/>
        <v>0</v>
      </c>
      <c r="DS164" s="1048">
        <f t="shared" si="116"/>
        <v>0</v>
      </c>
    </row>
    <row r="165" spans="1:123" ht="15" customHeight="1" x14ac:dyDescent="0.25">
      <c r="A165" s="1715" t="s">
        <v>346</v>
      </c>
      <c r="B165" s="1716" t="s">
        <v>346</v>
      </c>
      <c r="C165" s="353">
        <f t="shared" si="121"/>
        <v>0</v>
      </c>
      <c r="D165" s="1138">
        <f t="shared" si="124"/>
        <v>0</v>
      </c>
      <c r="E165" s="890">
        <f t="shared" si="124"/>
        <v>0</v>
      </c>
      <c r="F165" s="357">
        <v>0</v>
      </c>
      <c r="G165" s="376">
        <v>0</v>
      </c>
      <c r="H165" s="376">
        <v>0</v>
      </c>
      <c r="I165" s="376">
        <v>0</v>
      </c>
      <c r="J165" s="376">
        <v>0</v>
      </c>
      <c r="K165" s="376">
        <v>0</v>
      </c>
      <c r="L165" s="376">
        <v>0</v>
      </c>
      <c r="M165" s="376">
        <v>0</v>
      </c>
      <c r="N165" s="376">
        <v>0</v>
      </c>
      <c r="O165" s="376">
        <v>0</v>
      </c>
      <c r="P165" s="376">
        <v>0</v>
      </c>
      <c r="Q165" s="376">
        <v>0</v>
      </c>
      <c r="R165" s="376">
        <v>0</v>
      </c>
      <c r="S165" s="376">
        <v>0</v>
      </c>
      <c r="T165" s="376">
        <v>0</v>
      </c>
      <c r="U165" s="376">
        <v>0</v>
      </c>
      <c r="V165" s="376">
        <v>0</v>
      </c>
      <c r="W165" s="376">
        <v>0</v>
      </c>
      <c r="X165" s="376">
        <v>0</v>
      </c>
      <c r="Y165" s="376">
        <v>0</v>
      </c>
      <c r="Z165" s="376">
        <v>0</v>
      </c>
      <c r="AA165" s="376">
        <v>0</v>
      </c>
      <c r="AB165" s="376">
        <v>0</v>
      </c>
      <c r="AC165" s="376">
        <v>0</v>
      </c>
      <c r="AD165" s="376">
        <v>0</v>
      </c>
      <c r="AE165" s="376">
        <v>0</v>
      </c>
      <c r="AF165" s="376">
        <v>0</v>
      </c>
      <c r="AG165" s="376">
        <v>0</v>
      </c>
      <c r="AH165" s="376">
        <v>0</v>
      </c>
      <c r="AI165" s="376">
        <v>0</v>
      </c>
      <c r="AJ165" s="376">
        <v>0</v>
      </c>
      <c r="AK165" s="376">
        <v>0</v>
      </c>
      <c r="AL165" s="376">
        <v>0</v>
      </c>
      <c r="AM165" s="376">
        <v>0</v>
      </c>
      <c r="AN165" s="376">
        <v>0</v>
      </c>
      <c r="AO165" s="376">
        <v>0</v>
      </c>
      <c r="AP165" s="376">
        <v>0</v>
      </c>
      <c r="AQ165" s="356">
        <v>0</v>
      </c>
      <c r="AR165" s="358">
        <v>0</v>
      </c>
      <c r="AS165" s="356">
        <v>0</v>
      </c>
      <c r="AT165" s="354">
        <v>0</v>
      </c>
      <c r="AU165" s="355">
        <v>0</v>
      </c>
      <c r="AV165" s="109" t="str">
        <f t="shared" si="118"/>
        <v/>
      </c>
      <c r="CA165" s="191" t="str">
        <f t="shared" si="119"/>
        <v/>
      </c>
      <c r="CB165" s="191" t="str">
        <f t="shared" si="120"/>
        <v/>
      </c>
      <c r="CC165" s="191" t="str">
        <f t="shared" si="111"/>
        <v/>
      </c>
      <c r="CD165" s="191" t="str">
        <f t="shared" si="112"/>
        <v/>
      </c>
      <c r="DP165" s="1048">
        <f t="shared" si="113"/>
        <v>0</v>
      </c>
      <c r="DQ165" s="1048">
        <f t="shared" si="114"/>
        <v>0</v>
      </c>
      <c r="DR165" s="1048">
        <f t="shared" si="115"/>
        <v>0</v>
      </c>
      <c r="DS165" s="1048">
        <f t="shared" si="116"/>
        <v>0</v>
      </c>
    </row>
    <row r="166" spans="1:123" ht="15" customHeight="1" x14ac:dyDescent="0.25">
      <c r="A166" s="1715" t="s">
        <v>347</v>
      </c>
      <c r="B166" s="1716" t="s">
        <v>347</v>
      </c>
      <c r="C166" s="353">
        <f t="shared" si="121"/>
        <v>0</v>
      </c>
      <c r="D166" s="1138">
        <f t="shared" si="124"/>
        <v>0</v>
      </c>
      <c r="E166" s="890">
        <f t="shared" si="124"/>
        <v>0</v>
      </c>
      <c r="F166" s="357">
        <v>0</v>
      </c>
      <c r="G166" s="376">
        <v>0</v>
      </c>
      <c r="H166" s="376">
        <v>0</v>
      </c>
      <c r="I166" s="376">
        <v>0</v>
      </c>
      <c r="J166" s="376">
        <v>0</v>
      </c>
      <c r="K166" s="376">
        <v>0</v>
      </c>
      <c r="L166" s="376">
        <v>0</v>
      </c>
      <c r="M166" s="376">
        <v>0</v>
      </c>
      <c r="N166" s="376">
        <v>0</v>
      </c>
      <c r="O166" s="376">
        <v>0</v>
      </c>
      <c r="P166" s="376">
        <v>0</v>
      </c>
      <c r="Q166" s="376">
        <v>0</v>
      </c>
      <c r="R166" s="376">
        <v>0</v>
      </c>
      <c r="S166" s="376">
        <v>0</v>
      </c>
      <c r="T166" s="376">
        <v>0</v>
      </c>
      <c r="U166" s="376">
        <v>0</v>
      </c>
      <c r="V166" s="376">
        <v>0</v>
      </c>
      <c r="W166" s="376">
        <v>0</v>
      </c>
      <c r="X166" s="376">
        <v>0</v>
      </c>
      <c r="Y166" s="376">
        <v>0</v>
      </c>
      <c r="Z166" s="376">
        <v>0</v>
      </c>
      <c r="AA166" s="376">
        <v>0</v>
      </c>
      <c r="AB166" s="376">
        <v>0</v>
      </c>
      <c r="AC166" s="376">
        <v>0</v>
      </c>
      <c r="AD166" s="376">
        <v>0</v>
      </c>
      <c r="AE166" s="376">
        <v>0</v>
      </c>
      <c r="AF166" s="376">
        <v>0</v>
      </c>
      <c r="AG166" s="376">
        <v>0</v>
      </c>
      <c r="AH166" s="376">
        <v>0</v>
      </c>
      <c r="AI166" s="376">
        <v>0</v>
      </c>
      <c r="AJ166" s="376">
        <v>0</v>
      </c>
      <c r="AK166" s="376">
        <v>0</v>
      </c>
      <c r="AL166" s="376">
        <v>0</v>
      </c>
      <c r="AM166" s="376">
        <v>0</v>
      </c>
      <c r="AN166" s="376">
        <v>0</v>
      </c>
      <c r="AO166" s="376">
        <v>0</v>
      </c>
      <c r="AP166" s="376">
        <v>0</v>
      </c>
      <c r="AQ166" s="356">
        <v>0</v>
      </c>
      <c r="AR166" s="358">
        <v>0</v>
      </c>
      <c r="AS166" s="356">
        <v>0</v>
      </c>
      <c r="AT166" s="354">
        <v>0</v>
      </c>
      <c r="AU166" s="355">
        <v>0</v>
      </c>
      <c r="AV166" s="109" t="str">
        <f t="shared" si="118"/>
        <v/>
      </c>
      <c r="AW166" s="109"/>
      <c r="AX166" s="109"/>
      <c r="AY166" s="109"/>
      <c r="AZ166" s="109"/>
      <c r="BR166" s="607"/>
      <c r="BS166" s="607"/>
      <c r="BT166" s="607"/>
      <c r="BU166" s="607"/>
      <c r="CA166" s="191" t="str">
        <f t="shared" si="119"/>
        <v/>
      </c>
      <c r="CB166" s="191" t="str">
        <f t="shared" si="120"/>
        <v/>
      </c>
      <c r="CC166" s="191" t="str">
        <f t="shared" si="111"/>
        <v/>
      </c>
      <c r="CD166" s="191" t="str">
        <f t="shared" si="112"/>
        <v/>
      </c>
      <c r="DP166" s="1048">
        <f t="shared" si="113"/>
        <v>0</v>
      </c>
      <c r="DQ166" s="1048">
        <f t="shared" si="114"/>
        <v>0</v>
      </c>
      <c r="DR166" s="1048">
        <f t="shared" si="115"/>
        <v>0</v>
      </c>
      <c r="DS166" s="1048">
        <f t="shared" si="116"/>
        <v>0</v>
      </c>
    </row>
    <row r="167" spans="1:123" s="228" customFormat="1" ht="15" customHeight="1" x14ac:dyDescent="0.15">
      <c r="A167" s="1715" t="s">
        <v>348</v>
      </c>
      <c r="B167" s="1716" t="s">
        <v>348</v>
      </c>
      <c r="C167" s="1140">
        <f t="shared" si="121"/>
        <v>0</v>
      </c>
      <c r="D167" s="702">
        <f t="shared" si="124"/>
        <v>0</v>
      </c>
      <c r="E167" s="891">
        <f t="shared" si="124"/>
        <v>0</v>
      </c>
      <c r="F167" s="888">
        <v>0</v>
      </c>
      <c r="G167" s="753">
        <v>0</v>
      </c>
      <c r="H167" s="753">
        <v>0</v>
      </c>
      <c r="I167" s="753">
        <v>0</v>
      </c>
      <c r="J167" s="753">
        <v>0</v>
      </c>
      <c r="K167" s="753">
        <v>0</v>
      </c>
      <c r="L167" s="753">
        <v>0</v>
      </c>
      <c r="M167" s="753">
        <v>0</v>
      </c>
      <c r="N167" s="753">
        <v>0</v>
      </c>
      <c r="O167" s="753">
        <v>0</v>
      </c>
      <c r="P167" s="753">
        <v>0</v>
      </c>
      <c r="Q167" s="753">
        <v>0</v>
      </c>
      <c r="R167" s="753">
        <v>0</v>
      </c>
      <c r="S167" s="753">
        <v>0</v>
      </c>
      <c r="T167" s="753">
        <v>0</v>
      </c>
      <c r="U167" s="753">
        <v>0</v>
      </c>
      <c r="V167" s="753">
        <v>0</v>
      </c>
      <c r="W167" s="753">
        <v>0</v>
      </c>
      <c r="X167" s="753">
        <v>0</v>
      </c>
      <c r="Y167" s="753">
        <v>0</v>
      </c>
      <c r="Z167" s="753">
        <v>0</v>
      </c>
      <c r="AA167" s="753">
        <v>0</v>
      </c>
      <c r="AB167" s="753">
        <v>0</v>
      </c>
      <c r="AC167" s="753">
        <v>0</v>
      </c>
      <c r="AD167" s="753">
        <v>0</v>
      </c>
      <c r="AE167" s="753">
        <v>0</v>
      </c>
      <c r="AF167" s="753">
        <v>0</v>
      </c>
      <c r="AG167" s="753">
        <v>0</v>
      </c>
      <c r="AH167" s="753">
        <v>0</v>
      </c>
      <c r="AI167" s="753">
        <v>0</v>
      </c>
      <c r="AJ167" s="753">
        <v>0</v>
      </c>
      <c r="AK167" s="753">
        <v>0</v>
      </c>
      <c r="AL167" s="753">
        <v>0</v>
      </c>
      <c r="AM167" s="753">
        <v>0</v>
      </c>
      <c r="AN167" s="753">
        <v>0</v>
      </c>
      <c r="AO167" s="753">
        <v>0</v>
      </c>
      <c r="AP167" s="753">
        <v>0</v>
      </c>
      <c r="AQ167" s="806">
        <v>0</v>
      </c>
      <c r="AR167" s="754">
        <v>0</v>
      </c>
      <c r="AS167" s="806">
        <v>0</v>
      </c>
      <c r="AT167" s="942">
        <v>0</v>
      </c>
      <c r="AU167" s="755">
        <v>0</v>
      </c>
      <c r="AV167" s="109" t="str">
        <f t="shared" si="118"/>
        <v/>
      </c>
      <c r="AW167" s="756"/>
      <c r="AX167" s="756"/>
      <c r="AY167" s="756"/>
      <c r="AZ167" s="756"/>
      <c r="BA167" s="807"/>
      <c r="BB167" s="807"/>
      <c r="BC167" s="807"/>
      <c r="BD167" s="807"/>
      <c r="BE167" s="807"/>
      <c r="BF167" s="807"/>
      <c r="BG167" s="807"/>
      <c r="BH167" s="807"/>
      <c r="BI167" s="807"/>
      <c r="BJ167" s="807"/>
      <c r="BK167" s="807"/>
      <c r="BL167" s="807"/>
      <c r="BM167" s="807"/>
      <c r="BN167" s="807"/>
      <c r="BO167" s="807"/>
      <c r="BP167" s="807"/>
      <c r="BQ167" s="807"/>
      <c r="BR167" s="807"/>
      <c r="BS167" s="807"/>
      <c r="BT167" s="807"/>
      <c r="BU167" s="807"/>
      <c r="CA167" s="191" t="str">
        <f t="shared" si="119"/>
        <v/>
      </c>
      <c r="CB167" s="191" t="str">
        <f t="shared" si="120"/>
        <v/>
      </c>
      <c r="CC167" s="191" t="str">
        <f t="shared" si="111"/>
        <v/>
      </c>
      <c r="CD167" s="191" t="str">
        <f t="shared" si="112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48">
        <f t="shared" si="113"/>
        <v>0</v>
      </c>
      <c r="DQ167" s="1048">
        <f t="shared" si="114"/>
        <v>0</v>
      </c>
      <c r="DR167" s="1048">
        <f t="shared" si="115"/>
        <v>0</v>
      </c>
      <c r="DS167" s="1048">
        <f t="shared" si="116"/>
        <v>0</v>
      </c>
    </row>
    <row r="168" spans="1:123" s="228" customFormat="1" ht="15" customHeight="1" x14ac:dyDescent="0.15">
      <c r="A168" s="1715" t="s">
        <v>349</v>
      </c>
      <c r="B168" s="1716" t="s">
        <v>349</v>
      </c>
      <c r="C168" s="1140">
        <f t="shared" si="121"/>
        <v>0</v>
      </c>
      <c r="D168" s="702">
        <f t="shared" si="124"/>
        <v>0</v>
      </c>
      <c r="E168" s="891">
        <f t="shared" si="124"/>
        <v>0</v>
      </c>
      <c r="F168" s="888">
        <v>0</v>
      </c>
      <c r="G168" s="753">
        <v>0</v>
      </c>
      <c r="H168" s="753">
        <v>0</v>
      </c>
      <c r="I168" s="753">
        <v>0</v>
      </c>
      <c r="J168" s="753">
        <v>0</v>
      </c>
      <c r="K168" s="753">
        <v>0</v>
      </c>
      <c r="L168" s="753">
        <v>0</v>
      </c>
      <c r="M168" s="753">
        <v>0</v>
      </c>
      <c r="N168" s="753">
        <v>0</v>
      </c>
      <c r="O168" s="753">
        <v>0</v>
      </c>
      <c r="P168" s="753">
        <v>0</v>
      </c>
      <c r="Q168" s="753">
        <v>0</v>
      </c>
      <c r="R168" s="753">
        <v>0</v>
      </c>
      <c r="S168" s="753">
        <v>0</v>
      </c>
      <c r="T168" s="753">
        <v>0</v>
      </c>
      <c r="U168" s="753">
        <v>0</v>
      </c>
      <c r="V168" s="753">
        <v>0</v>
      </c>
      <c r="W168" s="753">
        <v>0</v>
      </c>
      <c r="X168" s="753">
        <v>0</v>
      </c>
      <c r="Y168" s="753">
        <v>0</v>
      </c>
      <c r="Z168" s="753">
        <v>0</v>
      </c>
      <c r="AA168" s="753">
        <v>0</v>
      </c>
      <c r="AB168" s="753">
        <v>0</v>
      </c>
      <c r="AC168" s="753">
        <v>0</v>
      </c>
      <c r="AD168" s="753">
        <v>0</v>
      </c>
      <c r="AE168" s="753">
        <v>0</v>
      </c>
      <c r="AF168" s="753">
        <v>0</v>
      </c>
      <c r="AG168" s="753">
        <v>0</v>
      </c>
      <c r="AH168" s="753">
        <v>0</v>
      </c>
      <c r="AI168" s="753">
        <v>0</v>
      </c>
      <c r="AJ168" s="753">
        <v>0</v>
      </c>
      <c r="AK168" s="753">
        <v>0</v>
      </c>
      <c r="AL168" s="753">
        <v>0</v>
      </c>
      <c r="AM168" s="753">
        <v>0</v>
      </c>
      <c r="AN168" s="753">
        <v>0</v>
      </c>
      <c r="AO168" s="753">
        <v>0</v>
      </c>
      <c r="AP168" s="753">
        <v>0</v>
      </c>
      <c r="AQ168" s="806">
        <v>0</v>
      </c>
      <c r="AR168" s="754">
        <v>0</v>
      </c>
      <c r="AS168" s="806">
        <v>0</v>
      </c>
      <c r="AT168" s="942">
        <v>0</v>
      </c>
      <c r="AU168" s="755">
        <v>0</v>
      </c>
      <c r="AV168" s="109" t="str">
        <f t="shared" si="118"/>
        <v/>
      </c>
      <c r="AW168" s="756"/>
      <c r="AX168" s="756"/>
      <c r="AY168" s="756"/>
      <c r="AZ168" s="756"/>
      <c r="BA168" s="807"/>
      <c r="BB168" s="807"/>
      <c r="BC168" s="807"/>
      <c r="BD168" s="807"/>
      <c r="BE168" s="807"/>
      <c r="BF168" s="807"/>
      <c r="BG168" s="807"/>
      <c r="BH168" s="807"/>
      <c r="BI168" s="807"/>
      <c r="BJ168" s="807"/>
      <c r="BK168" s="807"/>
      <c r="BL168" s="807"/>
      <c r="BM168" s="807"/>
      <c r="BN168" s="807"/>
      <c r="BO168" s="807"/>
      <c r="BP168" s="807"/>
      <c r="BQ168" s="807"/>
      <c r="BR168" s="807"/>
      <c r="BS168" s="807"/>
      <c r="BT168" s="807"/>
      <c r="BU168" s="807"/>
      <c r="CA168" s="191" t="str">
        <f t="shared" si="119"/>
        <v/>
      </c>
      <c r="CB168" s="191" t="str">
        <f t="shared" si="120"/>
        <v/>
      </c>
      <c r="CC168" s="191" t="str">
        <f t="shared" si="111"/>
        <v/>
      </c>
      <c r="CD168" s="191" t="str">
        <f t="shared" si="112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48">
        <f t="shared" si="113"/>
        <v>0</v>
      </c>
      <c r="DQ168" s="1048">
        <f t="shared" si="114"/>
        <v>0</v>
      </c>
      <c r="DR168" s="1048">
        <f t="shared" si="115"/>
        <v>0</v>
      </c>
      <c r="DS168" s="1048">
        <f t="shared" si="116"/>
        <v>0</v>
      </c>
    </row>
    <row r="169" spans="1:123" ht="15" customHeight="1" x14ac:dyDescent="0.25">
      <c r="A169" s="1715" t="s">
        <v>350</v>
      </c>
      <c r="B169" s="1716" t="s">
        <v>350</v>
      </c>
      <c r="C169" s="353">
        <f t="shared" ref="C169:C190" si="125">SUM(D169:E169)</f>
        <v>0</v>
      </c>
      <c r="D169" s="1138">
        <f t="shared" si="122"/>
        <v>0</v>
      </c>
      <c r="E169" s="890">
        <f t="shared" si="123"/>
        <v>0</v>
      </c>
      <c r="F169" s="357">
        <v>0</v>
      </c>
      <c r="G169" s="376">
        <v>0</v>
      </c>
      <c r="H169" s="376">
        <v>0</v>
      </c>
      <c r="I169" s="376">
        <v>0</v>
      </c>
      <c r="J169" s="376">
        <v>0</v>
      </c>
      <c r="K169" s="376">
        <v>0</v>
      </c>
      <c r="L169" s="376">
        <v>0</v>
      </c>
      <c r="M169" s="376">
        <v>0</v>
      </c>
      <c r="N169" s="376">
        <v>0</v>
      </c>
      <c r="O169" s="376">
        <v>0</v>
      </c>
      <c r="P169" s="376">
        <v>0</v>
      </c>
      <c r="Q169" s="376">
        <v>0</v>
      </c>
      <c r="R169" s="376">
        <v>0</v>
      </c>
      <c r="S169" s="376">
        <v>0</v>
      </c>
      <c r="T169" s="376">
        <v>0</v>
      </c>
      <c r="U169" s="376">
        <v>0</v>
      </c>
      <c r="V169" s="376">
        <v>0</v>
      </c>
      <c r="W169" s="376">
        <v>0</v>
      </c>
      <c r="X169" s="376">
        <v>0</v>
      </c>
      <c r="Y169" s="376">
        <v>0</v>
      </c>
      <c r="Z169" s="376">
        <v>0</v>
      </c>
      <c r="AA169" s="376">
        <v>0</v>
      </c>
      <c r="AB169" s="376">
        <v>0</v>
      </c>
      <c r="AC169" s="376">
        <v>0</v>
      </c>
      <c r="AD169" s="376">
        <v>0</v>
      </c>
      <c r="AE169" s="376">
        <v>0</v>
      </c>
      <c r="AF169" s="376">
        <v>0</v>
      </c>
      <c r="AG169" s="376">
        <v>0</v>
      </c>
      <c r="AH169" s="376">
        <v>0</v>
      </c>
      <c r="AI169" s="376">
        <v>0</v>
      </c>
      <c r="AJ169" s="376">
        <v>0</v>
      </c>
      <c r="AK169" s="376">
        <v>0</v>
      </c>
      <c r="AL169" s="376">
        <v>0</v>
      </c>
      <c r="AM169" s="376">
        <v>0</v>
      </c>
      <c r="AN169" s="376">
        <v>0</v>
      </c>
      <c r="AO169" s="376">
        <v>0</v>
      </c>
      <c r="AP169" s="376">
        <v>0</v>
      </c>
      <c r="AQ169" s="356">
        <v>0</v>
      </c>
      <c r="AR169" s="358">
        <v>0</v>
      </c>
      <c r="AS169" s="356">
        <v>0</v>
      </c>
      <c r="AT169" s="354">
        <v>0</v>
      </c>
      <c r="AU169" s="355">
        <v>0</v>
      </c>
      <c r="AV169" s="109" t="str">
        <f t="shared" si="118"/>
        <v/>
      </c>
      <c r="AW169" s="109"/>
      <c r="AX169" s="109"/>
      <c r="AY169" s="109"/>
      <c r="AZ169" s="109"/>
      <c r="BR169" s="607"/>
      <c r="BS169" s="607"/>
      <c r="BT169" s="607"/>
      <c r="BU169" s="607"/>
      <c r="CA169" s="191" t="str">
        <f t="shared" si="119"/>
        <v/>
      </c>
      <c r="CB169" s="191" t="str">
        <f t="shared" si="120"/>
        <v/>
      </c>
      <c r="CC169" s="191" t="str">
        <f t="shared" si="111"/>
        <v/>
      </c>
      <c r="CD169" s="191" t="str">
        <f t="shared" si="112"/>
        <v/>
      </c>
      <c r="DP169" s="1048">
        <f t="shared" si="113"/>
        <v>0</v>
      </c>
      <c r="DQ169" s="1048">
        <f t="shared" si="114"/>
        <v>0</v>
      </c>
      <c r="DR169" s="1048">
        <f t="shared" si="115"/>
        <v>0</v>
      </c>
      <c r="DS169" s="1048">
        <f t="shared" si="116"/>
        <v>0</v>
      </c>
    </row>
    <row r="170" spans="1:123" ht="15" customHeight="1" x14ac:dyDescent="0.25">
      <c r="A170" s="1715" t="s">
        <v>351</v>
      </c>
      <c r="B170" s="1716" t="s">
        <v>351</v>
      </c>
      <c r="C170" s="353">
        <f t="shared" si="125"/>
        <v>0</v>
      </c>
      <c r="D170" s="1138">
        <f t="shared" si="122"/>
        <v>0</v>
      </c>
      <c r="E170" s="890">
        <f t="shared" si="123"/>
        <v>0</v>
      </c>
      <c r="F170" s="357">
        <v>0</v>
      </c>
      <c r="G170" s="376">
        <v>0</v>
      </c>
      <c r="H170" s="376">
        <v>0</v>
      </c>
      <c r="I170" s="376">
        <v>0</v>
      </c>
      <c r="J170" s="376">
        <v>0</v>
      </c>
      <c r="K170" s="376">
        <v>0</v>
      </c>
      <c r="L170" s="376">
        <v>0</v>
      </c>
      <c r="M170" s="376">
        <v>0</v>
      </c>
      <c r="N170" s="376">
        <v>0</v>
      </c>
      <c r="O170" s="376">
        <v>0</v>
      </c>
      <c r="P170" s="376">
        <v>0</v>
      </c>
      <c r="Q170" s="376">
        <v>0</v>
      </c>
      <c r="R170" s="376">
        <v>0</v>
      </c>
      <c r="S170" s="376">
        <v>0</v>
      </c>
      <c r="T170" s="376">
        <v>0</v>
      </c>
      <c r="U170" s="376">
        <v>0</v>
      </c>
      <c r="V170" s="376">
        <v>0</v>
      </c>
      <c r="W170" s="376">
        <v>0</v>
      </c>
      <c r="X170" s="376">
        <v>0</v>
      </c>
      <c r="Y170" s="376">
        <v>0</v>
      </c>
      <c r="Z170" s="376">
        <v>0</v>
      </c>
      <c r="AA170" s="376">
        <v>0</v>
      </c>
      <c r="AB170" s="376">
        <v>0</v>
      </c>
      <c r="AC170" s="376">
        <v>0</v>
      </c>
      <c r="AD170" s="376">
        <v>0</v>
      </c>
      <c r="AE170" s="376">
        <v>0</v>
      </c>
      <c r="AF170" s="376">
        <v>0</v>
      </c>
      <c r="AG170" s="376">
        <v>0</v>
      </c>
      <c r="AH170" s="376">
        <v>0</v>
      </c>
      <c r="AI170" s="376">
        <v>0</v>
      </c>
      <c r="AJ170" s="376">
        <v>0</v>
      </c>
      <c r="AK170" s="376">
        <v>0</v>
      </c>
      <c r="AL170" s="376">
        <v>0</v>
      </c>
      <c r="AM170" s="376">
        <v>0</v>
      </c>
      <c r="AN170" s="376">
        <v>0</v>
      </c>
      <c r="AO170" s="376">
        <v>0</v>
      </c>
      <c r="AP170" s="376">
        <v>0</v>
      </c>
      <c r="AQ170" s="356">
        <v>0</v>
      </c>
      <c r="AR170" s="358">
        <v>0</v>
      </c>
      <c r="AS170" s="356">
        <v>0</v>
      </c>
      <c r="AT170" s="354">
        <v>0</v>
      </c>
      <c r="AU170" s="355">
        <v>0</v>
      </c>
      <c r="AV170" s="109" t="str">
        <f t="shared" si="118"/>
        <v/>
      </c>
      <c r="AW170" s="109"/>
      <c r="AX170" s="109"/>
      <c r="AY170" s="109"/>
      <c r="AZ170" s="109"/>
      <c r="BR170" s="607"/>
      <c r="BS170" s="607"/>
      <c r="BT170" s="607"/>
      <c r="BU170" s="607"/>
      <c r="CA170" s="191" t="str">
        <f t="shared" si="119"/>
        <v/>
      </c>
      <c r="CB170" s="191" t="str">
        <f t="shared" si="120"/>
        <v/>
      </c>
      <c r="CC170" s="191" t="str">
        <f t="shared" si="111"/>
        <v/>
      </c>
      <c r="CD170" s="191" t="str">
        <f t="shared" si="112"/>
        <v/>
      </c>
      <c r="DP170" s="1048">
        <f t="shared" si="113"/>
        <v>0</v>
      </c>
      <c r="DQ170" s="1048">
        <f t="shared" si="114"/>
        <v>0</v>
      </c>
      <c r="DR170" s="1048">
        <f t="shared" si="115"/>
        <v>0</v>
      </c>
      <c r="DS170" s="1048">
        <f t="shared" si="116"/>
        <v>0</v>
      </c>
    </row>
    <row r="171" spans="1:123" ht="15" customHeight="1" x14ac:dyDescent="0.25">
      <c r="A171" s="1715" t="s">
        <v>352</v>
      </c>
      <c r="B171" s="1716" t="s">
        <v>352</v>
      </c>
      <c r="C171" s="353">
        <f t="shared" si="125"/>
        <v>0</v>
      </c>
      <c r="D171" s="1138">
        <f t="shared" si="122"/>
        <v>0</v>
      </c>
      <c r="E171" s="890">
        <f t="shared" si="123"/>
        <v>0</v>
      </c>
      <c r="F171" s="357">
        <v>0</v>
      </c>
      <c r="G171" s="376">
        <v>0</v>
      </c>
      <c r="H171" s="376">
        <v>0</v>
      </c>
      <c r="I171" s="376">
        <v>0</v>
      </c>
      <c r="J171" s="376">
        <v>0</v>
      </c>
      <c r="K171" s="376">
        <v>0</v>
      </c>
      <c r="L171" s="376">
        <v>0</v>
      </c>
      <c r="M171" s="376">
        <v>0</v>
      </c>
      <c r="N171" s="376">
        <v>0</v>
      </c>
      <c r="O171" s="376">
        <v>0</v>
      </c>
      <c r="P171" s="376">
        <v>0</v>
      </c>
      <c r="Q171" s="376">
        <v>0</v>
      </c>
      <c r="R171" s="376">
        <v>0</v>
      </c>
      <c r="S171" s="376">
        <v>0</v>
      </c>
      <c r="T171" s="376">
        <v>0</v>
      </c>
      <c r="U171" s="376">
        <v>0</v>
      </c>
      <c r="V171" s="376">
        <v>0</v>
      </c>
      <c r="W171" s="376">
        <v>0</v>
      </c>
      <c r="X171" s="376">
        <v>0</v>
      </c>
      <c r="Y171" s="376">
        <v>0</v>
      </c>
      <c r="Z171" s="376">
        <v>0</v>
      </c>
      <c r="AA171" s="376">
        <v>0</v>
      </c>
      <c r="AB171" s="376">
        <v>0</v>
      </c>
      <c r="AC171" s="376">
        <v>0</v>
      </c>
      <c r="AD171" s="376">
        <v>0</v>
      </c>
      <c r="AE171" s="376">
        <v>0</v>
      </c>
      <c r="AF171" s="376">
        <v>0</v>
      </c>
      <c r="AG171" s="376">
        <v>0</v>
      </c>
      <c r="AH171" s="376">
        <v>0</v>
      </c>
      <c r="AI171" s="376">
        <v>0</v>
      </c>
      <c r="AJ171" s="376">
        <v>0</v>
      </c>
      <c r="AK171" s="376">
        <v>0</v>
      </c>
      <c r="AL171" s="376">
        <v>0</v>
      </c>
      <c r="AM171" s="376">
        <v>0</v>
      </c>
      <c r="AN171" s="376">
        <v>0</v>
      </c>
      <c r="AO171" s="376">
        <v>0</v>
      </c>
      <c r="AP171" s="376">
        <v>0</v>
      </c>
      <c r="AQ171" s="356">
        <v>0</v>
      </c>
      <c r="AR171" s="358">
        <v>0</v>
      </c>
      <c r="AS171" s="356">
        <v>0</v>
      </c>
      <c r="AT171" s="354">
        <v>0</v>
      </c>
      <c r="AU171" s="355">
        <v>0</v>
      </c>
      <c r="AV171" s="109" t="str">
        <f t="shared" si="118"/>
        <v/>
      </c>
      <c r="AW171" s="109"/>
      <c r="AX171" s="109"/>
      <c r="AY171" s="109"/>
      <c r="AZ171" s="109"/>
      <c r="BR171" s="607"/>
      <c r="BS171" s="607"/>
      <c r="BT171" s="607"/>
      <c r="BU171" s="607"/>
      <c r="CA171" s="191" t="str">
        <f t="shared" si="119"/>
        <v/>
      </c>
      <c r="CB171" s="191" t="str">
        <f t="shared" si="120"/>
        <v/>
      </c>
      <c r="CC171" s="191" t="str">
        <f t="shared" si="111"/>
        <v/>
      </c>
      <c r="CD171" s="191" t="str">
        <f t="shared" si="112"/>
        <v/>
      </c>
      <c r="DP171" s="1048">
        <f t="shared" si="113"/>
        <v>0</v>
      </c>
      <c r="DQ171" s="1048">
        <f t="shared" si="114"/>
        <v>0</v>
      </c>
      <c r="DR171" s="1048">
        <f t="shared" si="115"/>
        <v>0</v>
      </c>
      <c r="DS171" s="1048">
        <f t="shared" si="116"/>
        <v>0</v>
      </c>
    </row>
    <row r="172" spans="1:123" ht="15" customHeight="1" x14ac:dyDescent="0.25">
      <c r="A172" s="1715" t="s">
        <v>353</v>
      </c>
      <c r="B172" s="1716" t="s">
        <v>353</v>
      </c>
      <c r="C172" s="353">
        <f t="shared" ref="C172:C178" si="126">SUM(D172:E172)</f>
        <v>0</v>
      </c>
      <c r="D172" s="1138">
        <f t="shared" ref="D172:E178" si="127">+F172+H172+J172+L172+N172+P172+R172+T172+V172+X172+Z172+AB172+AD172+AF172+AH172+AN172+AP172+AJ172+AL172</f>
        <v>0</v>
      </c>
      <c r="E172" s="890">
        <f t="shared" si="127"/>
        <v>0</v>
      </c>
      <c r="F172" s="357">
        <v>0</v>
      </c>
      <c r="G172" s="376">
        <v>0</v>
      </c>
      <c r="H172" s="376">
        <v>0</v>
      </c>
      <c r="I172" s="376">
        <v>0</v>
      </c>
      <c r="J172" s="376">
        <v>0</v>
      </c>
      <c r="K172" s="376">
        <v>0</v>
      </c>
      <c r="L172" s="376">
        <v>0</v>
      </c>
      <c r="M172" s="376">
        <v>0</v>
      </c>
      <c r="N172" s="376">
        <v>0</v>
      </c>
      <c r="O172" s="376">
        <v>0</v>
      </c>
      <c r="P172" s="376">
        <v>0</v>
      </c>
      <c r="Q172" s="376">
        <v>0</v>
      </c>
      <c r="R172" s="376">
        <v>0</v>
      </c>
      <c r="S172" s="376">
        <v>0</v>
      </c>
      <c r="T172" s="376">
        <v>0</v>
      </c>
      <c r="U172" s="376">
        <v>0</v>
      </c>
      <c r="V172" s="376">
        <v>0</v>
      </c>
      <c r="W172" s="376">
        <v>0</v>
      </c>
      <c r="X172" s="376">
        <v>0</v>
      </c>
      <c r="Y172" s="376">
        <v>0</v>
      </c>
      <c r="Z172" s="376">
        <v>0</v>
      </c>
      <c r="AA172" s="376">
        <v>0</v>
      </c>
      <c r="AB172" s="376">
        <v>0</v>
      </c>
      <c r="AC172" s="376">
        <v>0</v>
      </c>
      <c r="AD172" s="376">
        <v>0</v>
      </c>
      <c r="AE172" s="376">
        <v>0</v>
      </c>
      <c r="AF172" s="376">
        <v>0</v>
      </c>
      <c r="AG172" s="376">
        <v>0</v>
      </c>
      <c r="AH172" s="376">
        <v>0</v>
      </c>
      <c r="AI172" s="376">
        <v>0</v>
      </c>
      <c r="AJ172" s="376">
        <v>0</v>
      </c>
      <c r="AK172" s="376">
        <v>0</v>
      </c>
      <c r="AL172" s="376">
        <v>0</v>
      </c>
      <c r="AM172" s="376">
        <v>0</v>
      </c>
      <c r="AN172" s="376">
        <v>0</v>
      </c>
      <c r="AO172" s="376">
        <v>0</v>
      </c>
      <c r="AP172" s="376">
        <v>0</v>
      </c>
      <c r="AQ172" s="356">
        <v>0</v>
      </c>
      <c r="AR172" s="358">
        <v>0</v>
      </c>
      <c r="AS172" s="356">
        <v>0</v>
      </c>
      <c r="AT172" s="354">
        <v>0</v>
      </c>
      <c r="AU172" s="355">
        <v>0</v>
      </c>
      <c r="AV172" s="109" t="str">
        <f t="shared" si="118"/>
        <v/>
      </c>
      <c r="AW172" s="109"/>
      <c r="AX172" s="109"/>
      <c r="AY172" s="109"/>
      <c r="AZ172" s="109"/>
      <c r="BR172" s="607"/>
      <c r="BS172" s="607"/>
      <c r="BT172" s="607"/>
      <c r="BU172" s="607"/>
      <c r="CA172" s="191" t="str">
        <f t="shared" si="119"/>
        <v/>
      </c>
      <c r="CB172" s="191" t="str">
        <f t="shared" si="120"/>
        <v/>
      </c>
      <c r="CC172" s="191" t="str">
        <f t="shared" si="111"/>
        <v/>
      </c>
      <c r="CD172" s="191" t="str">
        <f t="shared" si="112"/>
        <v/>
      </c>
      <c r="DP172" s="1048">
        <f t="shared" si="113"/>
        <v>0</v>
      </c>
      <c r="DQ172" s="1048">
        <f t="shared" si="114"/>
        <v>0</v>
      </c>
      <c r="DR172" s="1048">
        <f t="shared" si="115"/>
        <v>0</v>
      </c>
      <c r="DS172" s="1048">
        <f t="shared" si="116"/>
        <v>0</v>
      </c>
    </row>
    <row r="173" spans="1:123" ht="15" customHeight="1" x14ac:dyDescent="0.25">
      <c r="A173" s="1715" t="s">
        <v>354</v>
      </c>
      <c r="B173" s="1716" t="s">
        <v>354</v>
      </c>
      <c r="C173" s="353">
        <f t="shared" si="126"/>
        <v>0</v>
      </c>
      <c r="D173" s="1138">
        <f t="shared" si="127"/>
        <v>0</v>
      </c>
      <c r="E173" s="890">
        <f t="shared" si="127"/>
        <v>0</v>
      </c>
      <c r="F173" s="357">
        <v>0</v>
      </c>
      <c r="G173" s="376">
        <v>0</v>
      </c>
      <c r="H173" s="376">
        <v>0</v>
      </c>
      <c r="I173" s="376">
        <v>0</v>
      </c>
      <c r="J173" s="376">
        <v>0</v>
      </c>
      <c r="K173" s="376">
        <v>0</v>
      </c>
      <c r="L173" s="376">
        <v>0</v>
      </c>
      <c r="M173" s="376">
        <v>0</v>
      </c>
      <c r="N173" s="376">
        <v>0</v>
      </c>
      <c r="O173" s="376">
        <v>0</v>
      </c>
      <c r="P173" s="376">
        <v>0</v>
      </c>
      <c r="Q173" s="376">
        <v>0</v>
      </c>
      <c r="R173" s="376">
        <v>0</v>
      </c>
      <c r="S173" s="376">
        <v>0</v>
      </c>
      <c r="T173" s="376">
        <v>0</v>
      </c>
      <c r="U173" s="376">
        <v>0</v>
      </c>
      <c r="V173" s="376">
        <v>0</v>
      </c>
      <c r="W173" s="376">
        <v>0</v>
      </c>
      <c r="X173" s="376">
        <v>0</v>
      </c>
      <c r="Y173" s="376">
        <v>0</v>
      </c>
      <c r="Z173" s="376">
        <v>0</v>
      </c>
      <c r="AA173" s="376">
        <v>0</v>
      </c>
      <c r="AB173" s="376">
        <v>0</v>
      </c>
      <c r="AC173" s="376">
        <v>0</v>
      </c>
      <c r="AD173" s="376">
        <v>0</v>
      </c>
      <c r="AE173" s="376">
        <v>0</v>
      </c>
      <c r="AF173" s="376">
        <v>0</v>
      </c>
      <c r="AG173" s="376">
        <v>0</v>
      </c>
      <c r="AH173" s="376">
        <v>0</v>
      </c>
      <c r="AI173" s="376">
        <v>0</v>
      </c>
      <c r="AJ173" s="376">
        <v>0</v>
      </c>
      <c r="AK173" s="376">
        <v>0</v>
      </c>
      <c r="AL173" s="376">
        <v>0</v>
      </c>
      <c r="AM173" s="376">
        <v>0</v>
      </c>
      <c r="AN173" s="376">
        <v>0</v>
      </c>
      <c r="AO173" s="376">
        <v>0</v>
      </c>
      <c r="AP173" s="376">
        <v>0</v>
      </c>
      <c r="AQ173" s="356">
        <v>0</v>
      </c>
      <c r="AR173" s="358">
        <v>0</v>
      </c>
      <c r="AS173" s="356">
        <v>0</v>
      </c>
      <c r="AT173" s="354">
        <v>0</v>
      </c>
      <c r="AU173" s="355">
        <v>0</v>
      </c>
      <c r="AV173" s="109" t="str">
        <f t="shared" si="118"/>
        <v/>
      </c>
      <c r="AW173" s="109"/>
      <c r="AX173" s="109"/>
      <c r="AY173" s="109"/>
      <c r="AZ173" s="109"/>
      <c r="BR173" s="607"/>
      <c r="BS173" s="607"/>
      <c r="BT173" s="607"/>
      <c r="BU173" s="607"/>
      <c r="CA173" s="191" t="str">
        <f t="shared" si="119"/>
        <v/>
      </c>
      <c r="CB173" s="191" t="str">
        <f t="shared" si="120"/>
        <v/>
      </c>
      <c r="CC173" s="191" t="str">
        <f t="shared" si="111"/>
        <v/>
      </c>
      <c r="CD173" s="191" t="str">
        <f t="shared" si="112"/>
        <v/>
      </c>
      <c r="DP173" s="1048">
        <f t="shared" si="113"/>
        <v>0</v>
      </c>
      <c r="DQ173" s="1048">
        <f t="shared" si="114"/>
        <v>0</v>
      </c>
      <c r="DR173" s="1048">
        <f t="shared" si="115"/>
        <v>0</v>
      </c>
      <c r="DS173" s="1048">
        <f t="shared" si="116"/>
        <v>0</v>
      </c>
    </row>
    <row r="174" spans="1:123" ht="15" customHeight="1" x14ac:dyDescent="0.25">
      <c r="A174" s="1715" t="s">
        <v>355</v>
      </c>
      <c r="B174" s="1716" t="s">
        <v>355</v>
      </c>
      <c r="C174" s="353">
        <f t="shared" si="126"/>
        <v>0</v>
      </c>
      <c r="D174" s="1138">
        <f t="shared" si="127"/>
        <v>0</v>
      </c>
      <c r="E174" s="890">
        <f t="shared" si="127"/>
        <v>0</v>
      </c>
      <c r="F174" s="357">
        <v>0</v>
      </c>
      <c r="G174" s="376">
        <v>0</v>
      </c>
      <c r="H174" s="376">
        <v>0</v>
      </c>
      <c r="I174" s="376">
        <v>0</v>
      </c>
      <c r="J174" s="376">
        <v>0</v>
      </c>
      <c r="K174" s="376">
        <v>0</v>
      </c>
      <c r="L174" s="376">
        <v>0</v>
      </c>
      <c r="M174" s="376">
        <v>0</v>
      </c>
      <c r="N174" s="376">
        <v>0</v>
      </c>
      <c r="O174" s="376">
        <v>0</v>
      </c>
      <c r="P174" s="376">
        <v>0</v>
      </c>
      <c r="Q174" s="376">
        <v>0</v>
      </c>
      <c r="R174" s="376">
        <v>0</v>
      </c>
      <c r="S174" s="376">
        <v>0</v>
      </c>
      <c r="T174" s="376">
        <v>0</v>
      </c>
      <c r="U174" s="376">
        <v>0</v>
      </c>
      <c r="V174" s="376">
        <v>0</v>
      </c>
      <c r="W174" s="376">
        <v>0</v>
      </c>
      <c r="X174" s="376">
        <v>0</v>
      </c>
      <c r="Y174" s="376">
        <v>0</v>
      </c>
      <c r="Z174" s="376">
        <v>0</v>
      </c>
      <c r="AA174" s="376">
        <v>0</v>
      </c>
      <c r="AB174" s="376">
        <v>0</v>
      </c>
      <c r="AC174" s="376">
        <v>0</v>
      </c>
      <c r="AD174" s="376">
        <v>0</v>
      </c>
      <c r="AE174" s="376">
        <v>0</v>
      </c>
      <c r="AF174" s="376">
        <v>0</v>
      </c>
      <c r="AG174" s="376">
        <v>0</v>
      </c>
      <c r="AH174" s="376">
        <v>0</v>
      </c>
      <c r="AI174" s="376">
        <v>0</v>
      </c>
      <c r="AJ174" s="376">
        <v>0</v>
      </c>
      <c r="AK174" s="376">
        <v>0</v>
      </c>
      <c r="AL174" s="376">
        <v>0</v>
      </c>
      <c r="AM174" s="376">
        <v>0</v>
      </c>
      <c r="AN174" s="376">
        <v>0</v>
      </c>
      <c r="AO174" s="376">
        <v>0</v>
      </c>
      <c r="AP174" s="376">
        <v>0</v>
      </c>
      <c r="AQ174" s="356">
        <v>0</v>
      </c>
      <c r="AR174" s="358">
        <v>0</v>
      </c>
      <c r="AS174" s="356">
        <v>0</v>
      </c>
      <c r="AT174" s="354">
        <v>0</v>
      </c>
      <c r="AU174" s="355">
        <v>0</v>
      </c>
      <c r="AV174" s="109" t="str">
        <f t="shared" si="118"/>
        <v/>
      </c>
      <c r="AW174" s="109"/>
      <c r="AX174" s="109"/>
      <c r="AY174" s="109"/>
      <c r="AZ174" s="109"/>
      <c r="BR174" s="607"/>
      <c r="BS174" s="607"/>
      <c r="BT174" s="607"/>
      <c r="BU174" s="607"/>
      <c r="CA174" s="191" t="str">
        <f t="shared" si="119"/>
        <v/>
      </c>
      <c r="CB174" s="191" t="str">
        <f t="shared" si="120"/>
        <v/>
      </c>
      <c r="CC174" s="191" t="str">
        <f t="shared" si="111"/>
        <v/>
      </c>
      <c r="CD174" s="191" t="str">
        <f t="shared" si="112"/>
        <v/>
      </c>
      <c r="DP174" s="1048">
        <f t="shared" si="113"/>
        <v>0</v>
      </c>
      <c r="DQ174" s="1048">
        <f t="shared" si="114"/>
        <v>0</v>
      </c>
      <c r="DR174" s="1048">
        <f t="shared" si="115"/>
        <v>0</v>
      </c>
      <c r="DS174" s="1048">
        <f t="shared" si="116"/>
        <v>0</v>
      </c>
    </row>
    <row r="175" spans="1:123" ht="15" customHeight="1" x14ac:dyDescent="0.25">
      <c r="A175" s="1715" t="s">
        <v>356</v>
      </c>
      <c r="B175" s="1716" t="s">
        <v>356</v>
      </c>
      <c r="C175" s="353">
        <f t="shared" si="126"/>
        <v>0</v>
      </c>
      <c r="D175" s="1138">
        <f t="shared" si="127"/>
        <v>0</v>
      </c>
      <c r="E175" s="890">
        <f t="shared" si="127"/>
        <v>0</v>
      </c>
      <c r="F175" s="357">
        <v>0</v>
      </c>
      <c r="G175" s="376">
        <v>0</v>
      </c>
      <c r="H175" s="376">
        <v>0</v>
      </c>
      <c r="I175" s="376">
        <v>0</v>
      </c>
      <c r="J175" s="376">
        <v>0</v>
      </c>
      <c r="K175" s="376">
        <v>0</v>
      </c>
      <c r="L175" s="376">
        <v>0</v>
      </c>
      <c r="M175" s="376">
        <v>0</v>
      </c>
      <c r="N175" s="376">
        <v>0</v>
      </c>
      <c r="O175" s="376">
        <v>0</v>
      </c>
      <c r="P175" s="376">
        <v>0</v>
      </c>
      <c r="Q175" s="376">
        <v>0</v>
      </c>
      <c r="R175" s="376">
        <v>0</v>
      </c>
      <c r="S175" s="376">
        <v>0</v>
      </c>
      <c r="T175" s="376">
        <v>0</v>
      </c>
      <c r="U175" s="376">
        <v>0</v>
      </c>
      <c r="V175" s="376">
        <v>0</v>
      </c>
      <c r="W175" s="376">
        <v>0</v>
      </c>
      <c r="X175" s="376">
        <v>0</v>
      </c>
      <c r="Y175" s="376">
        <v>0</v>
      </c>
      <c r="Z175" s="376">
        <v>0</v>
      </c>
      <c r="AA175" s="376">
        <v>0</v>
      </c>
      <c r="AB175" s="376">
        <v>0</v>
      </c>
      <c r="AC175" s="376">
        <v>0</v>
      </c>
      <c r="AD175" s="376">
        <v>0</v>
      </c>
      <c r="AE175" s="376">
        <v>0</v>
      </c>
      <c r="AF175" s="376">
        <v>0</v>
      </c>
      <c r="AG175" s="376">
        <v>0</v>
      </c>
      <c r="AH175" s="376">
        <v>0</v>
      </c>
      <c r="AI175" s="376">
        <v>0</v>
      </c>
      <c r="AJ175" s="376">
        <v>0</v>
      </c>
      <c r="AK175" s="376">
        <v>0</v>
      </c>
      <c r="AL175" s="376">
        <v>0</v>
      </c>
      <c r="AM175" s="376">
        <v>0</v>
      </c>
      <c r="AN175" s="376">
        <v>0</v>
      </c>
      <c r="AO175" s="376">
        <v>0</v>
      </c>
      <c r="AP175" s="376">
        <v>0</v>
      </c>
      <c r="AQ175" s="356">
        <v>0</v>
      </c>
      <c r="AR175" s="358">
        <v>0</v>
      </c>
      <c r="AS175" s="356">
        <v>0</v>
      </c>
      <c r="AT175" s="354">
        <v>0</v>
      </c>
      <c r="AU175" s="355">
        <v>0</v>
      </c>
      <c r="AV175" s="109" t="str">
        <f t="shared" si="118"/>
        <v/>
      </c>
      <c r="AW175" s="109"/>
      <c r="AX175" s="109"/>
      <c r="AY175" s="109"/>
      <c r="AZ175" s="109"/>
      <c r="BR175" s="607"/>
      <c r="BS175" s="607"/>
      <c r="BT175" s="607"/>
      <c r="BU175" s="607"/>
      <c r="CA175" s="191" t="str">
        <f t="shared" si="119"/>
        <v/>
      </c>
      <c r="CB175" s="191" t="str">
        <f t="shared" si="120"/>
        <v/>
      </c>
      <c r="CC175" s="191" t="str">
        <f t="shared" si="111"/>
        <v/>
      </c>
      <c r="CD175" s="191" t="str">
        <f t="shared" si="112"/>
        <v/>
      </c>
      <c r="DP175" s="1048">
        <f t="shared" si="113"/>
        <v>0</v>
      </c>
      <c r="DQ175" s="1048">
        <f t="shared" si="114"/>
        <v>0</v>
      </c>
      <c r="DR175" s="1048">
        <f t="shared" si="115"/>
        <v>0</v>
      </c>
      <c r="DS175" s="1048">
        <f t="shared" si="116"/>
        <v>0</v>
      </c>
    </row>
    <row r="176" spans="1:123" ht="15" customHeight="1" x14ac:dyDescent="0.25">
      <c r="A176" s="1715" t="s">
        <v>357</v>
      </c>
      <c r="B176" s="1716"/>
      <c r="C176" s="338">
        <f t="shared" si="126"/>
        <v>0</v>
      </c>
      <c r="D176" s="1137">
        <f t="shared" si="127"/>
        <v>0</v>
      </c>
      <c r="E176" s="889">
        <f t="shared" si="127"/>
        <v>0</v>
      </c>
      <c r="F176" s="343">
        <v>0</v>
      </c>
      <c r="G176" s="646">
        <v>0</v>
      </c>
      <c r="H176" s="646">
        <v>0</v>
      </c>
      <c r="I176" s="646">
        <v>0</v>
      </c>
      <c r="J176" s="646">
        <v>0</v>
      </c>
      <c r="K176" s="646">
        <v>0</v>
      </c>
      <c r="L176" s="646">
        <v>0</v>
      </c>
      <c r="M176" s="646">
        <v>0</v>
      </c>
      <c r="N176" s="646">
        <v>0</v>
      </c>
      <c r="O176" s="646">
        <v>0</v>
      </c>
      <c r="P176" s="646">
        <v>0</v>
      </c>
      <c r="Q176" s="646">
        <v>0</v>
      </c>
      <c r="R176" s="646">
        <v>0</v>
      </c>
      <c r="S176" s="646">
        <v>0</v>
      </c>
      <c r="T176" s="646">
        <v>0</v>
      </c>
      <c r="U176" s="646">
        <v>0</v>
      </c>
      <c r="V176" s="646">
        <v>0</v>
      </c>
      <c r="W176" s="646">
        <v>0</v>
      </c>
      <c r="X176" s="646">
        <v>0</v>
      </c>
      <c r="Y176" s="646">
        <v>0</v>
      </c>
      <c r="Z176" s="646">
        <v>0</v>
      </c>
      <c r="AA176" s="646">
        <v>0</v>
      </c>
      <c r="AB176" s="646">
        <v>0</v>
      </c>
      <c r="AC176" s="646">
        <v>0</v>
      </c>
      <c r="AD176" s="646">
        <v>0</v>
      </c>
      <c r="AE176" s="646">
        <v>0</v>
      </c>
      <c r="AF176" s="646">
        <v>0</v>
      </c>
      <c r="AG176" s="646">
        <v>0</v>
      </c>
      <c r="AH176" s="646">
        <v>0</v>
      </c>
      <c r="AI176" s="646">
        <v>0</v>
      </c>
      <c r="AJ176" s="646">
        <v>0</v>
      </c>
      <c r="AK176" s="646">
        <v>0</v>
      </c>
      <c r="AL176" s="646">
        <v>0</v>
      </c>
      <c r="AM176" s="646">
        <v>0</v>
      </c>
      <c r="AN176" s="646">
        <v>0</v>
      </c>
      <c r="AO176" s="646">
        <v>0</v>
      </c>
      <c r="AP176" s="646">
        <v>0</v>
      </c>
      <c r="AQ176" s="344">
        <v>0</v>
      </c>
      <c r="AR176" s="347">
        <v>0</v>
      </c>
      <c r="AS176" s="344">
        <v>0</v>
      </c>
      <c r="AT176" s="342">
        <v>0</v>
      </c>
      <c r="AU176" s="345">
        <v>0</v>
      </c>
      <c r="AV176" s="109" t="str">
        <f t="shared" si="118"/>
        <v/>
      </c>
      <c r="CA176" s="191" t="str">
        <f t="shared" si="119"/>
        <v/>
      </c>
      <c r="CB176" s="191" t="str">
        <f t="shared" si="120"/>
        <v/>
      </c>
      <c r="CC176" s="191" t="str">
        <f t="shared" si="111"/>
        <v/>
      </c>
      <c r="CD176" s="191" t="str">
        <f t="shared" si="112"/>
        <v/>
      </c>
      <c r="DP176" s="1048">
        <f t="shared" si="113"/>
        <v>0</v>
      </c>
      <c r="DQ176" s="1048">
        <f t="shared" si="114"/>
        <v>0</v>
      </c>
      <c r="DR176" s="1048">
        <f t="shared" si="115"/>
        <v>0</v>
      </c>
      <c r="DS176" s="1048">
        <f t="shared" si="116"/>
        <v>0</v>
      </c>
    </row>
    <row r="177" spans="1:123" ht="15" customHeight="1" x14ac:dyDescent="0.25">
      <c r="A177" s="1715" t="s">
        <v>358</v>
      </c>
      <c r="B177" s="1716" t="s">
        <v>358</v>
      </c>
      <c r="C177" s="353">
        <f t="shared" si="126"/>
        <v>0</v>
      </c>
      <c r="D177" s="1138">
        <f t="shared" si="127"/>
        <v>0</v>
      </c>
      <c r="E177" s="890">
        <f t="shared" si="127"/>
        <v>0</v>
      </c>
      <c r="F177" s="357">
        <v>0</v>
      </c>
      <c r="G177" s="376">
        <v>0</v>
      </c>
      <c r="H177" s="376">
        <v>0</v>
      </c>
      <c r="I177" s="376">
        <v>0</v>
      </c>
      <c r="J177" s="376">
        <v>0</v>
      </c>
      <c r="K177" s="376">
        <v>0</v>
      </c>
      <c r="L177" s="376">
        <v>0</v>
      </c>
      <c r="M177" s="376">
        <v>0</v>
      </c>
      <c r="N177" s="376">
        <v>0</v>
      </c>
      <c r="O177" s="376">
        <v>0</v>
      </c>
      <c r="P177" s="376">
        <v>0</v>
      </c>
      <c r="Q177" s="376">
        <v>0</v>
      </c>
      <c r="R177" s="376">
        <v>0</v>
      </c>
      <c r="S177" s="376">
        <v>0</v>
      </c>
      <c r="T177" s="376">
        <v>0</v>
      </c>
      <c r="U177" s="376">
        <v>0</v>
      </c>
      <c r="V177" s="376">
        <v>0</v>
      </c>
      <c r="W177" s="376">
        <v>0</v>
      </c>
      <c r="X177" s="376">
        <v>0</v>
      </c>
      <c r="Y177" s="376">
        <v>0</v>
      </c>
      <c r="Z177" s="376">
        <v>0</v>
      </c>
      <c r="AA177" s="376">
        <v>0</v>
      </c>
      <c r="AB177" s="376">
        <v>0</v>
      </c>
      <c r="AC177" s="376">
        <v>0</v>
      </c>
      <c r="AD177" s="376">
        <v>0</v>
      </c>
      <c r="AE177" s="376">
        <v>0</v>
      </c>
      <c r="AF177" s="376">
        <v>0</v>
      </c>
      <c r="AG177" s="376">
        <v>0</v>
      </c>
      <c r="AH177" s="376">
        <v>0</v>
      </c>
      <c r="AI177" s="376">
        <v>0</v>
      </c>
      <c r="AJ177" s="376">
        <v>0</v>
      </c>
      <c r="AK177" s="376">
        <v>0</v>
      </c>
      <c r="AL177" s="376">
        <v>0</v>
      </c>
      <c r="AM177" s="376">
        <v>0</v>
      </c>
      <c r="AN177" s="376">
        <v>0</v>
      </c>
      <c r="AO177" s="376">
        <v>0</v>
      </c>
      <c r="AP177" s="376">
        <v>0</v>
      </c>
      <c r="AQ177" s="356">
        <v>0</v>
      </c>
      <c r="AR177" s="358">
        <v>0</v>
      </c>
      <c r="AS177" s="356">
        <v>0</v>
      </c>
      <c r="AT177" s="354">
        <v>0</v>
      </c>
      <c r="AU177" s="355">
        <v>0</v>
      </c>
      <c r="AV177" s="109" t="str">
        <f t="shared" si="118"/>
        <v/>
      </c>
      <c r="AW177" s="109"/>
      <c r="AX177" s="109"/>
      <c r="AY177" s="109"/>
      <c r="AZ177" s="109"/>
      <c r="BR177" s="607"/>
      <c r="BS177" s="607"/>
      <c r="BT177" s="607"/>
      <c r="BU177" s="607"/>
      <c r="CA177" s="191" t="str">
        <f t="shared" si="119"/>
        <v/>
      </c>
      <c r="CB177" s="191" t="str">
        <f t="shared" si="120"/>
        <v/>
      </c>
      <c r="CC177" s="191" t="str">
        <f t="shared" si="111"/>
        <v/>
      </c>
      <c r="CD177" s="191" t="str">
        <f t="shared" si="112"/>
        <v/>
      </c>
      <c r="DP177" s="1048">
        <f t="shared" si="113"/>
        <v>0</v>
      </c>
      <c r="DQ177" s="1048">
        <f t="shared" si="114"/>
        <v>0</v>
      </c>
      <c r="DR177" s="1048">
        <f t="shared" si="115"/>
        <v>0</v>
      </c>
      <c r="DS177" s="1048">
        <f t="shared" si="116"/>
        <v>0</v>
      </c>
    </row>
    <row r="178" spans="1:123" ht="15" customHeight="1" x14ac:dyDescent="0.25">
      <c r="A178" s="1715" t="s">
        <v>359</v>
      </c>
      <c r="B178" s="1716" t="s">
        <v>359</v>
      </c>
      <c r="C178" s="353">
        <f t="shared" si="126"/>
        <v>0</v>
      </c>
      <c r="D178" s="1138">
        <f t="shared" si="127"/>
        <v>0</v>
      </c>
      <c r="E178" s="890">
        <f t="shared" si="127"/>
        <v>0</v>
      </c>
      <c r="F178" s="357">
        <v>0</v>
      </c>
      <c r="G178" s="376">
        <v>0</v>
      </c>
      <c r="H178" s="376">
        <v>0</v>
      </c>
      <c r="I178" s="376">
        <v>0</v>
      </c>
      <c r="J178" s="376">
        <v>0</v>
      </c>
      <c r="K178" s="376">
        <v>0</v>
      </c>
      <c r="L178" s="376">
        <v>0</v>
      </c>
      <c r="M178" s="376">
        <v>0</v>
      </c>
      <c r="N178" s="376">
        <v>0</v>
      </c>
      <c r="O178" s="376">
        <v>0</v>
      </c>
      <c r="P178" s="376">
        <v>0</v>
      </c>
      <c r="Q178" s="376">
        <v>0</v>
      </c>
      <c r="R178" s="376">
        <v>0</v>
      </c>
      <c r="S178" s="376">
        <v>0</v>
      </c>
      <c r="T178" s="376">
        <v>0</v>
      </c>
      <c r="U178" s="376">
        <v>0</v>
      </c>
      <c r="V178" s="376">
        <v>0</v>
      </c>
      <c r="W178" s="376">
        <v>0</v>
      </c>
      <c r="X178" s="376">
        <v>0</v>
      </c>
      <c r="Y178" s="376">
        <v>0</v>
      </c>
      <c r="Z178" s="376">
        <v>0</v>
      </c>
      <c r="AA178" s="376">
        <v>0</v>
      </c>
      <c r="AB178" s="376">
        <v>0</v>
      </c>
      <c r="AC178" s="376">
        <v>0</v>
      </c>
      <c r="AD178" s="376">
        <v>0</v>
      </c>
      <c r="AE178" s="376">
        <v>0</v>
      </c>
      <c r="AF178" s="376">
        <v>0</v>
      </c>
      <c r="AG178" s="376">
        <v>0</v>
      </c>
      <c r="AH178" s="376">
        <v>0</v>
      </c>
      <c r="AI178" s="376">
        <v>0</v>
      </c>
      <c r="AJ178" s="376">
        <v>0</v>
      </c>
      <c r="AK178" s="376">
        <v>0</v>
      </c>
      <c r="AL178" s="376">
        <v>0</v>
      </c>
      <c r="AM178" s="376">
        <v>0</v>
      </c>
      <c r="AN178" s="376">
        <v>0</v>
      </c>
      <c r="AO178" s="376">
        <v>0</v>
      </c>
      <c r="AP178" s="376">
        <v>0</v>
      </c>
      <c r="AQ178" s="356">
        <v>0</v>
      </c>
      <c r="AR178" s="358">
        <v>0</v>
      </c>
      <c r="AS178" s="356">
        <v>0</v>
      </c>
      <c r="AT178" s="354">
        <v>0</v>
      </c>
      <c r="AU178" s="355">
        <v>0</v>
      </c>
      <c r="AV178" s="109" t="str">
        <f t="shared" si="118"/>
        <v/>
      </c>
      <c r="AW178" s="109"/>
      <c r="AX178" s="109"/>
      <c r="AY178" s="109"/>
      <c r="AZ178" s="109"/>
      <c r="BR178" s="607"/>
      <c r="BS178" s="607"/>
      <c r="BT178" s="607"/>
      <c r="BU178" s="607"/>
      <c r="CA178" s="191" t="str">
        <f t="shared" si="119"/>
        <v/>
      </c>
      <c r="CB178" s="191" t="str">
        <f t="shared" si="120"/>
        <v/>
      </c>
      <c r="CC178" s="191" t="str">
        <f t="shared" si="111"/>
        <v/>
      </c>
      <c r="CD178" s="191" t="str">
        <f t="shared" si="112"/>
        <v/>
      </c>
      <c r="DP178" s="1048">
        <f t="shared" si="113"/>
        <v>0</v>
      </c>
      <c r="DQ178" s="1048">
        <f t="shared" si="114"/>
        <v>0</v>
      </c>
      <c r="DR178" s="1048">
        <f t="shared" si="115"/>
        <v>0</v>
      </c>
      <c r="DS178" s="1048">
        <f t="shared" si="116"/>
        <v>0</v>
      </c>
    </row>
    <row r="179" spans="1:123" ht="15" customHeight="1" x14ac:dyDescent="0.25">
      <c r="A179" s="1715" t="s">
        <v>360</v>
      </c>
      <c r="B179" s="1716"/>
      <c r="C179" s="353">
        <f t="shared" si="125"/>
        <v>0</v>
      </c>
      <c r="D179" s="1138">
        <f t="shared" si="122"/>
        <v>0</v>
      </c>
      <c r="E179" s="890">
        <f t="shared" si="123"/>
        <v>0</v>
      </c>
      <c r="F179" s="357">
        <v>0</v>
      </c>
      <c r="G179" s="376">
        <v>0</v>
      </c>
      <c r="H179" s="376">
        <v>0</v>
      </c>
      <c r="I179" s="376">
        <v>0</v>
      </c>
      <c r="J179" s="376">
        <v>0</v>
      </c>
      <c r="K179" s="376">
        <v>0</v>
      </c>
      <c r="L179" s="376">
        <v>0</v>
      </c>
      <c r="M179" s="376">
        <v>0</v>
      </c>
      <c r="N179" s="376">
        <v>0</v>
      </c>
      <c r="O179" s="376">
        <v>0</v>
      </c>
      <c r="P179" s="376">
        <v>0</v>
      </c>
      <c r="Q179" s="376">
        <v>0</v>
      </c>
      <c r="R179" s="376">
        <v>0</v>
      </c>
      <c r="S179" s="376">
        <v>0</v>
      </c>
      <c r="T179" s="376">
        <v>0</v>
      </c>
      <c r="U179" s="376">
        <v>0</v>
      </c>
      <c r="V179" s="376">
        <v>0</v>
      </c>
      <c r="W179" s="376">
        <v>0</v>
      </c>
      <c r="X179" s="376">
        <v>0</v>
      </c>
      <c r="Y179" s="376">
        <v>0</v>
      </c>
      <c r="Z179" s="376">
        <v>0</v>
      </c>
      <c r="AA179" s="376">
        <v>0</v>
      </c>
      <c r="AB179" s="376">
        <v>0</v>
      </c>
      <c r="AC179" s="376">
        <v>0</v>
      </c>
      <c r="AD179" s="376">
        <v>0</v>
      </c>
      <c r="AE179" s="376">
        <v>0</v>
      </c>
      <c r="AF179" s="376">
        <v>0</v>
      </c>
      <c r="AG179" s="376">
        <v>0</v>
      </c>
      <c r="AH179" s="376">
        <v>0</v>
      </c>
      <c r="AI179" s="376">
        <v>0</v>
      </c>
      <c r="AJ179" s="376">
        <v>0</v>
      </c>
      <c r="AK179" s="376">
        <v>0</v>
      </c>
      <c r="AL179" s="376">
        <v>0</v>
      </c>
      <c r="AM179" s="376">
        <v>0</v>
      </c>
      <c r="AN179" s="376">
        <v>0</v>
      </c>
      <c r="AO179" s="376">
        <v>0</v>
      </c>
      <c r="AP179" s="376">
        <v>0</v>
      </c>
      <c r="AQ179" s="356">
        <v>0</v>
      </c>
      <c r="AR179" s="358">
        <v>0</v>
      </c>
      <c r="AS179" s="356">
        <v>0</v>
      </c>
      <c r="AT179" s="354">
        <v>0</v>
      </c>
      <c r="AU179" s="355">
        <v>0</v>
      </c>
      <c r="AV179" s="109" t="str">
        <f t="shared" si="118"/>
        <v/>
      </c>
      <c r="AW179" s="109"/>
      <c r="AX179" s="109"/>
      <c r="AY179" s="109"/>
      <c r="AZ179" s="109"/>
      <c r="BR179" s="607"/>
      <c r="BS179" s="607"/>
      <c r="BT179" s="607"/>
      <c r="BU179" s="607"/>
      <c r="CA179" s="191" t="str">
        <f t="shared" si="119"/>
        <v/>
      </c>
      <c r="CB179" s="191" t="str">
        <f t="shared" si="120"/>
        <v/>
      </c>
      <c r="CC179" s="191" t="str">
        <f t="shared" si="111"/>
        <v/>
      </c>
      <c r="CD179" s="191" t="str">
        <f t="shared" si="112"/>
        <v/>
      </c>
      <c r="DP179" s="1048">
        <f t="shared" si="113"/>
        <v>0</v>
      </c>
      <c r="DQ179" s="1048">
        <f t="shared" si="114"/>
        <v>0</v>
      </c>
      <c r="DR179" s="1048">
        <f t="shared" si="115"/>
        <v>0</v>
      </c>
      <c r="DS179" s="1048">
        <f t="shared" si="116"/>
        <v>0</v>
      </c>
    </row>
    <row r="180" spans="1:123" ht="15" customHeight="1" x14ac:dyDescent="0.25">
      <c r="A180" s="1715" t="s">
        <v>361</v>
      </c>
      <c r="B180" s="1716" t="s">
        <v>361</v>
      </c>
      <c r="C180" s="353">
        <f t="shared" si="125"/>
        <v>0</v>
      </c>
      <c r="D180" s="1138">
        <f t="shared" si="122"/>
        <v>0</v>
      </c>
      <c r="E180" s="890">
        <f t="shared" si="123"/>
        <v>0</v>
      </c>
      <c r="F180" s="357">
        <v>0</v>
      </c>
      <c r="G180" s="376">
        <v>0</v>
      </c>
      <c r="H180" s="376">
        <v>0</v>
      </c>
      <c r="I180" s="376">
        <v>0</v>
      </c>
      <c r="J180" s="376">
        <v>0</v>
      </c>
      <c r="K180" s="376">
        <v>0</v>
      </c>
      <c r="L180" s="376">
        <v>0</v>
      </c>
      <c r="M180" s="376">
        <v>0</v>
      </c>
      <c r="N180" s="376">
        <v>0</v>
      </c>
      <c r="O180" s="376">
        <v>0</v>
      </c>
      <c r="P180" s="376">
        <v>0</v>
      </c>
      <c r="Q180" s="376">
        <v>0</v>
      </c>
      <c r="R180" s="376">
        <v>0</v>
      </c>
      <c r="S180" s="376">
        <v>0</v>
      </c>
      <c r="T180" s="376">
        <v>0</v>
      </c>
      <c r="U180" s="376">
        <v>0</v>
      </c>
      <c r="V180" s="376">
        <v>0</v>
      </c>
      <c r="W180" s="376">
        <v>0</v>
      </c>
      <c r="X180" s="376">
        <v>0</v>
      </c>
      <c r="Y180" s="376">
        <v>0</v>
      </c>
      <c r="Z180" s="376">
        <v>0</v>
      </c>
      <c r="AA180" s="376">
        <v>0</v>
      </c>
      <c r="AB180" s="376">
        <v>0</v>
      </c>
      <c r="AC180" s="376">
        <v>0</v>
      </c>
      <c r="AD180" s="376">
        <v>0</v>
      </c>
      <c r="AE180" s="376">
        <v>0</v>
      </c>
      <c r="AF180" s="376">
        <v>0</v>
      </c>
      <c r="AG180" s="376">
        <v>0</v>
      </c>
      <c r="AH180" s="376">
        <v>0</v>
      </c>
      <c r="AI180" s="376">
        <v>0</v>
      </c>
      <c r="AJ180" s="376">
        <v>0</v>
      </c>
      <c r="AK180" s="376">
        <v>0</v>
      </c>
      <c r="AL180" s="376">
        <v>0</v>
      </c>
      <c r="AM180" s="376">
        <v>0</v>
      </c>
      <c r="AN180" s="376">
        <v>0</v>
      </c>
      <c r="AO180" s="376">
        <v>0</v>
      </c>
      <c r="AP180" s="376">
        <v>0</v>
      </c>
      <c r="AQ180" s="356">
        <v>0</v>
      </c>
      <c r="AR180" s="358">
        <v>0</v>
      </c>
      <c r="AS180" s="356">
        <v>0</v>
      </c>
      <c r="AT180" s="354">
        <v>0</v>
      </c>
      <c r="AU180" s="355">
        <v>0</v>
      </c>
      <c r="AV180" s="109" t="str">
        <f t="shared" si="118"/>
        <v/>
      </c>
      <c r="AW180" s="109"/>
      <c r="AX180" s="109"/>
      <c r="AY180" s="109"/>
      <c r="AZ180" s="109"/>
      <c r="BR180" s="607"/>
      <c r="BS180" s="607"/>
      <c r="BT180" s="607"/>
      <c r="BU180" s="607"/>
      <c r="CA180" s="191" t="str">
        <f t="shared" si="119"/>
        <v/>
      </c>
      <c r="CB180" s="191" t="str">
        <f t="shared" si="120"/>
        <v/>
      </c>
      <c r="CC180" s="191" t="str">
        <f t="shared" si="111"/>
        <v/>
      </c>
      <c r="CD180" s="191" t="str">
        <f t="shared" si="112"/>
        <v/>
      </c>
      <c r="DP180" s="1048">
        <f t="shared" si="113"/>
        <v>0</v>
      </c>
      <c r="DQ180" s="1048">
        <f t="shared" si="114"/>
        <v>0</v>
      </c>
      <c r="DR180" s="1048">
        <f t="shared" si="115"/>
        <v>0</v>
      </c>
      <c r="DS180" s="1048">
        <f t="shared" si="116"/>
        <v>0</v>
      </c>
    </row>
    <row r="181" spans="1:123" ht="15" customHeight="1" x14ac:dyDescent="0.25">
      <c r="A181" s="1715" t="s">
        <v>362</v>
      </c>
      <c r="B181" s="1716" t="s">
        <v>362</v>
      </c>
      <c r="C181" s="353">
        <f t="shared" si="125"/>
        <v>0</v>
      </c>
      <c r="D181" s="1138">
        <f t="shared" si="122"/>
        <v>0</v>
      </c>
      <c r="E181" s="890">
        <f t="shared" si="123"/>
        <v>0</v>
      </c>
      <c r="F181" s="357">
        <v>0</v>
      </c>
      <c r="G181" s="376">
        <v>0</v>
      </c>
      <c r="H181" s="376">
        <v>0</v>
      </c>
      <c r="I181" s="376">
        <v>0</v>
      </c>
      <c r="J181" s="376">
        <v>0</v>
      </c>
      <c r="K181" s="376">
        <v>0</v>
      </c>
      <c r="L181" s="376">
        <v>0</v>
      </c>
      <c r="M181" s="376">
        <v>0</v>
      </c>
      <c r="N181" s="376">
        <v>0</v>
      </c>
      <c r="O181" s="376">
        <v>0</v>
      </c>
      <c r="P181" s="376">
        <v>0</v>
      </c>
      <c r="Q181" s="376">
        <v>0</v>
      </c>
      <c r="R181" s="376">
        <v>0</v>
      </c>
      <c r="S181" s="376">
        <v>0</v>
      </c>
      <c r="T181" s="376">
        <v>0</v>
      </c>
      <c r="U181" s="376">
        <v>0</v>
      </c>
      <c r="V181" s="376">
        <v>0</v>
      </c>
      <c r="W181" s="376">
        <v>0</v>
      </c>
      <c r="X181" s="376">
        <v>0</v>
      </c>
      <c r="Y181" s="376">
        <v>0</v>
      </c>
      <c r="Z181" s="376">
        <v>0</v>
      </c>
      <c r="AA181" s="376">
        <v>0</v>
      </c>
      <c r="AB181" s="376">
        <v>0</v>
      </c>
      <c r="AC181" s="376">
        <v>0</v>
      </c>
      <c r="AD181" s="376">
        <v>0</v>
      </c>
      <c r="AE181" s="376">
        <v>0</v>
      </c>
      <c r="AF181" s="376">
        <v>0</v>
      </c>
      <c r="AG181" s="376">
        <v>0</v>
      </c>
      <c r="AH181" s="376">
        <v>0</v>
      </c>
      <c r="AI181" s="376">
        <v>0</v>
      </c>
      <c r="AJ181" s="376">
        <v>0</v>
      </c>
      <c r="AK181" s="376">
        <v>0</v>
      </c>
      <c r="AL181" s="376">
        <v>0</v>
      </c>
      <c r="AM181" s="376">
        <v>0</v>
      </c>
      <c r="AN181" s="376">
        <v>0</v>
      </c>
      <c r="AO181" s="376">
        <v>0</v>
      </c>
      <c r="AP181" s="376">
        <v>0</v>
      </c>
      <c r="AQ181" s="356">
        <v>0</v>
      </c>
      <c r="AR181" s="358">
        <v>0</v>
      </c>
      <c r="AS181" s="356">
        <v>0</v>
      </c>
      <c r="AT181" s="354">
        <v>0</v>
      </c>
      <c r="AU181" s="355">
        <v>0</v>
      </c>
      <c r="AV181" s="109" t="str">
        <f t="shared" si="118"/>
        <v/>
      </c>
      <c r="AW181" s="109"/>
      <c r="AX181" s="109"/>
      <c r="AY181" s="109"/>
      <c r="AZ181" s="109"/>
      <c r="BR181" s="607"/>
      <c r="BS181" s="607"/>
      <c r="BT181" s="607"/>
      <c r="BU181" s="607"/>
      <c r="CA181" s="191" t="str">
        <f t="shared" si="119"/>
        <v/>
      </c>
      <c r="CB181" s="191" t="str">
        <f t="shared" si="120"/>
        <v/>
      </c>
      <c r="CC181" s="191" t="str">
        <f t="shared" si="111"/>
        <v/>
      </c>
      <c r="CD181" s="191" t="str">
        <f t="shared" si="112"/>
        <v/>
      </c>
      <c r="DP181" s="1048">
        <f t="shared" si="113"/>
        <v>0</v>
      </c>
      <c r="DQ181" s="1048">
        <f t="shared" si="114"/>
        <v>0</v>
      </c>
      <c r="DR181" s="1048">
        <f t="shared" si="115"/>
        <v>0</v>
      </c>
      <c r="DS181" s="1048">
        <f t="shared" si="116"/>
        <v>0</v>
      </c>
    </row>
    <row r="182" spans="1:123" ht="15" customHeight="1" x14ac:dyDescent="0.25">
      <c r="A182" s="1715" t="s">
        <v>363</v>
      </c>
      <c r="B182" s="1716" t="s">
        <v>363</v>
      </c>
      <c r="C182" s="353">
        <f t="shared" si="125"/>
        <v>0</v>
      </c>
      <c r="D182" s="1138">
        <f t="shared" si="122"/>
        <v>0</v>
      </c>
      <c r="E182" s="890">
        <f t="shared" si="123"/>
        <v>0</v>
      </c>
      <c r="F182" s="357">
        <v>0</v>
      </c>
      <c r="G182" s="376">
        <v>0</v>
      </c>
      <c r="H182" s="376">
        <v>0</v>
      </c>
      <c r="I182" s="376">
        <v>0</v>
      </c>
      <c r="J182" s="376">
        <v>0</v>
      </c>
      <c r="K182" s="376">
        <v>0</v>
      </c>
      <c r="L182" s="376">
        <v>0</v>
      </c>
      <c r="M182" s="376">
        <v>0</v>
      </c>
      <c r="N182" s="376">
        <v>0</v>
      </c>
      <c r="O182" s="376">
        <v>0</v>
      </c>
      <c r="P182" s="376">
        <v>0</v>
      </c>
      <c r="Q182" s="376">
        <v>0</v>
      </c>
      <c r="R182" s="376">
        <v>0</v>
      </c>
      <c r="S182" s="376">
        <v>0</v>
      </c>
      <c r="T182" s="376">
        <v>0</v>
      </c>
      <c r="U182" s="376">
        <v>0</v>
      </c>
      <c r="V182" s="376">
        <v>0</v>
      </c>
      <c r="W182" s="376">
        <v>0</v>
      </c>
      <c r="X182" s="376">
        <v>0</v>
      </c>
      <c r="Y182" s="376">
        <v>0</v>
      </c>
      <c r="Z182" s="376">
        <v>0</v>
      </c>
      <c r="AA182" s="376">
        <v>0</v>
      </c>
      <c r="AB182" s="376">
        <v>0</v>
      </c>
      <c r="AC182" s="376">
        <v>0</v>
      </c>
      <c r="AD182" s="376">
        <v>0</v>
      </c>
      <c r="AE182" s="376">
        <v>0</v>
      </c>
      <c r="AF182" s="376">
        <v>0</v>
      </c>
      <c r="AG182" s="376">
        <v>0</v>
      </c>
      <c r="AH182" s="376">
        <v>0</v>
      </c>
      <c r="AI182" s="376">
        <v>0</v>
      </c>
      <c r="AJ182" s="376">
        <v>0</v>
      </c>
      <c r="AK182" s="376">
        <v>0</v>
      </c>
      <c r="AL182" s="376">
        <v>0</v>
      </c>
      <c r="AM182" s="376">
        <v>0</v>
      </c>
      <c r="AN182" s="376">
        <v>0</v>
      </c>
      <c r="AO182" s="376">
        <v>0</v>
      </c>
      <c r="AP182" s="376">
        <v>0</v>
      </c>
      <c r="AQ182" s="356">
        <v>0</v>
      </c>
      <c r="AR182" s="358">
        <v>0</v>
      </c>
      <c r="AS182" s="356">
        <v>0</v>
      </c>
      <c r="AT182" s="354">
        <v>0</v>
      </c>
      <c r="AU182" s="355">
        <v>0</v>
      </c>
      <c r="AV182" s="109" t="str">
        <f t="shared" si="118"/>
        <v/>
      </c>
      <c r="AW182" s="109"/>
      <c r="AX182" s="109"/>
      <c r="AY182" s="109"/>
      <c r="AZ182" s="109"/>
      <c r="BR182" s="607"/>
      <c r="BS182" s="607"/>
      <c r="BT182" s="607"/>
      <c r="BU182" s="607"/>
      <c r="CA182" s="191" t="str">
        <f t="shared" si="119"/>
        <v/>
      </c>
      <c r="CB182" s="191" t="str">
        <f t="shared" si="120"/>
        <v/>
      </c>
      <c r="CC182" s="191" t="str">
        <f t="shared" si="111"/>
        <v/>
      </c>
      <c r="CD182" s="191" t="str">
        <f t="shared" si="112"/>
        <v/>
      </c>
      <c r="DP182" s="1048">
        <f t="shared" si="113"/>
        <v>0</v>
      </c>
      <c r="DQ182" s="1048">
        <f t="shared" si="114"/>
        <v>0</v>
      </c>
      <c r="DR182" s="1048">
        <f t="shared" si="115"/>
        <v>0</v>
      </c>
      <c r="DS182" s="1048">
        <f t="shared" si="116"/>
        <v>0</v>
      </c>
    </row>
    <row r="183" spans="1:123" ht="15" customHeight="1" x14ac:dyDescent="0.25">
      <c r="A183" s="1715" t="s">
        <v>364</v>
      </c>
      <c r="B183" s="1716" t="s">
        <v>364</v>
      </c>
      <c r="C183" s="353">
        <f t="shared" si="125"/>
        <v>0</v>
      </c>
      <c r="D183" s="1138">
        <f t="shared" si="122"/>
        <v>0</v>
      </c>
      <c r="E183" s="890">
        <f t="shared" si="123"/>
        <v>0</v>
      </c>
      <c r="F183" s="357">
        <v>0</v>
      </c>
      <c r="G183" s="376">
        <v>0</v>
      </c>
      <c r="H183" s="376">
        <v>0</v>
      </c>
      <c r="I183" s="376">
        <v>0</v>
      </c>
      <c r="J183" s="376">
        <v>0</v>
      </c>
      <c r="K183" s="376">
        <v>0</v>
      </c>
      <c r="L183" s="376">
        <v>0</v>
      </c>
      <c r="M183" s="376">
        <v>0</v>
      </c>
      <c r="N183" s="376">
        <v>0</v>
      </c>
      <c r="O183" s="376">
        <v>0</v>
      </c>
      <c r="P183" s="376">
        <v>0</v>
      </c>
      <c r="Q183" s="376">
        <v>0</v>
      </c>
      <c r="R183" s="376">
        <v>0</v>
      </c>
      <c r="S183" s="376">
        <v>0</v>
      </c>
      <c r="T183" s="376">
        <v>0</v>
      </c>
      <c r="U183" s="376">
        <v>0</v>
      </c>
      <c r="V183" s="376">
        <v>0</v>
      </c>
      <c r="W183" s="376">
        <v>0</v>
      </c>
      <c r="X183" s="376">
        <v>0</v>
      </c>
      <c r="Y183" s="376">
        <v>0</v>
      </c>
      <c r="Z183" s="376">
        <v>0</v>
      </c>
      <c r="AA183" s="376">
        <v>0</v>
      </c>
      <c r="AB183" s="376">
        <v>0</v>
      </c>
      <c r="AC183" s="376">
        <v>0</v>
      </c>
      <c r="AD183" s="376">
        <v>0</v>
      </c>
      <c r="AE183" s="376">
        <v>0</v>
      </c>
      <c r="AF183" s="376">
        <v>0</v>
      </c>
      <c r="AG183" s="376">
        <v>0</v>
      </c>
      <c r="AH183" s="376">
        <v>0</v>
      </c>
      <c r="AI183" s="376">
        <v>0</v>
      </c>
      <c r="AJ183" s="376">
        <v>0</v>
      </c>
      <c r="AK183" s="376">
        <v>0</v>
      </c>
      <c r="AL183" s="376">
        <v>0</v>
      </c>
      <c r="AM183" s="376">
        <v>0</v>
      </c>
      <c r="AN183" s="376">
        <v>0</v>
      </c>
      <c r="AO183" s="376">
        <v>0</v>
      </c>
      <c r="AP183" s="376">
        <v>0</v>
      </c>
      <c r="AQ183" s="356">
        <v>0</v>
      </c>
      <c r="AR183" s="358">
        <v>0</v>
      </c>
      <c r="AS183" s="356">
        <v>0</v>
      </c>
      <c r="AT183" s="354">
        <v>0</v>
      </c>
      <c r="AU183" s="355">
        <v>0</v>
      </c>
      <c r="AV183" s="109" t="str">
        <f t="shared" si="118"/>
        <v/>
      </c>
      <c r="AW183" s="109"/>
      <c r="AX183" s="109"/>
      <c r="AY183" s="109"/>
      <c r="AZ183" s="109"/>
      <c r="BR183" s="607"/>
      <c r="BS183" s="607"/>
      <c r="BT183" s="607"/>
      <c r="BU183" s="607"/>
      <c r="CA183" s="191" t="str">
        <f t="shared" si="119"/>
        <v/>
      </c>
      <c r="CB183" s="191" t="str">
        <f t="shared" si="120"/>
        <v/>
      </c>
      <c r="CC183" s="191" t="str">
        <f t="shared" si="111"/>
        <v/>
      </c>
      <c r="CD183" s="191" t="str">
        <f t="shared" si="112"/>
        <v/>
      </c>
      <c r="DP183" s="1048">
        <f t="shared" si="113"/>
        <v>0</v>
      </c>
      <c r="DQ183" s="1048">
        <f t="shared" si="114"/>
        <v>0</v>
      </c>
      <c r="DR183" s="1048">
        <f t="shared" si="115"/>
        <v>0</v>
      </c>
      <c r="DS183" s="1048">
        <f t="shared" si="116"/>
        <v>0</v>
      </c>
    </row>
    <row r="184" spans="1:123" ht="15" customHeight="1" x14ac:dyDescent="0.25">
      <c r="A184" s="1715" t="s">
        <v>365</v>
      </c>
      <c r="B184" s="1716" t="s">
        <v>365</v>
      </c>
      <c r="C184" s="353">
        <f t="shared" si="125"/>
        <v>0</v>
      </c>
      <c r="D184" s="1138">
        <f t="shared" si="122"/>
        <v>0</v>
      </c>
      <c r="E184" s="890">
        <f t="shared" si="123"/>
        <v>0</v>
      </c>
      <c r="F184" s="357">
        <v>0</v>
      </c>
      <c r="G184" s="376">
        <v>0</v>
      </c>
      <c r="H184" s="376">
        <v>0</v>
      </c>
      <c r="I184" s="376">
        <v>0</v>
      </c>
      <c r="J184" s="376">
        <v>0</v>
      </c>
      <c r="K184" s="376">
        <v>0</v>
      </c>
      <c r="L184" s="376">
        <v>0</v>
      </c>
      <c r="M184" s="376">
        <v>0</v>
      </c>
      <c r="N184" s="376">
        <v>0</v>
      </c>
      <c r="O184" s="376">
        <v>0</v>
      </c>
      <c r="P184" s="376">
        <v>0</v>
      </c>
      <c r="Q184" s="376">
        <v>0</v>
      </c>
      <c r="R184" s="376">
        <v>0</v>
      </c>
      <c r="S184" s="376">
        <v>0</v>
      </c>
      <c r="T184" s="376">
        <v>0</v>
      </c>
      <c r="U184" s="376">
        <v>0</v>
      </c>
      <c r="V184" s="376">
        <v>0</v>
      </c>
      <c r="W184" s="376">
        <v>0</v>
      </c>
      <c r="X184" s="376">
        <v>0</v>
      </c>
      <c r="Y184" s="376">
        <v>0</v>
      </c>
      <c r="Z184" s="376">
        <v>0</v>
      </c>
      <c r="AA184" s="376">
        <v>0</v>
      </c>
      <c r="AB184" s="376">
        <v>0</v>
      </c>
      <c r="AC184" s="376">
        <v>0</v>
      </c>
      <c r="AD184" s="376">
        <v>0</v>
      </c>
      <c r="AE184" s="376">
        <v>0</v>
      </c>
      <c r="AF184" s="376">
        <v>0</v>
      </c>
      <c r="AG184" s="376">
        <v>0</v>
      </c>
      <c r="AH184" s="376">
        <v>0</v>
      </c>
      <c r="AI184" s="376">
        <v>0</v>
      </c>
      <c r="AJ184" s="376">
        <v>0</v>
      </c>
      <c r="AK184" s="376">
        <v>0</v>
      </c>
      <c r="AL184" s="376">
        <v>0</v>
      </c>
      <c r="AM184" s="376">
        <v>0</v>
      </c>
      <c r="AN184" s="376">
        <v>0</v>
      </c>
      <c r="AO184" s="376">
        <v>0</v>
      </c>
      <c r="AP184" s="376">
        <v>0</v>
      </c>
      <c r="AQ184" s="356">
        <v>0</v>
      </c>
      <c r="AR184" s="358">
        <v>0</v>
      </c>
      <c r="AS184" s="356">
        <v>0</v>
      </c>
      <c r="AT184" s="354">
        <v>0</v>
      </c>
      <c r="AU184" s="355">
        <v>0</v>
      </c>
      <c r="AV184" s="109" t="str">
        <f t="shared" si="118"/>
        <v/>
      </c>
      <c r="AW184" s="109"/>
      <c r="AX184" s="109"/>
      <c r="AY184" s="109"/>
      <c r="AZ184" s="109"/>
      <c r="BR184" s="607"/>
      <c r="BS184" s="607"/>
      <c r="BT184" s="607"/>
      <c r="BU184" s="607"/>
      <c r="CA184" s="191" t="str">
        <f t="shared" si="119"/>
        <v/>
      </c>
      <c r="CB184" s="191" t="str">
        <f t="shared" si="120"/>
        <v/>
      </c>
      <c r="CC184" s="191" t="str">
        <f t="shared" si="111"/>
        <v/>
      </c>
      <c r="CD184" s="191" t="str">
        <f t="shared" si="112"/>
        <v/>
      </c>
      <c r="DP184" s="1048">
        <f t="shared" si="113"/>
        <v>0</v>
      </c>
      <c r="DQ184" s="1048">
        <f t="shared" si="114"/>
        <v>0</v>
      </c>
      <c r="DR184" s="1048">
        <f t="shared" si="115"/>
        <v>0</v>
      </c>
      <c r="DS184" s="1048">
        <f t="shared" si="116"/>
        <v>0</v>
      </c>
    </row>
    <row r="185" spans="1:123" ht="24.75" customHeight="1" x14ac:dyDescent="0.25">
      <c r="A185" s="1715" t="s">
        <v>366</v>
      </c>
      <c r="B185" s="1716" t="s">
        <v>367</v>
      </c>
      <c r="C185" s="353">
        <f t="shared" ref="C185:C188" si="128">SUM(D185:E185)</f>
        <v>0</v>
      </c>
      <c r="D185" s="1138">
        <f t="shared" ref="D185:D188" si="129">+F185+H185+J185+L185+N185+P185+R185+T185+V185+X185+Z185+AB185+AD185+AF185+AH185+AN185+AP185+AJ185+AL185</f>
        <v>0</v>
      </c>
      <c r="E185" s="890">
        <f t="shared" si="123"/>
        <v>0</v>
      </c>
      <c r="F185" s="357">
        <v>0</v>
      </c>
      <c r="G185" s="376">
        <v>0</v>
      </c>
      <c r="H185" s="376">
        <v>0</v>
      </c>
      <c r="I185" s="376">
        <v>0</v>
      </c>
      <c r="J185" s="376">
        <v>0</v>
      </c>
      <c r="K185" s="376">
        <v>0</v>
      </c>
      <c r="L185" s="376">
        <v>0</v>
      </c>
      <c r="M185" s="376">
        <v>0</v>
      </c>
      <c r="N185" s="376">
        <v>0</v>
      </c>
      <c r="O185" s="376">
        <v>0</v>
      </c>
      <c r="P185" s="376">
        <v>0</v>
      </c>
      <c r="Q185" s="376">
        <v>0</v>
      </c>
      <c r="R185" s="376">
        <v>0</v>
      </c>
      <c r="S185" s="376">
        <v>0</v>
      </c>
      <c r="T185" s="376">
        <v>0</v>
      </c>
      <c r="U185" s="376">
        <v>0</v>
      </c>
      <c r="V185" s="376">
        <v>0</v>
      </c>
      <c r="W185" s="376">
        <v>0</v>
      </c>
      <c r="X185" s="376">
        <v>0</v>
      </c>
      <c r="Y185" s="376">
        <v>0</v>
      </c>
      <c r="Z185" s="376">
        <v>0</v>
      </c>
      <c r="AA185" s="376">
        <v>0</v>
      </c>
      <c r="AB185" s="376">
        <v>0</v>
      </c>
      <c r="AC185" s="376">
        <v>0</v>
      </c>
      <c r="AD185" s="376">
        <v>0</v>
      </c>
      <c r="AE185" s="376">
        <v>0</v>
      </c>
      <c r="AF185" s="376">
        <v>0</v>
      </c>
      <c r="AG185" s="376">
        <v>0</v>
      </c>
      <c r="AH185" s="376">
        <v>0</v>
      </c>
      <c r="AI185" s="376">
        <v>0</v>
      </c>
      <c r="AJ185" s="376">
        <v>0</v>
      </c>
      <c r="AK185" s="376">
        <v>0</v>
      </c>
      <c r="AL185" s="376">
        <v>0</v>
      </c>
      <c r="AM185" s="376">
        <v>0</v>
      </c>
      <c r="AN185" s="376">
        <v>0</v>
      </c>
      <c r="AO185" s="376">
        <v>0</v>
      </c>
      <c r="AP185" s="376">
        <v>0</v>
      </c>
      <c r="AQ185" s="356">
        <v>0</v>
      </c>
      <c r="AR185" s="358">
        <v>0</v>
      </c>
      <c r="AS185" s="356">
        <v>0</v>
      </c>
      <c r="AT185" s="354">
        <v>0</v>
      </c>
      <c r="AU185" s="355">
        <v>0</v>
      </c>
      <c r="AV185" s="109" t="str">
        <f t="shared" si="118"/>
        <v/>
      </c>
      <c r="AW185" s="109"/>
      <c r="AX185" s="109"/>
      <c r="AY185" s="109"/>
      <c r="AZ185" s="109"/>
      <c r="BR185" s="607"/>
      <c r="BS185" s="607"/>
      <c r="BT185" s="607"/>
      <c r="BU185" s="607"/>
      <c r="CA185" s="191" t="str">
        <f t="shared" si="119"/>
        <v/>
      </c>
      <c r="CB185" s="191" t="str">
        <f t="shared" si="120"/>
        <v/>
      </c>
      <c r="CC185" s="191" t="str">
        <f t="shared" si="111"/>
        <v/>
      </c>
      <c r="CD185" s="191" t="str">
        <f t="shared" si="112"/>
        <v/>
      </c>
      <c r="DP185" s="1048">
        <f t="shared" si="113"/>
        <v>0</v>
      </c>
      <c r="DQ185" s="1048">
        <f t="shared" si="114"/>
        <v>0</v>
      </c>
      <c r="DR185" s="1048">
        <f t="shared" si="115"/>
        <v>0</v>
      </c>
      <c r="DS185" s="1048">
        <f t="shared" si="116"/>
        <v>0</v>
      </c>
    </row>
    <row r="186" spans="1:123" ht="15" customHeight="1" x14ac:dyDescent="0.25">
      <c r="A186" s="1715" t="s">
        <v>368</v>
      </c>
      <c r="B186" s="1716" t="s">
        <v>369</v>
      </c>
      <c r="C186" s="353">
        <f t="shared" si="128"/>
        <v>0</v>
      </c>
      <c r="D186" s="1138">
        <f t="shared" si="129"/>
        <v>0</v>
      </c>
      <c r="E186" s="890">
        <f t="shared" si="123"/>
        <v>0</v>
      </c>
      <c r="F186" s="357">
        <v>0</v>
      </c>
      <c r="G186" s="376">
        <v>0</v>
      </c>
      <c r="H186" s="376">
        <v>0</v>
      </c>
      <c r="I186" s="376">
        <v>0</v>
      </c>
      <c r="J186" s="376">
        <v>0</v>
      </c>
      <c r="K186" s="376">
        <v>0</v>
      </c>
      <c r="L186" s="376">
        <v>0</v>
      </c>
      <c r="M186" s="376">
        <v>0</v>
      </c>
      <c r="N186" s="376">
        <v>0</v>
      </c>
      <c r="O186" s="376">
        <v>0</v>
      </c>
      <c r="P186" s="376">
        <v>0</v>
      </c>
      <c r="Q186" s="376">
        <v>0</v>
      </c>
      <c r="R186" s="376">
        <v>0</v>
      </c>
      <c r="S186" s="376">
        <v>0</v>
      </c>
      <c r="T186" s="376">
        <v>0</v>
      </c>
      <c r="U186" s="376">
        <v>0</v>
      </c>
      <c r="V186" s="376">
        <v>0</v>
      </c>
      <c r="W186" s="376">
        <v>0</v>
      </c>
      <c r="X186" s="376">
        <v>0</v>
      </c>
      <c r="Y186" s="376">
        <v>0</v>
      </c>
      <c r="Z186" s="376">
        <v>0</v>
      </c>
      <c r="AA186" s="376">
        <v>0</v>
      </c>
      <c r="AB186" s="376">
        <v>0</v>
      </c>
      <c r="AC186" s="376">
        <v>0</v>
      </c>
      <c r="AD186" s="376">
        <v>0</v>
      </c>
      <c r="AE186" s="376">
        <v>0</v>
      </c>
      <c r="AF186" s="376">
        <v>0</v>
      </c>
      <c r="AG186" s="376">
        <v>0</v>
      </c>
      <c r="AH186" s="376">
        <v>0</v>
      </c>
      <c r="AI186" s="376">
        <v>0</v>
      </c>
      <c r="AJ186" s="376">
        <v>0</v>
      </c>
      <c r="AK186" s="376">
        <v>0</v>
      </c>
      <c r="AL186" s="376">
        <v>0</v>
      </c>
      <c r="AM186" s="376">
        <v>0</v>
      </c>
      <c r="AN186" s="376">
        <v>0</v>
      </c>
      <c r="AO186" s="376">
        <v>0</v>
      </c>
      <c r="AP186" s="376">
        <v>0</v>
      </c>
      <c r="AQ186" s="356">
        <v>0</v>
      </c>
      <c r="AR186" s="358">
        <v>0</v>
      </c>
      <c r="AS186" s="356">
        <v>0</v>
      </c>
      <c r="AT186" s="354">
        <v>0</v>
      </c>
      <c r="AU186" s="355">
        <v>0</v>
      </c>
      <c r="AV186" s="109" t="str">
        <f t="shared" si="118"/>
        <v/>
      </c>
      <c r="AW186" s="109"/>
      <c r="AX186" s="109"/>
      <c r="AY186" s="109"/>
      <c r="AZ186" s="109"/>
      <c r="BR186" s="607"/>
      <c r="BS186" s="607"/>
      <c r="BT186" s="607"/>
      <c r="BU186" s="607"/>
      <c r="CA186" s="191" t="str">
        <f t="shared" si="119"/>
        <v/>
      </c>
      <c r="CB186" s="191" t="str">
        <f t="shared" si="120"/>
        <v/>
      </c>
      <c r="CC186" s="191" t="str">
        <f t="shared" si="111"/>
        <v/>
      </c>
      <c r="CD186" s="191" t="str">
        <f t="shared" si="112"/>
        <v/>
      </c>
      <c r="DP186" s="1048">
        <f t="shared" si="113"/>
        <v>0</v>
      </c>
      <c r="DQ186" s="1048">
        <f t="shared" si="114"/>
        <v>0</v>
      </c>
      <c r="DR186" s="1048">
        <f t="shared" si="115"/>
        <v>0</v>
      </c>
      <c r="DS186" s="1048">
        <f t="shared" si="116"/>
        <v>0</v>
      </c>
    </row>
    <row r="187" spans="1:123" ht="15" customHeight="1" x14ac:dyDescent="0.25">
      <c r="A187" s="1715" t="s">
        <v>370</v>
      </c>
      <c r="B187" s="1716" t="s">
        <v>370</v>
      </c>
      <c r="C187" s="353">
        <f t="shared" si="128"/>
        <v>0</v>
      </c>
      <c r="D187" s="1138">
        <f t="shared" si="129"/>
        <v>0</v>
      </c>
      <c r="E187" s="890">
        <f t="shared" si="123"/>
        <v>0</v>
      </c>
      <c r="F187" s="357">
        <v>0</v>
      </c>
      <c r="G187" s="376">
        <v>0</v>
      </c>
      <c r="H187" s="376">
        <v>0</v>
      </c>
      <c r="I187" s="376">
        <v>0</v>
      </c>
      <c r="J187" s="376">
        <v>0</v>
      </c>
      <c r="K187" s="376">
        <v>0</v>
      </c>
      <c r="L187" s="376">
        <v>0</v>
      </c>
      <c r="M187" s="376">
        <v>0</v>
      </c>
      <c r="N187" s="376">
        <v>0</v>
      </c>
      <c r="O187" s="376">
        <v>0</v>
      </c>
      <c r="P187" s="376">
        <v>0</v>
      </c>
      <c r="Q187" s="376">
        <v>0</v>
      </c>
      <c r="R187" s="376">
        <v>0</v>
      </c>
      <c r="S187" s="376">
        <v>0</v>
      </c>
      <c r="T187" s="376">
        <v>0</v>
      </c>
      <c r="U187" s="376">
        <v>0</v>
      </c>
      <c r="V187" s="376">
        <v>0</v>
      </c>
      <c r="W187" s="376">
        <v>0</v>
      </c>
      <c r="X187" s="376">
        <v>0</v>
      </c>
      <c r="Y187" s="376">
        <v>0</v>
      </c>
      <c r="Z187" s="376">
        <v>0</v>
      </c>
      <c r="AA187" s="376">
        <v>0</v>
      </c>
      <c r="AB187" s="376">
        <v>0</v>
      </c>
      <c r="AC187" s="376">
        <v>0</v>
      </c>
      <c r="AD187" s="376">
        <v>0</v>
      </c>
      <c r="AE187" s="376">
        <v>0</v>
      </c>
      <c r="AF187" s="376">
        <v>0</v>
      </c>
      <c r="AG187" s="376">
        <v>0</v>
      </c>
      <c r="AH187" s="376">
        <v>0</v>
      </c>
      <c r="AI187" s="376">
        <v>0</v>
      </c>
      <c r="AJ187" s="376">
        <v>0</v>
      </c>
      <c r="AK187" s="376">
        <v>0</v>
      </c>
      <c r="AL187" s="376">
        <v>0</v>
      </c>
      <c r="AM187" s="376">
        <v>0</v>
      </c>
      <c r="AN187" s="376">
        <v>0</v>
      </c>
      <c r="AO187" s="376">
        <v>0</v>
      </c>
      <c r="AP187" s="376">
        <v>0</v>
      </c>
      <c r="AQ187" s="356">
        <v>0</v>
      </c>
      <c r="AR187" s="358">
        <v>0</v>
      </c>
      <c r="AS187" s="356">
        <v>0</v>
      </c>
      <c r="AT187" s="354">
        <v>0</v>
      </c>
      <c r="AU187" s="355">
        <v>0</v>
      </c>
      <c r="AV187" s="109" t="str">
        <f t="shared" si="118"/>
        <v/>
      </c>
      <c r="AW187" s="109"/>
      <c r="AX187" s="109"/>
      <c r="AY187" s="109"/>
      <c r="AZ187" s="109"/>
      <c r="BR187" s="607"/>
      <c r="BS187" s="607"/>
      <c r="BT187" s="607"/>
      <c r="BU187" s="607"/>
      <c r="CA187" s="191" t="str">
        <f t="shared" si="119"/>
        <v/>
      </c>
      <c r="CB187" s="191" t="str">
        <f t="shared" si="120"/>
        <v/>
      </c>
      <c r="CC187" s="191" t="str">
        <f t="shared" si="111"/>
        <v/>
      </c>
      <c r="CD187" s="191" t="str">
        <f t="shared" si="112"/>
        <v/>
      </c>
      <c r="DP187" s="1048">
        <f t="shared" si="113"/>
        <v>0</v>
      </c>
      <c r="DQ187" s="1048">
        <f t="shared" si="114"/>
        <v>0</v>
      </c>
      <c r="DR187" s="1048">
        <f t="shared" si="115"/>
        <v>0</v>
      </c>
      <c r="DS187" s="1048">
        <f t="shared" si="116"/>
        <v>0</v>
      </c>
    </row>
    <row r="188" spans="1:123" ht="15" customHeight="1" x14ac:dyDescent="0.25">
      <c r="A188" s="1715" t="s">
        <v>371</v>
      </c>
      <c r="B188" s="1716" t="s">
        <v>371</v>
      </c>
      <c r="C188" s="353">
        <f t="shared" si="128"/>
        <v>0</v>
      </c>
      <c r="D188" s="1138">
        <f t="shared" si="129"/>
        <v>0</v>
      </c>
      <c r="E188" s="890">
        <f t="shared" si="123"/>
        <v>0</v>
      </c>
      <c r="F188" s="357">
        <v>0</v>
      </c>
      <c r="G188" s="376">
        <v>0</v>
      </c>
      <c r="H188" s="376">
        <v>0</v>
      </c>
      <c r="I188" s="376">
        <v>0</v>
      </c>
      <c r="J188" s="376">
        <v>0</v>
      </c>
      <c r="K188" s="376">
        <v>0</v>
      </c>
      <c r="L188" s="376">
        <v>0</v>
      </c>
      <c r="M188" s="376">
        <v>0</v>
      </c>
      <c r="N188" s="376">
        <v>0</v>
      </c>
      <c r="O188" s="376">
        <v>0</v>
      </c>
      <c r="P188" s="376">
        <v>0</v>
      </c>
      <c r="Q188" s="376">
        <v>0</v>
      </c>
      <c r="R188" s="376">
        <v>0</v>
      </c>
      <c r="S188" s="376">
        <v>0</v>
      </c>
      <c r="T188" s="376">
        <v>0</v>
      </c>
      <c r="U188" s="376">
        <v>0</v>
      </c>
      <c r="V188" s="376">
        <v>0</v>
      </c>
      <c r="W188" s="376">
        <v>0</v>
      </c>
      <c r="X188" s="376">
        <v>0</v>
      </c>
      <c r="Y188" s="376">
        <v>0</v>
      </c>
      <c r="Z188" s="376">
        <v>0</v>
      </c>
      <c r="AA188" s="376">
        <v>0</v>
      </c>
      <c r="AB188" s="376">
        <v>0</v>
      </c>
      <c r="AC188" s="376">
        <v>0</v>
      </c>
      <c r="AD188" s="376">
        <v>0</v>
      </c>
      <c r="AE188" s="376">
        <v>0</v>
      </c>
      <c r="AF188" s="376">
        <v>0</v>
      </c>
      <c r="AG188" s="376">
        <v>0</v>
      </c>
      <c r="AH188" s="376">
        <v>0</v>
      </c>
      <c r="AI188" s="376">
        <v>0</v>
      </c>
      <c r="AJ188" s="376">
        <v>0</v>
      </c>
      <c r="AK188" s="376">
        <v>0</v>
      </c>
      <c r="AL188" s="376">
        <v>0</v>
      </c>
      <c r="AM188" s="376">
        <v>0</v>
      </c>
      <c r="AN188" s="376">
        <v>0</v>
      </c>
      <c r="AO188" s="376">
        <v>0</v>
      </c>
      <c r="AP188" s="376">
        <v>0</v>
      </c>
      <c r="AQ188" s="356">
        <v>0</v>
      </c>
      <c r="AR188" s="358">
        <v>0</v>
      </c>
      <c r="AS188" s="356">
        <v>0</v>
      </c>
      <c r="AT188" s="354">
        <v>0</v>
      </c>
      <c r="AU188" s="355">
        <v>0</v>
      </c>
      <c r="AV188" s="109" t="str">
        <f t="shared" si="118"/>
        <v/>
      </c>
      <c r="AW188" s="109"/>
      <c r="AX188" s="109"/>
      <c r="AY188" s="109"/>
      <c r="AZ188" s="109"/>
      <c r="BR188" s="607"/>
      <c r="BS188" s="607"/>
      <c r="BT188" s="607"/>
      <c r="BU188" s="607"/>
      <c r="CA188" s="191" t="str">
        <f t="shared" si="119"/>
        <v/>
      </c>
      <c r="CB188" s="191" t="str">
        <f t="shared" si="120"/>
        <v/>
      </c>
      <c r="CC188" s="191" t="str">
        <f t="shared" si="111"/>
        <v/>
      </c>
      <c r="CD188" s="191" t="str">
        <f t="shared" si="112"/>
        <v/>
      </c>
      <c r="DP188" s="1048">
        <f t="shared" si="113"/>
        <v>0</v>
      </c>
      <c r="DQ188" s="1048">
        <f t="shared" si="114"/>
        <v>0</v>
      </c>
      <c r="DR188" s="1048">
        <f t="shared" si="115"/>
        <v>0</v>
      </c>
      <c r="DS188" s="1048">
        <f t="shared" si="116"/>
        <v>0</v>
      </c>
    </row>
    <row r="189" spans="1:123" ht="15" customHeight="1" x14ac:dyDescent="0.25">
      <c r="A189" s="1715" t="s">
        <v>372</v>
      </c>
      <c r="B189" s="1716" t="s">
        <v>372</v>
      </c>
      <c r="C189" s="353">
        <f t="shared" si="125"/>
        <v>0</v>
      </c>
      <c r="D189" s="1138">
        <f t="shared" si="122"/>
        <v>0</v>
      </c>
      <c r="E189" s="890">
        <f t="shared" ref="E189:E190" si="130">+G189+I189+K189+M189+O189+Q189+S189+U189+W189+Y189+AA189+AC189+AE189+AG189+AI189+AO189+AQ189+AK189+AM189</f>
        <v>0</v>
      </c>
      <c r="F189" s="357">
        <v>0</v>
      </c>
      <c r="G189" s="376">
        <v>0</v>
      </c>
      <c r="H189" s="376">
        <v>0</v>
      </c>
      <c r="I189" s="376">
        <v>0</v>
      </c>
      <c r="J189" s="376">
        <v>0</v>
      </c>
      <c r="K189" s="376">
        <v>0</v>
      </c>
      <c r="L189" s="376">
        <v>0</v>
      </c>
      <c r="M189" s="376">
        <v>0</v>
      </c>
      <c r="N189" s="376">
        <v>0</v>
      </c>
      <c r="O189" s="376">
        <v>0</v>
      </c>
      <c r="P189" s="376">
        <v>0</v>
      </c>
      <c r="Q189" s="376">
        <v>0</v>
      </c>
      <c r="R189" s="376">
        <v>0</v>
      </c>
      <c r="S189" s="376">
        <v>0</v>
      </c>
      <c r="T189" s="376">
        <v>0</v>
      </c>
      <c r="U189" s="376">
        <v>0</v>
      </c>
      <c r="V189" s="376">
        <v>0</v>
      </c>
      <c r="W189" s="376">
        <v>0</v>
      </c>
      <c r="X189" s="376">
        <v>0</v>
      </c>
      <c r="Y189" s="376">
        <v>0</v>
      </c>
      <c r="Z189" s="376">
        <v>0</v>
      </c>
      <c r="AA189" s="376">
        <v>0</v>
      </c>
      <c r="AB189" s="376">
        <v>0</v>
      </c>
      <c r="AC189" s="376">
        <v>0</v>
      </c>
      <c r="AD189" s="376">
        <v>0</v>
      </c>
      <c r="AE189" s="376">
        <v>0</v>
      </c>
      <c r="AF189" s="376">
        <v>0</v>
      </c>
      <c r="AG189" s="376">
        <v>0</v>
      </c>
      <c r="AH189" s="376">
        <v>0</v>
      </c>
      <c r="AI189" s="376">
        <v>0</v>
      </c>
      <c r="AJ189" s="376">
        <v>0</v>
      </c>
      <c r="AK189" s="376">
        <v>0</v>
      </c>
      <c r="AL189" s="376">
        <v>0</v>
      </c>
      <c r="AM189" s="376">
        <v>0</v>
      </c>
      <c r="AN189" s="376">
        <v>0</v>
      </c>
      <c r="AO189" s="376">
        <v>0</v>
      </c>
      <c r="AP189" s="376">
        <v>0</v>
      </c>
      <c r="AQ189" s="356">
        <v>0</v>
      </c>
      <c r="AR189" s="358">
        <v>0</v>
      </c>
      <c r="AS189" s="356">
        <v>0</v>
      </c>
      <c r="AT189" s="354">
        <v>0</v>
      </c>
      <c r="AU189" s="355">
        <v>0</v>
      </c>
      <c r="AV189" s="109" t="str">
        <f t="shared" si="118"/>
        <v/>
      </c>
      <c r="AW189" s="109"/>
      <c r="AX189" s="109"/>
      <c r="AY189" s="109"/>
      <c r="AZ189" s="109"/>
      <c r="BR189" s="607"/>
      <c r="BS189" s="607"/>
      <c r="BT189" s="607"/>
      <c r="BU189" s="607"/>
      <c r="CA189" s="191" t="str">
        <f t="shared" si="119"/>
        <v/>
      </c>
      <c r="CB189" s="191" t="str">
        <f t="shared" si="120"/>
        <v/>
      </c>
      <c r="CC189" s="191" t="str">
        <f t="shared" si="111"/>
        <v/>
      </c>
      <c r="CD189" s="191" t="str">
        <f t="shared" si="112"/>
        <v/>
      </c>
      <c r="DP189" s="1048">
        <f t="shared" si="113"/>
        <v>0</v>
      </c>
      <c r="DQ189" s="1048">
        <f t="shared" si="114"/>
        <v>0</v>
      </c>
      <c r="DR189" s="1048">
        <f t="shared" si="115"/>
        <v>0</v>
      </c>
      <c r="DS189" s="1048">
        <f t="shared" si="116"/>
        <v>0</v>
      </c>
    </row>
    <row r="190" spans="1:123" ht="15" customHeight="1" x14ac:dyDescent="0.25">
      <c r="A190" s="1742" t="s">
        <v>373</v>
      </c>
      <c r="B190" s="1743" t="s">
        <v>373</v>
      </c>
      <c r="C190" s="378">
        <f t="shared" si="125"/>
        <v>0</v>
      </c>
      <c r="D190" s="1139">
        <f t="shared" si="122"/>
        <v>0</v>
      </c>
      <c r="E190" s="892">
        <f t="shared" si="130"/>
        <v>0</v>
      </c>
      <c r="F190" s="331">
        <v>0</v>
      </c>
      <c r="G190" s="379">
        <v>0</v>
      </c>
      <c r="H190" s="379">
        <v>0</v>
      </c>
      <c r="I190" s="379">
        <v>0</v>
      </c>
      <c r="J190" s="379">
        <v>0</v>
      </c>
      <c r="K190" s="379">
        <v>0</v>
      </c>
      <c r="L190" s="379">
        <v>0</v>
      </c>
      <c r="M190" s="379">
        <v>0</v>
      </c>
      <c r="N190" s="379">
        <v>0</v>
      </c>
      <c r="O190" s="379">
        <v>0</v>
      </c>
      <c r="P190" s="379">
        <v>0</v>
      </c>
      <c r="Q190" s="379">
        <v>0</v>
      </c>
      <c r="R190" s="379">
        <v>0</v>
      </c>
      <c r="S190" s="379">
        <v>0</v>
      </c>
      <c r="T190" s="379">
        <v>0</v>
      </c>
      <c r="U190" s="379">
        <v>0</v>
      </c>
      <c r="V190" s="379">
        <v>0</v>
      </c>
      <c r="W190" s="379">
        <v>0</v>
      </c>
      <c r="X190" s="379">
        <v>0</v>
      </c>
      <c r="Y190" s="379">
        <v>0</v>
      </c>
      <c r="Z190" s="379">
        <v>0</v>
      </c>
      <c r="AA190" s="379">
        <v>0</v>
      </c>
      <c r="AB190" s="379">
        <v>0</v>
      </c>
      <c r="AC190" s="379">
        <v>0</v>
      </c>
      <c r="AD190" s="379">
        <v>0</v>
      </c>
      <c r="AE190" s="379">
        <v>0</v>
      </c>
      <c r="AF190" s="379">
        <v>0</v>
      </c>
      <c r="AG190" s="379">
        <v>0</v>
      </c>
      <c r="AH190" s="379">
        <v>0</v>
      </c>
      <c r="AI190" s="379">
        <v>0</v>
      </c>
      <c r="AJ190" s="379">
        <v>0</v>
      </c>
      <c r="AK190" s="379">
        <v>0</v>
      </c>
      <c r="AL190" s="379">
        <v>0</v>
      </c>
      <c r="AM190" s="379">
        <v>0</v>
      </c>
      <c r="AN190" s="379">
        <v>0</v>
      </c>
      <c r="AO190" s="379">
        <v>0</v>
      </c>
      <c r="AP190" s="379">
        <v>0</v>
      </c>
      <c r="AQ190" s="330">
        <v>0</v>
      </c>
      <c r="AR190" s="332">
        <v>0</v>
      </c>
      <c r="AS190" s="330">
        <v>0</v>
      </c>
      <c r="AT190" s="328">
        <v>0</v>
      </c>
      <c r="AU190" s="329">
        <v>0</v>
      </c>
      <c r="AV190" s="109" t="str">
        <f t="shared" si="118"/>
        <v/>
      </c>
      <c r="AW190" s="109"/>
      <c r="AX190" s="109"/>
      <c r="AY190" s="109"/>
      <c r="AZ190" s="109"/>
      <c r="BR190" s="607"/>
      <c r="BS190" s="607"/>
      <c r="BT190" s="607"/>
      <c r="BU190" s="607"/>
      <c r="CA190" s="191" t="str">
        <f t="shared" si="119"/>
        <v/>
      </c>
      <c r="CB190" s="191" t="str">
        <f t="shared" si="120"/>
        <v/>
      </c>
      <c r="CC190" s="191" t="str">
        <f t="shared" si="111"/>
        <v/>
      </c>
      <c r="CD190" s="191" t="str">
        <f t="shared" si="112"/>
        <v/>
      </c>
      <c r="DP190" s="1048">
        <f t="shared" si="113"/>
        <v>0</v>
      </c>
      <c r="DQ190" s="1048">
        <f t="shared" si="114"/>
        <v>0</v>
      </c>
      <c r="DR190" s="1048">
        <f t="shared" si="115"/>
        <v>0</v>
      </c>
      <c r="DS190" s="1048">
        <f t="shared" si="116"/>
        <v>0</v>
      </c>
    </row>
    <row r="191" spans="1:123" ht="17.100000000000001" customHeight="1" x14ac:dyDescent="0.25">
      <c r="A191" s="1838" t="s">
        <v>374</v>
      </c>
      <c r="B191" s="1838"/>
      <c r="C191" s="1838"/>
      <c r="D191" s="1838"/>
      <c r="E191" s="1838"/>
      <c r="F191" s="1838"/>
      <c r="G191" s="1838"/>
      <c r="H191" s="1838"/>
      <c r="I191" s="1838"/>
      <c r="J191" s="1838"/>
      <c r="K191" s="1838"/>
      <c r="L191" s="1838"/>
      <c r="M191" s="1838"/>
      <c r="N191" s="1838"/>
      <c r="O191" s="1838"/>
      <c r="P191" s="1838"/>
      <c r="Q191" s="1838"/>
      <c r="R191" s="1838"/>
      <c r="S191" s="1838"/>
      <c r="T191" s="1838"/>
      <c r="U191" s="1838"/>
      <c r="V191" s="1838"/>
      <c r="W191" s="1838"/>
      <c r="X191" s="1838"/>
      <c r="Y191" s="1838"/>
      <c r="Z191" s="1838"/>
      <c r="AA191" s="1838"/>
      <c r="AB191" s="1838"/>
      <c r="AC191" s="1838"/>
      <c r="AD191" s="1838"/>
      <c r="AE191" s="1838"/>
      <c r="AF191" s="1838"/>
      <c r="AG191" s="1838"/>
      <c r="AH191" s="1838"/>
      <c r="AI191" s="1838"/>
      <c r="AJ191" s="1838"/>
      <c r="AK191" s="1838"/>
      <c r="AL191" s="1838"/>
      <c r="AM191" s="1838"/>
      <c r="AN191" s="1838"/>
      <c r="AO191" s="1838"/>
      <c r="AP191" s="1838"/>
      <c r="AQ191" s="1838"/>
      <c r="AR191" s="107"/>
      <c r="AS191" s="107"/>
      <c r="AT191" s="107"/>
      <c r="AU191" s="107"/>
      <c r="AV191" s="107"/>
    </row>
    <row r="192" spans="1:123" ht="15" customHeight="1" x14ac:dyDescent="0.25">
      <c r="A192" s="1728" t="s">
        <v>375</v>
      </c>
      <c r="B192" s="1708"/>
      <c r="C192" s="1717" t="s">
        <v>54</v>
      </c>
      <c r="D192" s="1718"/>
      <c r="E192" s="1719"/>
      <c r="F192" s="1740" t="s">
        <v>251</v>
      </c>
      <c r="G192" s="1741"/>
      <c r="H192" s="1741"/>
      <c r="I192" s="1741"/>
      <c r="J192" s="1741"/>
      <c r="K192" s="1741"/>
      <c r="L192" s="1741"/>
      <c r="M192" s="1741"/>
      <c r="N192" s="1741"/>
      <c r="O192" s="1741"/>
      <c r="P192" s="1741"/>
      <c r="Q192" s="1741"/>
      <c r="R192" s="1741"/>
      <c r="S192" s="1741"/>
      <c r="T192" s="1741"/>
      <c r="U192" s="1741"/>
      <c r="V192" s="1741"/>
      <c r="W192" s="1741"/>
      <c r="X192" s="1741"/>
      <c r="Y192" s="1741"/>
      <c r="Z192" s="1741"/>
      <c r="AA192" s="1741"/>
      <c r="AB192" s="1741"/>
      <c r="AC192" s="1741"/>
      <c r="AD192" s="1741"/>
      <c r="AE192" s="1741"/>
      <c r="AF192" s="1741"/>
      <c r="AG192" s="1741"/>
      <c r="AH192" s="1741"/>
      <c r="AI192" s="1741"/>
      <c r="AJ192" s="1741"/>
      <c r="AK192" s="1741"/>
      <c r="AL192" s="1741"/>
      <c r="AM192" s="1741"/>
      <c r="AN192" s="1741"/>
      <c r="AO192" s="1741"/>
      <c r="AP192" s="1741"/>
      <c r="AQ192" s="1747"/>
      <c r="AR192" s="1699" t="s">
        <v>56</v>
      </c>
      <c r="AS192" s="1656"/>
      <c r="AT192" s="1713" t="s">
        <v>57</v>
      </c>
      <c r="AU192" s="1656"/>
      <c r="AV192" s="107"/>
      <c r="AW192" s="107"/>
      <c r="AX192" s="107"/>
      <c r="AY192" s="107"/>
      <c r="AZ192" s="107"/>
      <c r="BR192" s="607"/>
      <c r="BS192" s="607"/>
      <c r="BT192" s="607"/>
      <c r="BU192" s="607"/>
    </row>
    <row r="193" spans="1:127" ht="12" customHeight="1" x14ac:dyDescent="0.25">
      <c r="A193" s="1744"/>
      <c r="B193" s="1709"/>
      <c r="C193" s="1720"/>
      <c r="D193" s="1721"/>
      <c r="E193" s="1722"/>
      <c r="F193" s="1705" t="s">
        <v>217</v>
      </c>
      <c r="G193" s="1706"/>
      <c r="H193" s="1705" t="s">
        <v>218</v>
      </c>
      <c r="I193" s="1706"/>
      <c r="J193" s="1705" t="s">
        <v>219</v>
      </c>
      <c r="K193" s="1706"/>
      <c r="L193" s="1705" t="s">
        <v>220</v>
      </c>
      <c r="M193" s="1706"/>
      <c r="N193" s="1705" t="s">
        <v>221</v>
      </c>
      <c r="O193" s="1706"/>
      <c r="P193" s="1705" t="s">
        <v>222</v>
      </c>
      <c r="Q193" s="1706"/>
      <c r="R193" s="1705" t="s">
        <v>223</v>
      </c>
      <c r="S193" s="1706"/>
      <c r="T193" s="1705" t="s">
        <v>224</v>
      </c>
      <c r="U193" s="1706"/>
      <c r="V193" s="1705" t="s">
        <v>225</v>
      </c>
      <c r="W193" s="1706"/>
      <c r="X193" s="1705" t="s">
        <v>226</v>
      </c>
      <c r="Y193" s="1706"/>
      <c r="Z193" s="1705" t="s">
        <v>227</v>
      </c>
      <c r="AA193" s="1706"/>
      <c r="AB193" s="1705" t="s">
        <v>228</v>
      </c>
      <c r="AC193" s="1706"/>
      <c r="AD193" s="1705" t="s">
        <v>229</v>
      </c>
      <c r="AE193" s="1706"/>
      <c r="AF193" s="1705" t="s">
        <v>230</v>
      </c>
      <c r="AG193" s="1706"/>
      <c r="AH193" s="1707" t="s">
        <v>315</v>
      </c>
      <c r="AI193" s="1706"/>
      <c r="AJ193" s="1705" t="s">
        <v>320</v>
      </c>
      <c r="AK193" s="1706"/>
      <c r="AL193" s="1705" t="s">
        <v>321</v>
      </c>
      <c r="AM193" s="1706"/>
      <c r="AN193" s="1707" t="s">
        <v>322</v>
      </c>
      <c r="AO193" s="1706"/>
      <c r="AP193" s="1705" t="s">
        <v>62</v>
      </c>
      <c r="AQ193" s="1746"/>
      <c r="AR193" s="1701"/>
      <c r="AS193" s="1657"/>
      <c r="AT193" s="1714"/>
      <c r="AU193" s="1657"/>
      <c r="AV193" s="107"/>
      <c r="AW193" s="107"/>
      <c r="AX193" s="107"/>
      <c r="AY193" s="107"/>
      <c r="AZ193" s="107"/>
      <c r="BR193" s="607"/>
      <c r="BS193" s="607"/>
      <c r="BT193" s="607"/>
      <c r="BU193" s="607"/>
    </row>
    <row r="194" spans="1:127" ht="15" customHeight="1" x14ac:dyDescent="0.25">
      <c r="A194" s="1745"/>
      <c r="B194" s="1710"/>
      <c r="C194" s="59" t="s">
        <v>231</v>
      </c>
      <c r="D194" s="1403" t="s">
        <v>91</v>
      </c>
      <c r="E194" s="1402" t="s">
        <v>232</v>
      </c>
      <c r="F194" s="1403" t="s">
        <v>91</v>
      </c>
      <c r="G194" s="893" t="s">
        <v>232</v>
      </c>
      <c r="H194" s="1403" t="s">
        <v>91</v>
      </c>
      <c r="I194" s="893" t="s">
        <v>232</v>
      </c>
      <c r="J194" s="1403" t="s">
        <v>91</v>
      </c>
      <c r="K194" s="893" t="s">
        <v>232</v>
      </c>
      <c r="L194" s="1403" t="s">
        <v>91</v>
      </c>
      <c r="M194" s="893" t="s">
        <v>232</v>
      </c>
      <c r="N194" s="1403" t="s">
        <v>91</v>
      </c>
      <c r="O194" s="893" t="s">
        <v>232</v>
      </c>
      <c r="P194" s="1403" t="s">
        <v>91</v>
      </c>
      <c r="Q194" s="893" t="s">
        <v>232</v>
      </c>
      <c r="R194" s="1403" t="s">
        <v>91</v>
      </c>
      <c r="S194" s="893" t="s">
        <v>232</v>
      </c>
      <c r="T194" s="1403" t="s">
        <v>91</v>
      </c>
      <c r="U194" s="893" t="s">
        <v>232</v>
      </c>
      <c r="V194" s="1403" t="s">
        <v>91</v>
      </c>
      <c r="W194" s="893" t="s">
        <v>232</v>
      </c>
      <c r="X194" s="1403" t="s">
        <v>91</v>
      </c>
      <c r="Y194" s="893" t="s">
        <v>232</v>
      </c>
      <c r="Z194" s="1403" t="s">
        <v>91</v>
      </c>
      <c r="AA194" s="893" t="s">
        <v>232</v>
      </c>
      <c r="AB194" s="1403" t="s">
        <v>91</v>
      </c>
      <c r="AC194" s="893" t="s">
        <v>232</v>
      </c>
      <c r="AD194" s="1403" t="s">
        <v>91</v>
      </c>
      <c r="AE194" s="893" t="s">
        <v>232</v>
      </c>
      <c r="AF194" s="1403" t="s">
        <v>91</v>
      </c>
      <c r="AG194" s="893" t="s">
        <v>232</v>
      </c>
      <c r="AH194" s="604" t="s">
        <v>91</v>
      </c>
      <c r="AI194" s="975" t="s">
        <v>232</v>
      </c>
      <c r="AJ194" s="974" t="s">
        <v>91</v>
      </c>
      <c r="AK194" s="893" t="s">
        <v>232</v>
      </c>
      <c r="AL194" s="604" t="s">
        <v>91</v>
      </c>
      <c r="AM194" s="975" t="s">
        <v>232</v>
      </c>
      <c r="AN194" s="604" t="s">
        <v>91</v>
      </c>
      <c r="AO194" s="893" t="s">
        <v>232</v>
      </c>
      <c r="AP194" s="604" t="s">
        <v>91</v>
      </c>
      <c r="AQ194" s="976" t="s">
        <v>232</v>
      </c>
      <c r="AR194" s="977" t="s">
        <v>91</v>
      </c>
      <c r="AS194" s="975" t="s">
        <v>232</v>
      </c>
      <c r="AT194" s="1403" t="s">
        <v>91</v>
      </c>
      <c r="AU194" s="1402" t="s">
        <v>232</v>
      </c>
      <c r="AV194" s="107"/>
      <c r="AW194" s="107"/>
      <c r="AX194" s="107"/>
      <c r="AY194" s="107"/>
      <c r="AZ194" s="107"/>
      <c r="BR194" s="607"/>
      <c r="BS194" s="607"/>
      <c r="BT194" s="607"/>
      <c r="BU194" s="607"/>
    </row>
    <row r="195" spans="1:127" ht="15" customHeight="1" x14ac:dyDescent="0.25">
      <c r="A195" s="1705" t="s">
        <v>376</v>
      </c>
      <c r="B195" s="1706"/>
      <c r="C195" s="321">
        <f>SUM(D195:E195)</f>
        <v>0</v>
      </c>
      <c r="D195" s="363">
        <f>+F195+H195+J195+L195+N195+P195+R195+T195+V195+X195+Z195+AB195+AD195+AF195+AH195+AN195+AP195+AJ195+AL195</f>
        <v>0</v>
      </c>
      <c r="E195" s="364">
        <f>+G195+I195+K195+M195+O195+Q195+S195+U195+W195+Y195+AA195+AC195+AE195+AG195+AI195+AO195+AQ195+AK195+AM195</f>
        <v>0</v>
      </c>
      <c r="F195" s="895">
        <f>SUM(F196:F198)</f>
        <v>0</v>
      </c>
      <c r="G195" s="896">
        <f>SUM(G196:G198)</f>
        <v>0</v>
      </c>
      <c r="H195" s="895">
        <f t="shared" ref="H195:AQ195" si="131">SUM(H196:H198)</f>
        <v>0</v>
      </c>
      <c r="I195" s="896">
        <f t="shared" si="131"/>
        <v>0</v>
      </c>
      <c r="J195" s="895">
        <f t="shared" si="131"/>
        <v>0</v>
      </c>
      <c r="K195" s="896">
        <f t="shared" si="131"/>
        <v>0</v>
      </c>
      <c r="L195" s="895">
        <f t="shared" si="131"/>
        <v>0</v>
      </c>
      <c r="M195" s="896">
        <f t="shared" si="131"/>
        <v>0</v>
      </c>
      <c r="N195" s="895">
        <f t="shared" si="131"/>
        <v>0</v>
      </c>
      <c r="O195" s="896">
        <f t="shared" si="131"/>
        <v>0</v>
      </c>
      <c r="P195" s="895">
        <f t="shared" si="131"/>
        <v>0</v>
      </c>
      <c r="Q195" s="896">
        <f t="shared" si="131"/>
        <v>0</v>
      </c>
      <c r="R195" s="895">
        <f t="shared" si="131"/>
        <v>0</v>
      </c>
      <c r="S195" s="896">
        <f t="shared" si="131"/>
        <v>0</v>
      </c>
      <c r="T195" s="895">
        <f t="shared" si="131"/>
        <v>0</v>
      </c>
      <c r="U195" s="896">
        <f t="shared" si="131"/>
        <v>0</v>
      </c>
      <c r="V195" s="895">
        <f t="shared" si="131"/>
        <v>0</v>
      </c>
      <c r="W195" s="896">
        <f t="shared" si="131"/>
        <v>0</v>
      </c>
      <c r="X195" s="895">
        <f t="shared" si="131"/>
        <v>0</v>
      </c>
      <c r="Y195" s="896">
        <f t="shared" si="131"/>
        <v>0</v>
      </c>
      <c r="Z195" s="895">
        <f t="shared" si="131"/>
        <v>0</v>
      </c>
      <c r="AA195" s="896">
        <f t="shared" si="131"/>
        <v>0</v>
      </c>
      <c r="AB195" s="895">
        <f t="shared" si="131"/>
        <v>0</v>
      </c>
      <c r="AC195" s="896">
        <f t="shared" si="131"/>
        <v>0</v>
      </c>
      <c r="AD195" s="895">
        <f t="shared" si="131"/>
        <v>0</v>
      </c>
      <c r="AE195" s="896">
        <f t="shared" si="131"/>
        <v>0</v>
      </c>
      <c r="AF195" s="895">
        <f t="shared" si="131"/>
        <v>0</v>
      </c>
      <c r="AG195" s="896">
        <f t="shared" si="131"/>
        <v>0</v>
      </c>
      <c r="AH195" s="895">
        <f t="shared" si="131"/>
        <v>0</v>
      </c>
      <c r="AI195" s="896">
        <f t="shared" si="131"/>
        <v>0</v>
      </c>
      <c r="AJ195" s="895">
        <f t="shared" si="131"/>
        <v>0</v>
      </c>
      <c r="AK195" s="896">
        <f t="shared" si="131"/>
        <v>0</v>
      </c>
      <c r="AL195" s="895">
        <f t="shared" si="131"/>
        <v>0</v>
      </c>
      <c r="AM195" s="896">
        <f t="shared" si="131"/>
        <v>0</v>
      </c>
      <c r="AN195" s="895">
        <f t="shared" si="131"/>
        <v>0</v>
      </c>
      <c r="AO195" s="896">
        <f t="shared" si="131"/>
        <v>0</v>
      </c>
      <c r="AP195" s="895">
        <f t="shared" si="131"/>
        <v>0</v>
      </c>
      <c r="AQ195" s="896">
        <f t="shared" si="131"/>
        <v>0</v>
      </c>
      <c r="AR195" s="897">
        <f>SUM(AR196:AR198)</f>
        <v>0</v>
      </c>
      <c r="AS195" s="896">
        <f>SUM(AS196:AS198)</f>
        <v>0</v>
      </c>
      <c r="AT195" s="1414">
        <f>SUM(AT196:AT198)</f>
        <v>0</v>
      </c>
      <c r="AU195" s="896">
        <f>SUM(AU196:AU198)</f>
        <v>0</v>
      </c>
      <c r="BR195" s="607"/>
      <c r="BS195" s="607"/>
      <c r="BT195" s="607"/>
      <c r="BU195" s="607"/>
      <c r="DP195" s="1048">
        <f t="shared" ref="DP195:DQ198" si="132">IF(AND(D195&gt;0,AR195=""),1,IF(AR195&gt;D195,1,0))</f>
        <v>0</v>
      </c>
      <c r="DQ195" s="1048">
        <f t="shared" si="132"/>
        <v>0</v>
      </c>
      <c r="DR195" s="1048">
        <f t="shared" ref="DR195:DS198" si="133">IF(AND(D195&gt;0,AT195=""),1,IF(AT195&gt;D195,1,0))</f>
        <v>0</v>
      </c>
      <c r="DS195" s="1048">
        <f t="shared" si="133"/>
        <v>0</v>
      </c>
    </row>
    <row r="196" spans="1:127" ht="15" customHeight="1" x14ac:dyDescent="0.25">
      <c r="A196" s="1734" t="s">
        <v>377</v>
      </c>
      <c r="B196" s="1735"/>
      <c r="C196" s="321">
        <f>SUM(D196:E196)</f>
        <v>0</v>
      </c>
      <c r="D196" s="363">
        <f>+F196+H196+J196+L196+N196+P196+R196+T196+V196+X196+Z196+AB196+AD196+AF196+AH196+AN196+AP196+AJ196+AL196</f>
        <v>0</v>
      </c>
      <c r="E196" s="364">
        <f>+G196+I196+K196+M196+O196+Q196+S196+U196+W196+Y196+AA196+AC196+AE196+AG196+AI196+AO196+AQ196+AK196+AM196</f>
        <v>0</v>
      </c>
      <c r="F196" s="322">
        <v>0</v>
      </c>
      <c r="G196" s="323">
        <v>0</v>
      </c>
      <c r="H196" s="322">
        <v>0</v>
      </c>
      <c r="I196" s="323">
        <v>0</v>
      </c>
      <c r="J196" s="322">
        <v>0</v>
      </c>
      <c r="K196" s="323">
        <v>0</v>
      </c>
      <c r="L196" s="322">
        <v>0</v>
      </c>
      <c r="M196" s="324">
        <v>0</v>
      </c>
      <c r="N196" s="322">
        <v>0</v>
      </c>
      <c r="O196" s="323">
        <v>0</v>
      </c>
      <c r="P196" s="322">
        <v>0</v>
      </c>
      <c r="Q196" s="323">
        <v>0</v>
      </c>
      <c r="R196" s="325">
        <v>0</v>
      </c>
      <c r="S196" s="323">
        <v>0</v>
      </c>
      <c r="T196" s="322">
        <v>0</v>
      </c>
      <c r="U196" s="324">
        <v>0</v>
      </c>
      <c r="V196" s="322">
        <v>0</v>
      </c>
      <c r="W196" s="323">
        <v>0</v>
      </c>
      <c r="X196" s="322">
        <v>0</v>
      </c>
      <c r="Y196" s="323">
        <v>0</v>
      </c>
      <c r="Z196" s="322">
        <v>0</v>
      </c>
      <c r="AA196" s="323">
        <v>0</v>
      </c>
      <c r="AB196" s="322">
        <v>0</v>
      </c>
      <c r="AC196" s="336">
        <v>0</v>
      </c>
      <c r="AD196" s="322">
        <v>0</v>
      </c>
      <c r="AE196" s="323">
        <v>0</v>
      </c>
      <c r="AF196" s="322">
        <v>0</v>
      </c>
      <c r="AG196" s="324">
        <v>0</v>
      </c>
      <c r="AH196" s="322">
        <v>0</v>
      </c>
      <c r="AI196" s="324">
        <v>0</v>
      </c>
      <c r="AJ196" s="322">
        <v>0</v>
      </c>
      <c r="AK196" s="324">
        <v>0</v>
      </c>
      <c r="AL196" s="322">
        <v>0</v>
      </c>
      <c r="AM196" s="323">
        <v>0</v>
      </c>
      <c r="AN196" s="325">
        <v>0</v>
      </c>
      <c r="AO196" s="324">
        <v>0</v>
      </c>
      <c r="AP196" s="322">
        <v>0</v>
      </c>
      <c r="AQ196" s="808">
        <v>0</v>
      </c>
      <c r="AR196" s="326">
        <v>0</v>
      </c>
      <c r="AS196" s="323">
        <v>0</v>
      </c>
      <c r="AT196" s="322">
        <v>0</v>
      </c>
      <c r="AU196" s="323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7"/>
      <c r="BS196" s="607"/>
      <c r="BT196" s="607"/>
      <c r="BU196" s="607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48">
        <f t="shared" si="132"/>
        <v>0</v>
      </c>
      <c r="DQ196" s="1048">
        <f t="shared" si="132"/>
        <v>0</v>
      </c>
      <c r="DR196" s="1048">
        <f t="shared" si="133"/>
        <v>0</v>
      </c>
      <c r="DS196" s="1048">
        <f t="shared" si="133"/>
        <v>0</v>
      </c>
    </row>
    <row r="197" spans="1:127" ht="15" customHeight="1" x14ac:dyDescent="0.25">
      <c r="A197" s="1736" t="s">
        <v>378</v>
      </c>
      <c r="B197" s="1737"/>
      <c r="C197" s="353">
        <f t="shared" ref="C197:C198" si="134">SUM(D197:E197)</f>
        <v>0</v>
      </c>
      <c r="D197" s="365">
        <f t="shared" ref="D197:D198" si="135">+F197+H197+J197+L197+N197+P197+R197+T197+V197+X197+Z197+AB197+AD197+AF197+AH197+AN197+AP197+AJ197+AL197</f>
        <v>0</v>
      </c>
      <c r="E197" s="366">
        <f t="shared" ref="E197:E198" si="136">+G197+I197+K197+M197+O197+Q197+S197+U197+W197+Y197+AA197+AC197+AE197+AG197+AI197+AO197+AQ197+AK197+AM197</f>
        <v>0</v>
      </c>
      <c r="F197" s="354">
        <v>0</v>
      </c>
      <c r="G197" s="355">
        <v>0</v>
      </c>
      <c r="H197" s="354">
        <v>0</v>
      </c>
      <c r="I197" s="355">
        <v>0</v>
      </c>
      <c r="J197" s="354">
        <v>0</v>
      </c>
      <c r="K197" s="355">
        <v>0</v>
      </c>
      <c r="L197" s="354">
        <v>0</v>
      </c>
      <c r="M197" s="356">
        <v>0</v>
      </c>
      <c r="N197" s="354">
        <v>0</v>
      </c>
      <c r="O197" s="355">
        <v>0</v>
      </c>
      <c r="P197" s="354">
        <v>0</v>
      </c>
      <c r="Q197" s="355">
        <v>0</v>
      </c>
      <c r="R197" s="357">
        <v>0</v>
      </c>
      <c r="S197" s="355">
        <v>0</v>
      </c>
      <c r="T197" s="354">
        <v>0</v>
      </c>
      <c r="U197" s="356">
        <v>0</v>
      </c>
      <c r="V197" s="354">
        <v>0</v>
      </c>
      <c r="W197" s="355">
        <v>0</v>
      </c>
      <c r="X197" s="354">
        <v>0</v>
      </c>
      <c r="Y197" s="355">
        <v>0</v>
      </c>
      <c r="Z197" s="354">
        <v>0</v>
      </c>
      <c r="AA197" s="355">
        <v>0</v>
      </c>
      <c r="AB197" s="354">
        <v>0</v>
      </c>
      <c r="AC197" s="596">
        <v>0</v>
      </c>
      <c r="AD197" s="354">
        <v>0</v>
      </c>
      <c r="AE197" s="355">
        <v>0</v>
      </c>
      <c r="AF197" s="354">
        <v>0</v>
      </c>
      <c r="AG197" s="356">
        <v>0</v>
      </c>
      <c r="AH197" s="354">
        <v>0</v>
      </c>
      <c r="AI197" s="356">
        <v>0</v>
      </c>
      <c r="AJ197" s="354">
        <v>0</v>
      </c>
      <c r="AK197" s="356">
        <v>0</v>
      </c>
      <c r="AL197" s="354">
        <v>0</v>
      </c>
      <c r="AM197" s="355">
        <v>0</v>
      </c>
      <c r="AN197" s="357">
        <v>0</v>
      </c>
      <c r="AO197" s="356">
        <v>0</v>
      </c>
      <c r="AP197" s="354">
        <v>0</v>
      </c>
      <c r="AQ197" s="809">
        <v>0</v>
      </c>
      <c r="AR197" s="358">
        <v>0</v>
      </c>
      <c r="AS197" s="355">
        <v>0</v>
      </c>
      <c r="AT197" s="354">
        <v>0</v>
      </c>
      <c r="AU197" s="355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7"/>
      <c r="BS197" s="607"/>
      <c r="BT197" s="607"/>
      <c r="BU197" s="607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48">
        <f>IF(AND(D197&gt;0,AR197=""),1,IF(AR197&gt;D197,1,0))</f>
        <v>0</v>
      </c>
      <c r="DQ197" s="1048">
        <f t="shared" si="132"/>
        <v>0</v>
      </c>
      <c r="DR197" s="1048">
        <f t="shared" si="133"/>
        <v>0</v>
      </c>
      <c r="DS197" s="1048">
        <f t="shared" si="133"/>
        <v>0</v>
      </c>
    </row>
    <row r="198" spans="1:127" ht="15" customHeight="1" x14ac:dyDescent="0.25">
      <c r="A198" s="1738" t="s">
        <v>379</v>
      </c>
      <c r="B198" s="1739"/>
      <c r="C198" s="378">
        <f t="shared" si="134"/>
        <v>0</v>
      </c>
      <c r="D198" s="748">
        <f t="shared" si="135"/>
        <v>0</v>
      </c>
      <c r="E198" s="705">
        <f t="shared" si="136"/>
        <v>0</v>
      </c>
      <c r="F198" s="315">
        <v>0</v>
      </c>
      <c r="G198" s="316">
        <v>0</v>
      </c>
      <c r="H198" s="315">
        <v>0</v>
      </c>
      <c r="I198" s="316">
        <v>0</v>
      </c>
      <c r="J198" s="315">
        <v>0</v>
      </c>
      <c r="K198" s="316">
        <v>0</v>
      </c>
      <c r="L198" s="315">
        <v>0</v>
      </c>
      <c r="M198" s="316">
        <v>0</v>
      </c>
      <c r="N198" s="315">
        <v>0</v>
      </c>
      <c r="O198" s="316">
        <v>0</v>
      </c>
      <c r="P198" s="315">
        <v>0</v>
      </c>
      <c r="Q198" s="316">
        <v>0</v>
      </c>
      <c r="R198" s="315">
        <v>0</v>
      </c>
      <c r="S198" s="316">
        <v>0</v>
      </c>
      <c r="T198" s="315">
        <v>0</v>
      </c>
      <c r="U198" s="316">
        <v>0</v>
      </c>
      <c r="V198" s="315">
        <v>0</v>
      </c>
      <c r="W198" s="316">
        <v>0</v>
      </c>
      <c r="X198" s="315">
        <v>0</v>
      </c>
      <c r="Y198" s="316">
        <v>0</v>
      </c>
      <c r="Z198" s="315">
        <v>0</v>
      </c>
      <c r="AA198" s="316">
        <v>0</v>
      </c>
      <c r="AB198" s="315">
        <v>0</v>
      </c>
      <c r="AC198" s="316">
        <v>0</v>
      </c>
      <c r="AD198" s="315">
        <v>0</v>
      </c>
      <c r="AE198" s="316">
        <v>0</v>
      </c>
      <c r="AF198" s="315">
        <v>0</v>
      </c>
      <c r="AG198" s="316">
        <v>0</v>
      </c>
      <c r="AH198" s="315">
        <v>0</v>
      </c>
      <c r="AI198" s="316">
        <v>0</v>
      </c>
      <c r="AJ198" s="315">
        <v>0</v>
      </c>
      <c r="AK198" s="316">
        <v>0</v>
      </c>
      <c r="AL198" s="315">
        <v>0</v>
      </c>
      <c r="AM198" s="316">
        <v>0</v>
      </c>
      <c r="AN198" s="318">
        <v>0</v>
      </c>
      <c r="AO198" s="316">
        <v>0</v>
      </c>
      <c r="AP198" s="315">
        <v>0</v>
      </c>
      <c r="AQ198" s="684">
        <v>0</v>
      </c>
      <c r="AR198" s="350">
        <v>0</v>
      </c>
      <c r="AS198" s="316">
        <v>0</v>
      </c>
      <c r="AT198" s="315">
        <v>0</v>
      </c>
      <c r="AU198" s="316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7"/>
      <c r="BS198" s="607"/>
      <c r="BT198" s="607"/>
      <c r="BU198" s="607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48">
        <f>IF(AND(D198&gt;0,AR198=""),1,IF(AR198&gt;D198,1,0))</f>
        <v>0</v>
      </c>
      <c r="DQ198" s="1048">
        <f t="shared" si="132"/>
        <v>0</v>
      </c>
      <c r="DR198" s="1048">
        <f t="shared" si="133"/>
        <v>0</v>
      </c>
      <c r="DS198" s="1048">
        <f t="shared" si="133"/>
        <v>0</v>
      </c>
    </row>
    <row r="199" spans="1:127" ht="17.100000000000001" customHeight="1" x14ac:dyDescent="0.25">
      <c r="A199" s="1838" t="s">
        <v>380</v>
      </c>
      <c r="B199" s="1838"/>
      <c r="C199" s="1838"/>
      <c r="D199" s="1838"/>
      <c r="E199" s="1838"/>
      <c r="F199" s="1838"/>
      <c r="G199" s="1838"/>
      <c r="H199" s="1838"/>
      <c r="I199" s="1838"/>
      <c r="J199" s="1838"/>
      <c r="K199" s="1838"/>
      <c r="L199" s="1838"/>
      <c r="M199" s="1838"/>
      <c r="N199" s="1838"/>
      <c r="O199" s="1838"/>
      <c r="P199" s="1838"/>
      <c r="Q199" s="1838"/>
      <c r="R199" s="1838"/>
      <c r="S199" s="1838"/>
      <c r="T199" s="1838"/>
      <c r="U199" s="1838"/>
      <c r="V199" s="1838"/>
      <c r="W199" s="1838"/>
      <c r="X199" s="1838"/>
      <c r="Y199" s="1838"/>
      <c r="Z199" s="607"/>
      <c r="AA199" s="607"/>
      <c r="AB199" s="607"/>
      <c r="AC199" s="607"/>
      <c r="AD199" s="607"/>
      <c r="AE199" s="607"/>
      <c r="AF199" s="607"/>
      <c r="AG199" s="607"/>
      <c r="AH199" s="607"/>
      <c r="AI199" s="6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28" t="s">
        <v>381</v>
      </c>
      <c r="B200" s="1729"/>
      <c r="C200" s="1717" t="s">
        <v>54</v>
      </c>
      <c r="D200" s="1718"/>
      <c r="E200" s="1719"/>
      <c r="F200" s="1740" t="s">
        <v>382</v>
      </c>
      <c r="G200" s="1741"/>
      <c r="H200" s="1741"/>
      <c r="I200" s="1741"/>
      <c r="J200" s="1741"/>
      <c r="K200" s="1741"/>
      <c r="L200" s="1741"/>
      <c r="M200" s="1741"/>
      <c r="N200" s="1741"/>
      <c r="O200" s="1741"/>
      <c r="P200" s="1741"/>
      <c r="Q200" s="1741"/>
      <c r="R200" s="1741"/>
      <c r="S200" s="1741"/>
      <c r="T200" s="1741"/>
      <c r="U200" s="1741"/>
      <c r="V200" s="1741"/>
      <c r="W200" s="1741"/>
      <c r="X200" s="1741"/>
      <c r="Y200" s="1741"/>
      <c r="Z200" s="1699" t="s">
        <v>56</v>
      </c>
      <c r="AA200" s="1656"/>
      <c r="AB200" s="1703" t="s">
        <v>57</v>
      </c>
      <c r="AC200" s="1656"/>
      <c r="AD200" s="1703" t="s">
        <v>383</v>
      </c>
      <c r="AE200" s="1656"/>
      <c r="AF200" s="1713" t="s">
        <v>384</v>
      </c>
      <c r="AG200" s="1656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30"/>
      <c r="B201" s="1731"/>
      <c r="C201" s="1720"/>
      <c r="D201" s="1721"/>
      <c r="E201" s="1722"/>
      <c r="F201" s="1705" t="s">
        <v>385</v>
      </c>
      <c r="G201" s="1706"/>
      <c r="H201" s="1705" t="s">
        <v>386</v>
      </c>
      <c r="I201" s="1706"/>
      <c r="J201" s="1705" t="s">
        <v>387</v>
      </c>
      <c r="K201" s="1706"/>
      <c r="L201" s="1705" t="s">
        <v>388</v>
      </c>
      <c r="M201" s="1706"/>
      <c r="N201" s="1705" t="s">
        <v>389</v>
      </c>
      <c r="O201" s="1706"/>
      <c r="P201" s="1705" t="s">
        <v>390</v>
      </c>
      <c r="Q201" s="1706"/>
      <c r="R201" s="1705" t="s">
        <v>391</v>
      </c>
      <c r="S201" s="1706"/>
      <c r="T201" s="1705" t="s">
        <v>392</v>
      </c>
      <c r="U201" s="1706"/>
      <c r="V201" s="1705" t="s">
        <v>393</v>
      </c>
      <c r="W201" s="1706"/>
      <c r="X201" s="1705" t="s">
        <v>394</v>
      </c>
      <c r="Y201" s="1707"/>
      <c r="Z201" s="1701"/>
      <c r="AA201" s="1657"/>
      <c r="AB201" s="1704"/>
      <c r="AC201" s="1657"/>
      <c r="AD201" s="1704"/>
      <c r="AE201" s="1657"/>
      <c r="AF201" s="1714"/>
      <c r="AG201" s="1657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32"/>
      <c r="B202" s="1733"/>
      <c r="C202" s="59" t="s">
        <v>231</v>
      </c>
      <c r="D202" s="1403" t="s">
        <v>91</v>
      </c>
      <c r="E202" s="1402" t="s">
        <v>232</v>
      </c>
      <c r="F202" s="1434" t="s">
        <v>91</v>
      </c>
      <c r="G202" s="1420" t="s">
        <v>232</v>
      </c>
      <c r="H202" s="1434" t="s">
        <v>91</v>
      </c>
      <c r="I202" s="1420" t="s">
        <v>232</v>
      </c>
      <c r="J202" s="1434" t="s">
        <v>91</v>
      </c>
      <c r="K202" s="1420" t="s">
        <v>232</v>
      </c>
      <c r="L202" s="1434" t="s">
        <v>91</v>
      </c>
      <c r="M202" s="1420" t="s">
        <v>232</v>
      </c>
      <c r="N202" s="1434" t="s">
        <v>91</v>
      </c>
      <c r="O202" s="1420" t="s">
        <v>232</v>
      </c>
      <c r="P202" s="1434" t="s">
        <v>91</v>
      </c>
      <c r="Q202" s="1420" t="s">
        <v>232</v>
      </c>
      <c r="R202" s="1434" t="s">
        <v>91</v>
      </c>
      <c r="S202" s="1420" t="s">
        <v>232</v>
      </c>
      <c r="T202" s="1434" t="s">
        <v>91</v>
      </c>
      <c r="U202" s="1420" t="s">
        <v>232</v>
      </c>
      <c r="V202" s="1434" t="s">
        <v>91</v>
      </c>
      <c r="W202" s="1420" t="s">
        <v>232</v>
      </c>
      <c r="X202" s="1434" t="s">
        <v>91</v>
      </c>
      <c r="Y202" s="1441" t="s">
        <v>232</v>
      </c>
      <c r="Z202" s="190" t="s">
        <v>91</v>
      </c>
      <c r="AA202" s="1374" t="s">
        <v>232</v>
      </c>
      <c r="AB202" s="1446" t="s">
        <v>91</v>
      </c>
      <c r="AC202" s="1447" t="s">
        <v>232</v>
      </c>
      <c r="AD202" s="1446" t="s">
        <v>91</v>
      </c>
      <c r="AE202" s="1447" t="s">
        <v>232</v>
      </c>
      <c r="AF202" s="1448" t="s">
        <v>91</v>
      </c>
      <c r="AG202" s="1447" t="s">
        <v>232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711" t="s">
        <v>395</v>
      </c>
      <c r="B203" s="1712"/>
      <c r="C203" s="948">
        <f t="shared" ref="C203:C205" si="137">SUM(D203:E203)</f>
        <v>0</v>
      </c>
      <c r="D203" s="949">
        <f t="shared" ref="D203" si="138">+F203+H203+J203+L203+N203+P203+R203+T203+V203+X203</f>
        <v>0</v>
      </c>
      <c r="E203" s="950">
        <f>+G203+I203+K203+M203+O203+Q203+S203+U203+W203+Y203</f>
        <v>0</v>
      </c>
      <c r="F203" s="951">
        <v>0</v>
      </c>
      <c r="G203" s="952">
        <v>0</v>
      </c>
      <c r="H203" s="951">
        <v>0</v>
      </c>
      <c r="I203" s="952">
        <v>0</v>
      </c>
      <c r="J203" s="951">
        <v>0</v>
      </c>
      <c r="K203" s="952">
        <v>0</v>
      </c>
      <c r="L203" s="951">
        <v>0</v>
      </c>
      <c r="M203" s="952">
        <v>0</v>
      </c>
      <c r="N203" s="951">
        <v>0</v>
      </c>
      <c r="O203" s="952">
        <v>0</v>
      </c>
      <c r="P203" s="951">
        <v>0</v>
      </c>
      <c r="Q203" s="952">
        <v>0</v>
      </c>
      <c r="R203" s="951">
        <v>0</v>
      </c>
      <c r="S203" s="952">
        <v>0</v>
      </c>
      <c r="T203" s="951">
        <v>0</v>
      </c>
      <c r="U203" s="952">
        <v>0</v>
      </c>
      <c r="V203" s="951">
        <v>0</v>
      </c>
      <c r="W203" s="952">
        <v>0</v>
      </c>
      <c r="X203" s="951">
        <v>0</v>
      </c>
      <c r="Y203" s="953">
        <v>0</v>
      </c>
      <c r="Z203" s="954">
        <v>0</v>
      </c>
      <c r="AA203" s="952">
        <v>0</v>
      </c>
      <c r="AB203" s="951">
        <v>0</v>
      </c>
      <c r="AC203" s="952">
        <v>0</v>
      </c>
      <c r="AD203" s="951">
        <v>0</v>
      </c>
      <c r="AE203" s="952">
        <v>0</v>
      </c>
      <c r="AF203" s="951">
        <v>0</v>
      </c>
      <c r="AG203" s="952">
        <v>0</v>
      </c>
      <c r="AH203" s="107" t="str">
        <f>CA203&amp;CB203&amp;CC203&amp;CD203&amp;CE203&amp;CF203&amp;CG203&amp;CH203</f>
        <v/>
      </c>
      <c r="AI203" s="955"/>
      <c r="AJ203" s="107"/>
      <c r="AK203" s="607"/>
      <c r="AL203" s="607"/>
      <c r="AM203" s="607"/>
      <c r="AN203" s="607"/>
      <c r="AO203" s="607"/>
      <c r="AP203" s="607"/>
      <c r="AQ203" s="607"/>
      <c r="AR203" s="607"/>
      <c r="AS203" s="607"/>
      <c r="AT203" s="607"/>
      <c r="AU203" s="607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48">
        <f t="shared" ref="DP203:DQ205" si="139">IF(AND(D203&gt;0,Z203=""),1,IF(Z203&gt;D203,1,0))</f>
        <v>0</v>
      </c>
      <c r="DQ203" s="1048">
        <f t="shared" si="139"/>
        <v>0</v>
      </c>
      <c r="DR203" s="1048">
        <f t="shared" ref="DR203:DS205" si="140">IF(AND(D203&gt;0,AB203=""),1,IF(AB203&gt;D203,1,0))</f>
        <v>0</v>
      </c>
      <c r="DS203" s="1048">
        <f t="shared" si="140"/>
        <v>0</v>
      </c>
      <c r="DT203" s="1048">
        <f t="shared" ref="DT203:DU205" si="141">IF(AND(D203&gt;0,AD203=""),1,IF(AD203&gt;D203,1,0))</f>
        <v>0</v>
      </c>
      <c r="DU203" s="1048">
        <f t="shared" si="141"/>
        <v>0</v>
      </c>
      <c r="DV203" s="1048">
        <f t="shared" ref="DV203:DW205" si="142">IF(AND(D203&gt;0,AF203=""),1,IF(AF203&gt;D203,1,0))</f>
        <v>0</v>
      </c>
      <c r="DW203" s="1048">
        <f t="shared" si="142"/>
        <v>0</v>
      </c>
    </row>
    <row r="204" spans="1:127" ht="15" customHeight="1" thickTop="1" x14ac:dyDescent="0.15">
      <c r="A204" s="1723" t="s">
        <v>396</v>
      </c>
      <c r="B204" s="943" t="s">
        <v>397</v>
      </c>
      <c r="C204" s="338">
        <f t="shared" si="137"/>
        <v>0</v>
      </c>
      <c r="D204" s="369">
        <f>+F204+H204+J204+L204+N204+P204+R204+T204+V204+X204</f>
        <v>0</v>
      </c>
      <c r="E204" s="370">
        <f t="shared" ref="E204:E205" si="143">+G204+I204+K204+M204+O204+Q204+S204+U204+W204+Y204</f>
        <v>0</v>
      </c>
      <c r="F204" s="944">
        <v>0</v>
      </c>
      <c r="G204" s="945">
        <v>0</v>
      </c>
      <c r="H204" s="944">
        <v>0</v>
      </c>
      <c r="I204" s="945">
        <v>0</v>
      </c>
      <c r="J204" s="944">
        <v>0</v>
      </c>
      <c r="K204" s="945">
        <v>0</v>
      </c>
      <c r="L204" s="944">
        <v>0</v>
      </c>
      <c r="M204" s="945">
        <v>0</v>
      </c>
      <c r="N204" s="944">
        <v>0</v>
      </c>
      <c r="O204" s="945">
        <v>0</v>
      </c>
      <c r="P204" s="944">
        <v>0</v>
      </c>
      <c r="Q204" s="945">
        <v>0</v>
      </c>
      <c r="R204" s="944">
        <v>0</v>
      </c>
      <c r="S204" s="945">
        <v>0</v>
      </c>
      <c r="T204" s="944">
        <v>0</v>
      </c>
      <c r="U204" s="945">
        <v>0</v>
      </c>
      <c r="V204" s="944">
        <v>0</v>
      </c>
      <c r="W204" s="945">
        <v>0</v>
      </c>
      <c r="X204" s="944">
        <v>0</v>
      </c>
      <c r="Y204" s="946">
        <v>0</v>
      </c>
      <c r="Z204" s="947">
        <v>0</v>
      </c>
      <c r="AA204" s="945">
        <v>0</v>
      </c>
      <c r="AB204" s="944">
        <v>0</v>
      </c>
      <c r="AC204" s="945">
        <v>0</v>
      </c>
      <c r="AD204" s="944">
        <v>0</v>
      </c>
      <c r="AE204" s="945">
        <v>0</v>
      </c>
      <c r="AF204" s="944">
        <v>0</v>
      </c>
      <c r="AG204" s="945">
        <v>0</v>
      </c>
      <c r="AH204" s="107" t="str">
        <f>CA204&amp;CB204&amp;CC204&amp;CD204&amp;CE204&amp;CF204&amp;CG204&amp;CH204</f>
        <v/>
      </c>
      <c r="AI204" s="955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48">
        <f t="shared" si="139"/>
        <v>0</v>
      </c>
      <c r="DQ204" s="1048">
        <f t="shared" si="139"/>
        <v>0</v>
      </c>
      <c r="DR204" s="1048">
        <f t="shared" si="140"/>
        <v>0</v>
      </c>
      <c r="DS204" s="1048">
        <f t="shared" si="140"/>
        <v>0</v>
      </c>
      <c r="DT204" s="1048">
        <f t="shared" si="141"/>
        <v>0</v>
      </c>
      <c r="DU204" s="1048">
        <f t="shared" si="141"/>
        <v>0</v>
      </c>
      <c r="DV204" s="1048">
        <f t="shared" si="142"/>
        <v>0</v>
      </c>
      <c r="DW204" s="1048">
        <f t="shared" si="142"/>
        <v>0</v>
      </c>
    </row>
    <row r="205" spans="1:127" ht="15" customHeight="1" x14ac:dyDescent="0.25">
      <c r="A205" s="1723"/>
      <c r="B205" s="764" t="s">
        <v>398</v>
      </c>
      <c r="C205" s="314">
        <f t="shared" si="137"/>
        <v>0</v>
      </c>
      <c r="D205" s="768">
        <f>+F205+H205+J205+L205+N205+P205+R205+T205+V205+X205</f>
        <v>0</v>
      </c>
      <c r="E205" s="371">
        <f t="shared" si="143"/>
        <v>0</v>
      </c>
      <c r="F205" s="908">
        <v>0</v>
      </c>
      <c r="G205" s="909">
        <v>0</v>
      </c>
      <c r="H205" s="908">
        <v>0</v>
      </c>
      <c r="I205" s="909">
        <v>0</v>
      </c>
      <c r="J205" s="908">
        <v>0</v>
      </c>
      <c r="K205" s="909">
        <v>0</v>
      </c>
      <c r="L205" s="908">
        <v>0</v>
      </c>
      <c r="M205" s="909">
        <v>0</v>
      </c>
      <c r="N205" s="908">
        <v>0</v>
      </c>
      <c r="O205" s="909">
        <v>0</v>
      </c>
      <c r="P205" s="908">
        <v>0</v>
      </c>
      <c r="Q205" s="909">
        <v>0</v>
      </c>
      <c r="R205" s="908">
        <v>0</v>
      </c>
      <c r="S205" s="909">
        <v>0</v>
      </c>
      <c r="T205" s="908">
        <v>0</v>
      </c>
      <c r="U205" s="909">
        <v>0</v>
      </c>
      <c r="V205" s="908">
        <v>0</v>
      </c>
      <c r="W205" s="909">
        <v>0</v>
      </c>
      <c r="X205" s="908">
        <v>0</v>
      </c>
      <c r="Y205" s="910">
        <v>0</v>
      </c>
      <c r="Z205" s="911">
        <v>0</v>
      </c>
      <c r="AA205" s="909">
        <v>0</v>
      </c>
      <c r="AB205" s="908">
        <v>0</v>
      </c>
      <c r="AC205" s="909">
        <v>0</v>
      </c>
      <c r="AD205" s="908">
        <v>0</v>
      </c>
      <c r="AE205" s="909">
        <v>0</v>
      </c>
      <c r="AF205" s="908">
        <v>0</v>
      </c>
      <c r="AG205" s="909">
        <v>0</v>
      </c>
      <c r="AH205" s="107" t="str">
        <f>CA205&amp;CB205&amp;CC205&amp;CD205&amp;CE205&amp;CF205&amp;CG205&amp;CH205</f>
        <v/>
      </c>
      <c r="AI205" s="955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48">
        <f t="shared" si="139"/>
        <v>0</v>
      </c>
      <c r="DQ205" s="1048">
        <f t="shared" si="139"/>
        <v>0</v>
      </c>
      <c r="DR205" s="1048">
        <f t="shared" si="140"/>
        <v>0</v>
      </c>
      <c r="DS205" s="1048">
        <f t="shared" si="140"/>
        <v>0</v>
      </c>
      <c r="DT205" s="1048">
        <f t="shared" si="141"/>
        <v>0</v>
      </c>
      <c r="DU205" s="1048">
        <f t="shared" si="141"/>
        <v>0</v>
      </c>
      <c r="DV205" s="1048">
        <f t="shared" si="142"/>
        <v>0</v>
      </c>
      <c r="DW205" s="1048">
        <f t="shared" si="142"/>
        <v>0</v>
      </c>
    </row>
    <row r="206" spans="1:127" ht="15" customHeight="1" x14ac:dyDescent="0.25">
      <c r="A206" s="1724"/>
      <c r="B206" s="1430" t="s">
        <v>94</v>
      </c>
      <c r="C206" s="1408">
        <f>SUM(D206:E206)</f>
        <v>0</v>
      </c>
      <c r="D206" s="1409">
        <f>+F206+H206+J206+L206+N206+P206+R206+T206+V206+X206</f>
        <v>0</v>
      </c>
      <c r="E206" s="1425">
        <f>+G206+I206+K206+M206+O206+Q206+S206+U206+W206+Y206</f>
        <v>0</v>
      </c>
      <c r="F206" s="1409">
        <f>SUM(F204:F205)</f>
        <v>0</v>
      </c>
      <c r="G206" s="1425">
        <f t="shared" ref="G206:AG206" si="144">SUM(G204:G205)</f>
        <v>0</v>
      </c>
      <c r="H206" s="1409">
        <f t="shared" si="144"/>
        <v>0</v>
      </c>
      <c r="I206" s="1425">
        <f t="shared" si="144"/>
        <v>0</v>
      </c>
      <c r="J206" s="1409">
        <f t="shared" si="144"/>
        <v>0</v>
      </c>
      <c r="K206" s="1425">
        <f t="shared" si="144"/>
        <v>0</v>
      </c>
      <c r="L206" s="1409">
        <f t="shared" si="144"/>
        <v>0</v>
      </c>
      <c r="M206" s="1425">
        <f t="shared" si="144"/>
        <v>0</v>
      </c>
      <c r="N206" s="1409">
        <f t="shared" si="144"/>
        <v>0</v>
      </c>
      <c r="O206" s="1425">
        <f t="shared" si="144"/>
        <v>0</v>
      </c>
      <c r="P206" s="1409">
        <f t="shared" si="144"/>
        <v>0</v>
      </c>
      <c r="Q206" s="1425">
        <f t="shared" si="144"/>
        <v>0</v>
      </c>
      <c r="R206" s="1409">
        <f t="shared" si="144"/>
        <v>0</v>
      </c>
      <c r="S206" s="1425">
        <f t="shared" si="144"/>
        <v>0</v>
      </c>
      <c r="T206" s="1409">
        <f t="shared" si="144"/>
        <v>0</v>
      </c>
      <c r="U206" s="1425">
        <f t="shared" si="144"/>
        <v>0</v>
      </c>
      <c r="V206" s="1409">
        <f t="shared" si="144"/>
        <v>0</v>
      </c>
      <c r="W206" s="1425">
        <f t="shared" si="144"/>
        <v>0</v>
      </c>
      <c r="X206" s="1409">
        <f>SUM(X204:X205)</f>
        <v>0</v>
      </c>
      <c r="Y206" s="1412">
        <f t="shared" si="144"/>
        <v>0</v>
      </c>
      <c r="Z206" s="335">
        <f t="shared" si="144"/>
        <v>0</v>
      </c>
      <c r="AA206" s="1425">
        <f t="shared" si="144"/>
        <v>0</v>
      </c>
      <c r="AB206" s="1409">
        <f t="shared" si="144"/>
        <v>0</v>
      </c>
      <c r="AC206" s="1425">
        <f t="shared" si="144"/>
        <v>0</v>
      </c>
      <c r="AD206" s="1409">
        <f t="shared" si="144"/>
        <v>0</v>
      </c>
      <c r="AE206" s="1425">
        <f>SUM(AE204:AE205)</f>
        <v>0</v>
      </c>
      <c r="AF206" s="1409">
        <f t="shared" si="144"/>
        <v>0</v>
      </c>
      <c r="AG206" s="1425">
        <f t="shared" si="144"/>
        <v>0</v>
      </c>
      <c r="AH206" s="107"/>
      <c r="AI206" s="956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25" t="s">
        <v>399</v>
      </c>
      <c r="B207" s="765">
        <v>0</v>
      </c>
      <c r="C207" s="321">
        <f t="shared" ref="C207:C213" si="145">SUM(D207:E207)</f>
        <v>0</v>
      </c>
      <c r="D207" s="363">
        <f t="shared" ref="D207:D214" si="146">+F207+H207+J207+L207+N207+P207+R207+T207+V207+X207</f>
        <v>0</v>
      </c>
      <c r="E207" s="364">
        <f t="shared" ref="E207:E214" si="147">+G207+I207+K207+M207+O207+Q207+S207+U207+W207+Y207</f>
        <v>0</v>
      </c>
      <c r="F207" s="904">
        <v>0</v>
      </c>
      <c r="G207" s="905">
        <v>0</v>
      </c>
      <c r="H207" s="904">
        <v>0</v>
      </c>
      <c r="I207" s="905">
        <v>0</v>
      </c>
      <c r="J207" s="904">
        <v>0</v>
      </c>
      <c r="K207" s="905">
        <v>0</v>
      </c>
      <c r="L207" s="904">
        <v>0</v>
      </c>
      <c r="M207" s="905">
        <v>0</v>
      </c>
      <c r="N207" s="904">
        <v>0</v>
      </c>
      <c r="O207" s="905">
        <v>0</v>
      </c>
      <c r="P207" s="904">
        <v>0</v>
      </c>
      <c r="Q207" s="905">
        <v>0</v>
      </c>
      <c r="R207" s="904">
        <v>0</v>
      </c>
      <c r="S207" s="905">
        <v>0</v>
      </c>
      <c r="T207" s="904">
        <v>0</v>
      </c>
      <c r="U207" s="905">
        <v>0</v>
      </c>
      <c r="V207" s="904">
        <v>0</v>
      </c>
      <c r="W207" s="905">
        <v>0</v>
      </c>
      <c r="X207" s="904">
        <v>0</v>
      </c>
      <c r="Y207" s="906">
        <v>0</v>
      </c>
      <c r="Z207" s="907">
        <v>0</v>
      </c>
      <c r="AA207" s="905">
        <v>0</v>
      </c>
      <c r="AB207" s="904">
        <v>0</v>
      </c>
      <c r="AC207" s="905">
        <v>0</v>
      </c>
      <c r="AD207" s="904">
        <v>0</v>
      </c>
      <c r="AE207" s="905">
        <v>0</v>
      </c>
      <c r="AF207" s="904">
        <v>0</v>
      </c>
      <c r="AG207" s="905">
        <v>0</v>
      </c>
      <c r="AH207" s="107" t="str">
        <f t="shared" ref="AH207:AH212" si="148">CA207&amp;CB207&amp;CC207&amp;CD207&amp;CE207&amp;CF207&amp;CG207&amp;CH207</f>
        <v/>
      </c>
      <c r="AI207" s="955"/>
      <c r="CA207" s="191" t="str">
        <f t="shared" ref="CA207:CA212" si="149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0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1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2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3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54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55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56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48">
        <f t="shared" ref="DP207:DQ212" si="157">IF(AND(D207&gt;0,Z207=""),1,IF(Z207&gt;D207,1,0))</f>
        <v>0</v>
      </c>
      <c r="DQ207" s="1048">
        <f t="shared" si="157"/>
        <v>0</v>
      </c>
      <c r="DR207" s="1048">
        <f t="shared" ref="DR207:DS212" si="158">IF(AND(D207&gt;0,AB207=""),1,IF(AB207&gt;D207,1,0))</f>
        <v>0</v>
      </c>
      <c r="DS207" s="1048">
        <f t="shared" si="158"/>
        <v>0</v>
      </c>
      <c r="DT207" s="1048">
        <f t="shared" ref="DT207:DU212" si="159">IF(AND(D207&gt;0,AD207=""),1,IF(AD207&gt;D207,1,0))</f>
        <v>0</v>
      </c>
      <c r="DU207" s="1048">
        <f t="shared" si="159"/>
        <v>0</v>
      </c>
      <c r="DV207" s="1048">
        <f t="shared" ref="DV207:DW212" si="160">IF(AND(D207&gt;0,AF207=""),1,IF(AF207&gt;D207,1,0))</f>
        <v>0</v>
      </c>
      <c r="DW207" s="1048">
        <f t="shared" si="160"/>
        <v>0</v>
      </c>
    </row>
    <row r="208" spans="1:127" ht="15" customHeight="1" x14ac:dyDescent="0.25">
      <c r="A208" s="1723"/>
      <c r="B208" s="766" t="s">
        <v>400</v>
      </c>
      <c r="C208" s="353">
        <f t="shared" si="145"/>
        <v>0</v>
      </c>
      <c r="D208" s="365">
        <f t="shared" si="146"/>
        <v>0</v>
      </c>
      <c r="E208" s="366">
        <f t="shared" si="147"/>
        <v>0</v>
      </c>
      <c r="F208" s="912">
        <v>0</v>
      </c>
      <c r="G208" s="913">
        <v>0</v>
      </c>
      <c r="H208" s="912">
        <v>0</v>
      </c>
      <c r="I208" s="913">
        <v>0</v>
      </c>
      <c r="J208" s="912">
        <v>0</v>
      </c>
      <c r="K208" s="913">
        <v>0</v>
      </c>
      <c r="L208" s="912">
        <v>0</v>
      </c>
      <c r="M208" s="913">
        <v>0</v>
      </c>
      <c r="N208" s="912">
        <v>0</v>
      </c>
      <c r="O208" s="913">
        <v>0</v>
      </c>
      <c r="P208" s="912">
        <v>0</v>
      </c>
      <c r="Q208" s="913">
        <v>0</v>
      </c>
      <c r="R208" s="912">
        <v>0</v>
      </c>
      <c r="S208" s="913">
        <v>0</v>
      </c>
      <c r="T208" s="912">
        <v>0</v>
      </c>
      <c r="U208" s="913">
        <v>0</v>
      </c>
      <c r="V208" s="912">
        <v>0</v>
      </c>
      <c r="W208" s="913">
        <v>0</v>
      </c>
      <c r="X208" s="912">
        <v>0</v>
      </c>
      <c r="Y208" s="914">
        <v>0</v>
      </c>
      <c r="Z208" s="915">
        <v>0</v>
      </c>
      <c r="AA208" s="913">
        <v>0</v>
      </c>
      <c r="AB208" s="912">
        <v>0</v>
      </c>
      <c r="AC208" s="913">
        <v>0</v>
      </c>
      <c r="AD208" s="912">
        <v>0</v>
      </c>
      <c r="AE208" s="913">
        <v>0</v>
      </c>
      <c r="AF208" s="912">
        <v>0</v>
      </c>
      <c r="AG208" s="913">
        <v>0</v>
      </c>
      <c r="AH208" s="107" t="str">
        <f t="shared" si="148"/>
        <v/>
      </c>
      <c r="AI208" s="955"/>
      <c r="CA208" s="191" t="str">
        <f t="shared" si="149"/>
        <v/>
      </c>
      <c r="CB208" s="191" t="str">
        <f t="shared" si="150"/>
        <v/>
      </c>
      <c r="CC208" s="191" t="str">
        <f t="shared" si="151"/>
        <v/>
      </c>
      <c r="CD208" s="191" t="str">
        <f t="shared" si="152"/>
        <v/>
      </c>
      <c r="CE208" s="191" t="str">
        <f t="shared" si="153"/>
        <v/>
      </c>
      <c r="CF208" s="191" t="str">
        <f t="shared" si="154"/>
        <v/>
      </c>
      <c r="CG208" s="191" t="str">
        <f t="shared" si="155"/>
        <v/>
      </c>
      <c r="CH208" s="191" t="str">
        <f t="shared" si="156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48">
        <f t="shared" si="157"/>
        <v>0</v>
      </c>
      <c r="DQ208" s="1048">
        <f t="shared" si="157"/>
        <v>0</v>
      </c>
      <c r="DR208" s="1048">
        <f t="shared" si="158"/>
        <v>0</v>
      </c>
      <c r="DS208" s="1048">
        <f t="shared" si="158"/>
        <v>0</v>
      </c>
      <c r="DT208" s="1048">
        <f t="shared" si="159"/>
        <v>0</v>
      </c>
      <c r="DU208" s="1048">
        <f t="shared" si="159"/>
        <v>0</v>
      </c>
      <c r="DV208" s="1048">
        <f t="shared" si="160"/>
        <v>0</v>
      </c>
      <c r="DW208" s="1048">
        <f t="shared" si="160"/>
        <v>0</v>
      </c>
    </row>
    <row r="209" spans="1:127" ht="15" customHeight="1" x14ac:dyDescent="0.25">
      <c r="A209" s="1723"/>
      <c r="B209" s="766" t="s">
        <v>401</v>
      </c>
      <c r="C209" s="353">
        <f t="shared" si="145"/>
        <v>0</v>
      </c>
      <c r="D209" s="365">
        <f t="shared" si="146"/>
        <v>0</v>
      </c>
      <c r="E209" s="366">
        <f t="shared" si="147"/>
        <v>0</v>
      </c>
      <c r="F209" s="912">
        <v>0</v>
      </c>
      <c r="G209" s="913">
        <v>0</v>
      </c>
      <c r="H209" s="912">
        <v>0</v>
      </c>
      <c r="I209" s="913">
        <v>0</v>
      </c>
      <c r="J209" s="912">
        <v>0</v>
      </c>
      <c r="K209" s="913">
        <v>0</v>
      </c>
      <c r="L209" s="912">
        <v>0</v>
      </c>
      <c r="M209" s="913">
        <v>0</v>
      </c>
      <c r="N209" s="912">
        <v>0</v>
      </c>
      <c r="O209" s="913">
        <v>0</v>
      </c>
      <c r="P209" s="912">
        <v>0</v>
      </c>
      <c r="Q209" s="913">
        <v>0</v>
      </c>
      <c r="R209" s="912">
        <v>0</v>
      </c>
      <c r="S209" s="913">
        <v>0</v>
      </c>
      <c r="T209" s="912">
        <v>0</v>
      </c>
      <c r="U209" s="913">
        <v>0</v>
      </c>
      <c r="V209" s="912">
        <v>0</v>
      </c>
      <c r="W209" s="913">
        <v>0</v>
      </c>
      <c r="X209" s="912">
        <v>0</v>
      </c>
      <c r="Y209" s="914">
        <v>0</v>
      </c>
      <c r="Z209" s="915">
        <v>0</v>
      </c>
      <c r="AA209" s="913">
        <v>0</v>
      </c>
      <c r="AB209" s="912">
        <v>0</v>
      </c>
      <c r="AC209" s="913">
        <v>0</v>
      </c>
      <c r="AD209" s="912">
        <v>0</v>
      </c>
      <c r="AE209" s="913">
        <v>0</v>
      </c>
      <c r="AF209" s="912">
        <v>0</v>
      </c>
      <c r="AG209" s="913">
        <v>0</v>
      </c>
      <c r="AH209" s="107" t="str">
        <f t="shared" si="148"/>
        <v/>
      </c>
      <c r="AI209" s="955"/>
      <c r="CA209" s="191" t="str">
        <f t="shared" si="149"/>
        <v/>
      </c>
      <c r="CB209" s="191" t="str">
        <f t="shared" si="150"/>
        <v/>
      </c>
      <c r="CC209" s="191" t="str">
        <f t="shared" si="151"/>
        <v/>
      </c>
      <c r="CD209" s="191" t="str">
        <f t="shared" si="152"/>
        <v/>
      </c>
      <c r="CE209" s="191" t="str">
        <f t="shared" si="153"/>
        <v/>
      </c>
      <c r="CF209" s="191" t="str">
        <f t="shared" si="154"/>
        <v/>
      </c>
      <c r="CG209" s="191" t="str">
        <f t="shared" si="155"/>
        <v/>
      </c>
      <c r="CH209" s="191" t="str">
        <f t="shared" si="156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48">
        <f t="shared" si="157"/>
        <v>0</v>
      </c>
      <c r="DQ209" s="1048">
        <f t="shared" si="157"/>
        <v>0</v>
      </c>
      <c r="DR209" s="1048">
        <f t="shared" si="158"/>
        <v>0</v>
      </c>
      <c r="DS209" s="1048">
        <f t="shared" si="158"/>
        <v>0</v>
      </c>
      <c r="DT209" s="1048">
        <f t="shared" si="159"/>
        <v>0</v>
      </c>
      <c r="DU209" s="1048">
        <f t="shared" si="159"/>
        <v>0</v>
      </c>
      <c r="DV209" s="1048">
        <f t="shared" si="160"/>
        <v>0</v>
      </c>
      <c r="DW209" s="1048">
        <f t="shared" si="160"/>
        <v>0</v>
      </c>
    </row>
    <row r="210" spans="1:127" ht="15" customHeight="1" x14ac:dyDescent="0.25">
      <c r="A210" s="1723"/>
      <c r="B210" s="766" t="s">
        <v>402</v>
      </c>
      <c r="C210" s="353">
        <f t="shared" si="145"/>
        <v>0</v>
      </c>
      <c r="D210" s="365">
        <f t="shared" si="146"/>
        <v>0</v>
      </c>
      <c r="E210" s="366">
        <f t="shared" si="147"/>
        <v>0</v>
      </c>
      <c r="F210" s="912">
        <v>0</v>
      </c>
      <c r="G210" s="913">
        <v>0</v>
      </c>
      <c r="H210" s="912">
        <v>0</v>
      </c>
      <c r="I210" s="913">
        <v>0</v>
      </c>
      <c r="J210" s="912">
        <v>0</v>
      </c>
      <c r="K210" s="913">
        <v>0</v>
      </c>
      <c r="L210" s="912">
        <v>0</v>
      </c>
      <c r="M210" s="913">
        <v>0</v>
      </c>
      <c r="N210" s="912">
        <v>0</v>
      </c>
      <c r="O210" s="913">
        <v>0</v>
      </c>
      <c r="P210" s="912">
        <v>0</v>
      </c>
      <c r="Q210" s="913">
        <v>0</v>
      </c>
      <c r="R210" s="912">
        <v>0</v>
      </c>
      <c r="S210" s="913">
        <v>0</v>
      </c>
      <c r="T210" s="912">
        <v>0</v>
      </c>
      <c r="U210" s="913">
        <v>0</v>
      </c>
      <c r="V210" s="912">
        <v>0</v>
      </c>
      <c r="W210" s="913">
        <v>0</v>
      </c>
      <c r="X210" s="912">
        <v>0</v>
      </c>
      <c r="Y210" s="914">
        <v>0</v>
      </c>
      <c r="Z210" s="915">
        <v>0</v>
      </c>
      <c r="AA210" s="913">
        <v>0</v>
      </c>
      <c r="AB210" s="912">
        <v>0</v>
      </c>
      <c r="AC210" s="913">
        <v>0</v>
      </c>
      <c r="AD210" s="912">
        <v>0</v>
      </c>
      <c r="AE210" s="913">
        <v>0</v>
      </c>
      <c r="AF210" s="912">
        <v>0</v>
      </c>
      <c r="AG210" s="913">
        <v>0</v>
      </c>
      <c r="AH210" s="107" t="str">
        <f t="shared" si="148"/>
        <v/>
      </c>
      <c r="AI210" s="955"/>
      <c r="CA210" s="191" t="str">
        <f t="shared" si="149"/>
        <v/>
      </c>
      <c r="CB210" s="191" t="str">
        <f t="shared" si="150"/>
        <v/>
      </c>
      <c r="CC210" s="191" t="str">
        <f t="shared" si="151"/>
        <v/>
      </c>
      <c r="CD210" s="191" t="str">
        <f t="shared" si="152"/>
        <v/>
      </c>
      <c r="CE210" s="191" t="str">
        <f t="shared" si="153"/>
        <v/>
      </c>
      <c r="CF210" s="191" t="str">
        <f t="shared" si="154"/>
        <v/>
      </c>
      <c r="CG210" s="191" t="str">
        <f t="shared" si="155"/>
        <v/>
      </c>
      <c r="CH210" s="191" t="str">
        <f t="shared" si="156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48">
        <f t="shared" si="157"/>
        <v>0</v>
      </c>
      <c r="DQ210" s="1048">
        <f t="shared" si="157"/>
        <v>0</v>
      </c>
      <c r="DR210" s="1048">
        <f t="shared" si="158"/>
        <v>0</v>
      </c>
      <c r="DS210" s="1048">
        <f t="shared" si="158"/>
        <v>0</v>
      </c>
      <c r="DT210" s="1048">
        <f t="shared" si="159"/>
        <v>0</v>
      </c>
      <c r="DU210" s="1048">
        <f t="shared" si="159"/>
        <v>0</v>
      </c>
      <c r="DV210" s="1048">
        <f t="shared" si="160"/>
        <v>0</v>
      </c>
      <c r="DW210" s="1048">
        <f t="shared" si="160"/>
        <v>0</v>
      </c>
    </row>
    <row r="211" spans="1:127" ht="15" customHeight="1" x14ac:dyDescent="0.25">
      <c r="A211" s="1723"/>
      <c r="B211" s="767" t="s">
        <v>403</v>
      </c>
      <c r="C211" s="378">
        <f t="shared" si="145"/>
        <v>0</v>
      </c>
      <c r="D211" s="748">
        <f t="shared" si="146"/>
        <v>0</v>
      </c>
      <c r="E211" s="705">
        <f t="shared" si="147"/>
        <v>0</v>
      </c>
      <c r="F211" s="916">
        <v>0</v>
      </c>
      <c r="G211" s="917">
        <v>0</v>
      </c>
      <c r="H211" s="916">
        <v>0</v>
      </c>
      <c r="I211" s="917">
        <v>0</v>
      </c>
      <c r="J211" s="916">
        <v>0</v>
      </c>
      <c r="K211" s="917">
        <v>0</v>
      </c>
      <c r="L211" s="916">
        <v>0</v>
      </c>
      <c r="M211" s="917">
        <v>0</v>
      </c>
      <c r="N211" s="916">
        <v>0</v>
      </c>
      <c r="O211" s="917">
        <v>0</v>
      </c>
      <c r="P211" s="916">
        <v>0</v>
      </c>
      <c r="Q211" s="917">
        <v>0</v>
      </c>
      <c r="R211" s="916">
        <v>0</v>
      </c>
      <c r="S211" s="917">
        <v>0</v>
      </c>
      <c r="T211" s="916">
        <v>0</v>
      </c>
      <c r="U211" s="917">
        <v>0</v>
      </c>
      <c r="V211" s="916">
        <v>0</v>
      </c>
      <c r="W211" s="917">
        <v>0</v>
      </c>
      <c r="X211" s="916">
        <v>0</v>
      </c>
      <c r="Y211" s="918">
        <v>0</v>
      </c>
      <c r="Z211" s="919">
        <v>0</v>
      </c>
      <c r="AA211" s="917">
        <v>0</v>
      </c>
      <c r="AB211" s="916">
        <v>0</v>
      </c>
      <c r="AC211" s="917">
        <v>0</v>
      </c>
      <c r="AD211" s="916">
        <v>0</v>
      </c>
      <c r="AE211" s="917">
        <v>0</v>
      </c>
      <c r="AF211" s="916">
        <v>0</v>
      </c>
      <c r="AG211" s="917">
        <v>0</v>
      </c>
      <c r="AH211" s="107" t="str">
        <f t="shared" si="148"/>
        <v/>
      </c>
      <c r="AI211" s="955"/>
      <c r="CA211" s="191" t="str">
        <f t="shared" si="149"/>
        <v/>
      </c>
      <c r="CB211" s="191" t="str">
        <f t="shared" si="150"/>
        <v/>
      </c>
      <c r="CC211" s="191" t="str">
        <f t="shared" si="151"/>
        <v/>
      </c>
      <c r="CD211" s="191" t="str">
        <f t="shared" si="152"/>
        <v/>
      </c>
      <c r="CE211" s="191" t="str">
        <f t="shared" si="153"/>
        <v/>
      </c>
      <c r="CF211" s="191" t="str">
        <f t="shared" si="154"/>
        <v/>
      </c>
      <c r="CG211" s="191" t="str">
        <f t="shared" si="155"/>
        <v/>
      </c>
      <c r="CH211" s="191" t="str">
        <f t="shared" si="156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48">
        <f t="shared" si="157"/>
        <v>0</v>
      </c>
      <c r="DQ211" s="1048">
        <f t="shared" si="157"/>
        <v>0</v>
      </c>
      <c r="DR211" s="1048">
        <f t="shared" si="158"/>
        <v>0</v>
      </c>
      <c r="DS211" s="1048">
        <f t="shared" si="158"/>
        <v>0</v>
      </c>
      <c r="DT211" s="1048">
        <f t="shared" si="159"/>
        <v>0</v>
      </c>
      <c r="DU211" s="1048">
        <f t="shared" si="159"/>
        <v>0</v>
      </c>
      <c r="DV211" s="1048">
        <f t="shared" si="160"/>
        <v>0</v>
      </c>
      <c r="DW211" s="1048">
        <f t="shared" si="160"/>
        <v>0</v>
      </c>
    </row>
    <row r="212" spans="1:127" ht="15" customHeight="1" x14ac:dyDescent="0.25">
      <c r="A212" s="1723"/>
      <c r="B212" s="1449" t="s">
        <v>404</v>
      </c>
      <c r="C212" s="1408">
        <f t="shared" si="145"/>
        <v>0</v>
      </c>
      <c r="D212" s="1409">
        <f t="shared" si="146"/>
        <v>0</v>
      </c>
      <c r="E212" s="1425">
        <f t="shared" si="147"/>
        <v>0</v>
      </c>
      <c r="F212" s="1450">
        <v>0</v>
      </c>
      <c r="G212" s="1451">
        <v>0</v>
      </c>
      <c r="H212" s="1450">
        <v>0</v>
      </c>
      <c r="I212" s="1451">
        <v>0</v>
      </c>
      <c r="J212" s="1450">
        <v>0</v>
      </c>
      <c r="K212" s="1451">
        <v>0</v>
      </c>
      <c r="L212" s="1450">
        <v>0</v>
      </c>
      <c r="M212" s="1451">
        <v>0</v>
      </c>
      <c r="N212" s="1450">
        <v>0</v>
      </c>
      <c r="O212" s="1451">
        <v>0</v>
      </c>
      <c r="P212" s="1450">
        <v>0</v>
      </c>
      <c r="Q212" s="1451">
        <v>0</v>
      </c>
      <c r="R212" s="1450">
        <v>0</v>
      </c>
      <c r="S212" s="1451">
        <v>0</v>
      </c>
      <c r="T212" s="1450">
        <v>0</v>
      </c>
      <c r="U212" s="1451">
        <v>0</v>
      </c>
      <c r="V212" s="1450">
        <v>0</v>
      </c>
      <c r="W212" s="1451">
        <v>0</v>
      </c>
      <c r="X212" s="1450">
        <v>0</v>
      </c>
      <c r="Y212" s="1452">
        <v>0</v>
      </c>
      <c r="Z212" s="920">
        <v>0</v>
      </c>
      <c r="AA212" s="1451">
        <v>0</v>
      </c>
      <c r="AB212" s="1450">
        <v>0</v>
      </c>
      <c r="AC212" s="1451">
        <v>0</v>
      </c>
      <c r="AD212" s="1450">
        <v>0</v>
      </c>
      <c r="AE212" s="1451">
        <v>0</v>
      </c>
      <c r="AF212" s="1450">
        <v>0</v>
      </c>
      <c r="AG212" s="1451">
        <v>0</v>
      </c>
      <c r="AH212" s="107" t="str">
        <f t="shared" si="148"/>
        <v/>
      </c>
      <c r="AI212" s="955"/>
      <c r="CA212" s="191" t="str">
        <f t="shared" si="149"/>
        <v/>
      </c>
      <c r="CB212" s="191" t="str">
        <f t="shared" si="150"/>
        <v/>
      </c>
      <c r="CC212" s="191" t="str">
        <f t="shared" si="151"/>
        <v/>
      </c>
      <c r="CD212" s="191" t="str">
        <f t="shared" si="152"/>
        <v/>
      </c>
      <c r="CE212" s="191" t="str">
        <f t="shared" si="153"/>
        <v/>
      </c>
      <c r="CF212" s="191" t="str">
        <f t="shared" si="154"/>
        <v/>
      </c>
      <c r="CG212" s="191" t="str">
        <f t="shared" si="155"/>
        <v/>
      </c>
      <c r="CH212" s="191" t="str">
        <f t="shared" si="156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48">
        <f t="shared" si="157"/>
        <v>0</v>
      </c>
      <c r="DQ212" s="1048">
        <f t="shared" si="157"/>
        <v>0</v>
      </c>
      <c r="DR212" s="1048">
        <f t="shared" si="158"/>
        <v>0</v>
      </c>
      <c r="DS212" s="1048">
        <f t="shared" si="158"/>
        <v>0</v>
      </c>
      <c r="DT212" s="1048">
        <f t="shared" si="159"/>
        <v>0</v>
      </c>
      <c r="DU212" s="1048">
        <f t="shared" si="159"/>
        <v>0</v>
      </c>
      <c r="DV212" s="1048">
        <f t="shared" si="160"/>
        <v>0</v>
      </c>
      <c r="DW212" s="1048">
        <f t="shared" si="160"/>
        <v>0</v>
      </c>
    </row>
    <row r="213" spans="1:127" ht="15" customHeight="1" x14ac:dyDescent="0.25">
      <c r="A213" s="1723"/>
      <c r="B213" s="1453" t="s">
        <v>94</v>
      </c>
      <c r="C213" s="1408">
        <f t="shared" si="145"/>
        <v>0</v>
      </c>
      <c r="D213" s="1409">
        <f t="shared" si="146"/>
        <v>0</v>
      </c>
      <c r="E213" s="1425">
        <f t="shared" si="147"/>
        <v>0</v>
      </c>
      <c r="F213" s="1409">
        <f>SUM(F207:F212)</f>
        <v>0</v>
      </c>
      <c r="G213" s="1425">
        <f t="shared" ref="G213:AG213" si="161">SUM(G207:G212)</f>
        <v>0</v>
      </c>
      <c r="H213" s="1454">
        <f t="shared" si="161"/>
        <v>0</v>
      </c>
      <c r="I213" s="1455">
        <f t="shared" si="161"/>
        <v>0</v>
      </c>
      <c r="J213" s="1454">
        <f t="shared" si="161"/>
        <v>0</v>
      </c>
      <c r="K213" s="1455">
        <f t="shared" si="161"/>
        <v>0</v>
      </c>
      <c r="L213" s="1454">
        <f t="shared" si="161"/>
        <v>0</v>
      </c>
      <c r="M213" s="1455">
        <f t="shared" si="161"/>
        <v>0</v>
      </c>
      <c r="N213" s="1454">
        <f t="shared" si="161"/>
        <v>0</v>
      </c>
      <c r="O213" s="1455">
        <f t="shared" si="161"/>
        <v>0</v>
      </c>
      <c r="P213" s="1454">
        <f t="shared" si="161"/>
        <v>0</v>
      </c>
      <c r="Q213" s="1455">
        <f t="shared" si="161"/>
        <v>0</v>
      </c>
      <c r="R213" s="1454">
        <f t="shared" si="161"/>
        <v>0</v>
      </c>
      <c r="S213" s="1455">
        <f t="shared" si="161"/>
        <v>0</v>
      </c>
      <c r="T213" s="1454">
        <f t="shared" si="161"/>
        <v>0</v>
      </c>
      <c r="U213" s="1455">
        <f t="shared" si="161"/>
        <v>0</v>
      </c>
      <c r="V213" s="1454">
        <f t="shared" si="161"/>
        <v>0</v>
      </c>
      <c r="W213" s="1455">
        <f t="shared" si="161"/>
        <v>0</v>
      </c>
      <c r="X213" s="1454">
        <f t="shared" si="161"/>
        <v>0</v>
      </c>
      <c r="Y213" s="1456">
        <f t="shared" si="161"/>
        <v>0</v>
      </c>
      <c r="Z213" s="1457">
        <f t="shared" si="161"/>
        <v>0</v>
      </c>
      <c r="AA213" s="1455">
        <f t="shared" si="161"/>
        <v>0</v>
      </c>
      <c r="AB213" s="1454">
        <f t="shared" si="161"/>
        <v>0</v>
      </c>
      <c r="AC213" s="1455">
        <f t="shared" si="161"/>
        <v>0</v>
      </c>
      <c r="AD213" s="1454">
        <f t="shared" si="161"/>
        <v>0</v>
      </c>
      <c r="AE213" s="1455">
        <f t="shared" si="161"/>
        <v>0</v>
      </c>
      <c r="AF213" s="1454">
        <f t="shared" si="161"/>
        <v>0</v>
      </c>
      <c r="AG213" s="1458">
        <f t="shared" si="161"/>
        <v>0</v>
      </c>
      <c r="AH213" s="107"/>
      <c r="AI213" s="956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726" t="s">
        <v>405</v>
      </c>
      <c r="B214" s="1727"/>
      <c r="C214" s="1408">
        <f>SUM(D214:E214)</f>
        <v>0</v>
      </c>
      <c r="D214" s="1409">
        <f t="shared" si="146"/>
        <v>0</v>
      </c>
      <c r="E214" s="1425">
        <f t="shared" si="147"/>
        <v>0</v>
      </c>
      <c r="F214" s="1098"/>
      <c r="G214" s="1099"/>
      <c r="H214" s="1450">
        <v>0</v>
      </c>
      <c r="I214" s="1451">
        <v>0</v>
      </c>
      <c r="J214" s="1450">
        <v>0</v>
      </c>
      <c r="K214" s="1451">
        <v>0</v>
      </c>
      <c r="L214" s="1450">
        <v>0</v>
      </c>
      <c r="M214" s="1451">
        <v>0</v>
      </c>
      <c r="N214" s="1450">
        <v>0</v>
      </c>
      <c r="O214" s="1451">
        <v>0</v>
      </c>
      <c r="P214" s="1450">
        <v>0</v>
      </c>
      <c r="Q214" s="1451">
        <v>0</v>
      </c>
      <c r="R214" s="1450">
        <v>0</v>
      </c>
      <c r="S214" s="1451">
        <v>0</v>
      </c>
      <c r="T214" s="1450">
        <v>0</v>
      </c>
      <c r="U214" s="1451">
        <v>0</v>
      </c>
      <c r="V214" s="1450">
        <v>0</v>
      </c>
      <c r="W214" s="1451">
        <v>0</v>
      </c>
      <c r="X214" s="1450">
        <v>0</v>
      </c>
      <c r="Y214" s="1452">
        <v>0</v>
      </c>
      <c r="Z214" s="920">
        <v>0</v>
      </c>
      <c r="AA214" s="1451">
        <v>0</v>
      </c>
      <c r="AB214" s="1450">
        <v>0</v>
      </c>
      <c r="AC214" s="1451">
        <v>0</v>
      </c>
      <c r="AD214" s="1450">
        <v>0</v>
      </c>
      <c r="AE214" s="1451">
        <v>0</v>
      </c>
      <c r="AF214" s="1450">
        <v>0</v>
      </c>
      <c r="AG214" s="1451">
        <v>0</v>
      </c>
      <c r="AH214" s="107" t="str">
        <f>CA214&amp;CB214&amp;CC214&amp;CD214&amp;CE214&amp;CF214&amp;CG214&amp;CH214</f>
        <v/>
      </c>
      <c r="AI214" s="955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48">
        <f>IF(AND(D214&gt;0,Z214=""),1,IF(Z214&gt;D214,1,0))</f>
        <v>0</v>
      </c>
      <c r="DQ214" s="1048">
        <f>IF(AND(E214&gt;0,AA214=""),1,IF(AA214&gt;E214,1,0))</f>
        <v>0</v>
      </c>
      <c r="DR214" s="1048">
        <f>IF(AND(D214&gt;0,AB214=""),1,IF(AB214&gt;D214,1,0))</f>
        <v>0</v>
      </c>
      <c r="DS214" s="1048">
        <f>IF(AND(E214&gt;0,AC214=""),1,IF(AC214&gt;E214,1,0))</f>
        <v>0</v>
      </c>
      <c r="DT214" s="1048">
        <f>IF(AND(D214&gt;0,AD214=""),1,IF(AD214&gt;D214,1,0))</f>
        <v>0</v>
      </c>
      <c r="DU214" s="1048">
        <f>IF(AND(E214&gt;0,AE214=""),1,IF(AE214&gt;E214,1,0))</f>
        <v>0</v>
      </c>
      <c r="DV214" s="1048">
        <f>IF(AND(D214&gt;0,AF214=""),1,IF(AF214&gt;D214,1,0))</f>
        <v>0</v>
      </c>
      <c r="DW214" s="1048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59">
        <f>SUM(C12:C40,C45:C48,C50:C51,C53,C54:C55,C57:C58,C60:C63,C65:C70,C72,C74,C78:C105,C109:C111,C116:C117,C121:C125,C131:C134,C139:C140,C146:C190,C196:C198,C203,C206,C213,C214)</f>
        <v>59</v>
      </c>
      <c r="B220" s="195" t="s">
        <v>211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59">
        <f>SUM(DP$12:EU214)</f>
        <v>0</v>
      </c>
      <c r="B221" s="195" t="s">
        <v>212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Z5QMIDjN6aRGVk4/82N5w6Ugz8sZCQNK9qLC0q+wEyqdNNg7XHQ4kfsYGFe+Emik5hdEJufmJsOVRIoobRj0sw==" saltValue="5lQgCC0ZeCJoqzE1dwZtXw==" spinCount="100000" sheet="1" objects="1" scenarios="1"/>
  <dataConsolidate/>
  <mergeCells count="221"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Y95"/>
  <sheetViews>
    <sheetView showGridLines="0" topLeftCell="A58" zoomScaleNormal="100" workbookViewId="0">
      <selection activeCell="D23" sqref="D23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7" customWidth="1"/>
    <col min="68" max="68" width="11" style="172" customWidth="1"/>
    <col min="69" max="69" width="11" style="107" customWidth="1"/>
    <col min="70" max="76" width="11.42578125" style="107" customWidth="1"/>
    <col min="77" max="78" width="11.42578125" style="107" hidden="1" customWidth="1"/>
    <col min="79" max="93" width="11" style="107" hidden="1" customWidth="1"/>
    <col min="94" max="103" width="11.42578125" style="107" hidden="1" customWidth="1"/>
    <col min="104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JUNIO   ( 06 )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12"/>
      <c r="G6" s="1112"/>
      <c r="H6" s="1112"/>
      <c r="I6" s="1112"/>
      <c r="J6" s="1112"/>
      <c r="K6" s="1112"/>
      <c r="AZ6" s="176"/>
      <c r="BP6" s="176"/>
    </row>
    <row r="7" spans="1:95" ht="21.75" customHeight="1" x14ac:dyDescent="0.25">
      <c r="A7" s="1851" t="s">
        <v>406</v>
      </c>
      <c r="B7" s="1851"/>
      <c r="C7" s="1851"/>
      <c r="D7" s="1851"/>
      <c r="E7" s="1851"/>
      <c r="F7" s="1851"/>
      <c r="G7" s="1851"/>
      <c r="H7" s="1851"/>
      <c r="I7" s="1851"/>
      <c r="J7" s="1851"/>
      <c r="K7" s="1851"/>
      <c r="L7" s="1851"/>
      <c r="M7" s="1851"/>
      <c r="N7" s="1851"/>
      <c r="O7" s="1851"/>
      <c r="P7" s="1851"/>
      <c r="Q7" s="1851"/>
      <c r="R7" s="1851"/>
      <c r="S7" s="1851"/>
      <c r="T7" s="1851"/>
      <c r="U7" s="1112"/>
      <c r="V7" s="1112"/>
      <c r="W7" s="1112"/>
      <c r="X7" s="1112"/>
      <c r="Y7" s="1112"/>
    </row>
    <row r="8" spans="1:95" ht="17.100000000000001" customHeight="1" x14ac:dyDescent="0.25">
      <c r="A8" s="1332" t="s">
        <v>407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894" t="s">
        <v>408</v>
      </c>
      <c r="B9" s="1894"/>
      <c r="C9" s="1717" t="s">
        <v>54</v>
      </c>
      <c r="D9" s="1718"/>
      <c r="E9" s="1719"/>
      <c r="F9" s="1882" t="s">
        <v>382</v>
      </c>
      <c r="G9" s="1883"/>
      <c r="H9" s="1883"/>
      <c r="I9" s="1883"/>
      <c r="J9" s="1883"/>
      <c r="K9" s="1883"/>
      <c r="L9" s="1883"/>
      <c r="M9" s="1883"/>
      <c r="N9" s="1883"/>
      <c r="O9" s="1883"/>
      <c r="P9" s="1883"/>
      <c r="Q9" s="1883"/>
      <c r="R9" s="1883"/>
      <c r="S9" s="1883"/>
      <c r="T9" s="1883"/>
      <c r="U9" s="1883"/>
      <c r="V9" s="1883"/>
      <c r="W9" s="1883"/>
      <c r="X9" s="1883"/>
      <c r="Y9" s="1883"/>
      <c r="Z9" s="1883"/>
      <c r="AA9" s="1883"/>
      <c r="AB9" s="1883"/>
      <c r="AC9" s="1883"/>
      <c r="AD9" s="1883"/>
      <c r="AE9" s="1883"/>
      <c r="AF9" s="1883"/>
      <c r="AG9" s="1883"/>
      <c r="AH9" s="1883"/>
      <c r="AI9" s="1883"/>
      <c r="AJ9" s="1883"/>
      <c r="AK9" s="1883"/>
      <c r="AL9" s="1883"/>
      <c r="AM9" s="1884"/>
      <c r="AN9" s="1874" t="s">
        <v>409</v>
      </c>
      <c r="AO9" s="1852" t="s">
        <v>56</v>
      </c>
      <c r="AP9" s="1853"/>
      <c r="AQ9" s="1852" t="s">
        <v>113</v>
      </c>
      <c r="AR9" s="1870"/>
      <c r="AY9" s="172"/>
      <c r="AZ9" s="607"/>
      <c r="BO9" s="172"/>
      <c r="BP9" s="107"/>
    </row>
    <row r="10" spans="1:95" ht="20.25" customHeight="1" x14ac:dyDescent="0.25">
      <c r="A10" s="1895"/>
      <c r="B10" s="1895"/>
      <c r="C10" s="1720"/>
      <c r="D10" s="1721"/>
      <c r="E10" s="1722"/>
      <c r="F10" s="1877" t="s">
        <v>410</v>
      </c>
      <c r="G10" s="1878"/>
      <c r="H10" s="1877" t="s">
        <v>411</v>
      </c>
      <c r="I10" s="1878"/>
      <c r="J10" s="1877" t="s">
        <v>322</v>
      </c>
      <c r="K10" s="1878"/>
      <c r="L10" s="1879" t="s">
        <v>62</v>
      </c>
      <c r="M10" s="1879"/>
      <c r="N10" s="1879" t="s">
        <v>63</v>
      </c>
      <c r="O10" s="1879"/>
      <c r="P10" s="1879" t="s">
        <v>64</v>
      </c>
      <c r="Q10" s="1879"/>
      <c r="R10" s="1885" t="s">
        <v>65</v>
      </c>
      <c r="S10" s="1803"/>
      <c r="T10" s="1879" t="s">
        <v>66</v>
      </c>
      <c r="U10" s="1879"/>
      <c r="V10" s="1885" t="s">
        <v>67</v>
      </c>
      <c r="W10" s="1803"/>
      <c r="X10" s="1879" t="s">
        <v>68</v>
      </c>
      <c r="Y10" s="1879"/>
      <c r="Z10" s="1885" t="s">
        <v>69</v>
      </c>
      <c r="AA10" s="1803"/>
      <c r="AB10" s="1879" t="s">
        <v>70</v>
      </c>
      <c r="AC10" s="1879"/>
      <c r="AD10" s="1885" t="s">
        <v>71</v>
      </c>
      <c r="AE10" s="1803"/>
      <c r="AF10" s="1880" t="s">
        <v>72</v>
      </c>
      <c r="AG10" s="1881"/>
      <c r="AH10" s="1880" t="s">
        <v>412</v>
      </c>
      <c r="AI10" s="1881"/>
      <c r="AJ10" s="1880" t="s">
        <v>413</v>
      </c>
      <c r="AK10" s="1881"/>
      <c r="AL10" s="1880" t="s">
        <v>414</v>
      </c>
      <c r="AM10" s="1886"/>
      <c r="AN10" s="1875"/>
      <c r="AO10" s="1854"/>
      <c r="AP10" s="1855"/>
      <c r="AQ10" s="1854"/>
      <c r="AR10" s="1872"/>
      <c r="AY10" s="172"/>
      <c r="AZ10" s="607"/>
      <c r="BO10" s="172"/>
      <c r="BP10" s="107"/>
    </row>
    <row r="11" spans="1:95" ht="21" x14ac:dyDescent="0.25">
      <c r="A11" s="1895"/>
      <c r="B11" s="1895"/>
      <c r="C11" s="1445" t="s">
        <v>415</v>
      </c>
      <c r="D11" s="1460" t="s">
        <v>91</v>
      </c>
      <c r="E11" s="1461" t="s">
        <v>232</v>
      </c>
      <c r="F11" s="1462" t="s">
        <v>91</v>
      </c>
      <c r="G11" s="1461" t="s">
        <v>232</v>
      </c>
      <c r="H11" s="1462" t="s">
        <v>91</v>
      </c>
      <c r="I11" s="1461" t="s">
        <v>232</v>
      </c>
      <c r="J11" s="1462" t="s">
        <v>91</v>
      </c>
      <c r="K11" s="1461" t="s">
        <v>232</v>
      </c>
      <c r="L11" s="1463" t="s">
        <v>91</v>
      </c>
      <c r="M11" s="1464" t="s">
        <v>232</v>
      </c>
      <c r="N11" s="1463" t="s">
        <v>91</v>
      </c>
      <c r="O11" s="1464" t="s">
        <v>232</v>
      </c>
      <c r="P11" s="1463" t="s">
        <v>91</v>
      </c>
      <c r="Q11" s="1464" t="s">
        <v>232</v>
      </c>
      <c r="R11" s="1465" t="s">
        <v>91</v>
      </c>
      <c r="S11" s="994" t="s">
        <v>232</v>
      </c>
      <c r="T11" s="1463" t="s">
        <v>91</v>
      </c>
      <c r="U11" s="1464" t="s">
        <v>232</v>
      </c>
      <c r="V11" s="1465" t="s">
        <v>91</v>
      </c>
      <c r="W11" s="994" t="s">
        <v>232</v>
      </c>
      <c r="X11" s="1463" t="s">
        <v>91</v>
      </c>
      <c r="Y11" s="1464" t="s">
        <v>232</v>
      </c>
      <c r="Z11" s="1465" t="s">
        <v>91</v>
      </c>
      <c r="AA11" s="994" t="s">
        <v>232</v>
      </c>
      <c r="AB11" s="1463" t="s">
        <v>91</v>
      </c>
      <c r="AC11" s="1464" t="s">
        <v>232</v>
      </c>
      <c r="AD11" s="1465" t="s">
        <v>91</v>
      </c>
      <c r="AE11" s="994" t="s">
        <v>232</v>
      </c>
      <c r="AF11" s="1466" t="s">
        <v>416</v>
      </c>
      <c r="AG11" s="875" t="s">
        <v>232</v>
      </c>
      <c r="AH11" s="1466" t="s">
        <v>416</v>
      </c>
      <c r="AI11" s="875" t="s">
        <v>232</v>
      </c>
      <c r="AJ11" s="1466" t="s">
        <v>416</v>
      </c>
      <c r="AK11" s="875" t="s">
        <v>232</v>
      </c>
      <c r="AL11" s="1466" t="s">
        <v>416</v>
      </c>
      <c r="AM11" s="86" t="s">
        <v>232</v>
      </c>
      <c r="AN11" s="1876"/>
      <c r="AO11" s="758" t="s">
        <v>416</v>
      </c>
      <c r="AP11" s="759" t="s">
        <v>232</v>
      </c>
      <c r="AQ11" s="1467" t="s">
        <v>416</v>
      </c>
      <c r="AR11" s="875" t="s">
        <v>232</v>
      </c>
      <c r="AY11" s="172"/>
      <c r="AZ11" s="607"/>
      <c r="BO11" s="172"/>
      <c r="BP11" s="107"/>
    </row>
    <row r="12" spans="1:95" ht="15" customHeight="1" x14ac:dyDescent="0.25">
      <c r="A12" s="1904" t="s">
        <v>417</v>
      </c>
      <c r="B12" s="568" t="s">
        <v>287</v>
      </c>
      <c r="C12" s="1146">
        <f>SUM(D12:E12)</f>
        <v>0</v>
      </c>
      <c r="D12" s="392">
        <f>+F12</f>
        <v>0</v>
      </c>
      <c r="E12" s="393">
        <f>+G12</f>
        <v>0</v>
      </c>
      <c r="F12" s="394">
        <v>0</v>
      </c>
      <c r="G12" s="395">
        <v>0</v>
      </c>
      <c r="H12" s="433"/>
      <c r="I12" s="434"/>
      <c r="J12" s="433"/>
      <c r="K12" s="434"/>
      <c r="L12" s="433"/>
      <c r="M12" s="434"/>
      <c r="N12" s="433"/>
      <c r="O12" s="434"/>
      <c r="P12" s="433"/>
      <c r="Q12" s="434"/>
      <c r="R12" s="433"/>
      <c r="S12" s="434"/>
      <c r="T12" s="433"/>
      <c r="U12" s="434"/>
      <c r="V12" s="433"/>
      <c r="W12" s="434"/>
      <c r="X12" s="433"/>
      <c r="Y12" s="434"/>
      <c r="Z12" s="433"/>
      <c r="AA12" s="434"/>
      <c r="AB12" s="433"/>
      <c r="AC12" s="434"/>
      <c r="AD12" s="433"/>
      <c r="AE12" s="434"/>
      <c r="AF12" s="433"/>
      <c r="AG12" s="434"/>
      <c r="AH12" s="433"/>
      <c r="AI12" s="434"/>
      <c r="AJ12" s="433"/>
      <c r="AK12" s="434"/>
      <c r="AL12" s="433"/>
      <c r="AM12" s="571"/>
      <c r="AN12" s="396">
        <v>0</v>
      </c>
      <c r="AO12" s="412">
        <v>0</v>
      </c>
      <c r="AP12" s="395">
        <v>0</v>
      </c>
      <c r="AQ12" s="412">
        <v>0</v>
      </c>
      <c r="AR12" s="395">
        <v>0</v>
      </c>
      <c r="AS12" s="1057" t="str">
        <f>$CA12&amp;$CB12&amp;$CC12&amp;$CD12&amp;$CE12&amp;$CF12&amp;$CG12</f>
        <v/>
      </c>
      <c r="AT12" s="607"/>
      <c r="AU12" s="607"/>
      <c r="AV12" s="607"/>
      <c r="AW12" s="607"/>
      <c r="AX12" s="607"/>
      <c r="AY12" s="607"/>
      <c r="AZ12" s="607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48">
        <f>IF($AN12&lt;=$C12,0,1)</f>
        <v>0</v>
      </c>
      <c r="CN12" s="1048">
        <f>IF(AND(D12&gt;0,OR(AO12="")),1,IF(AO12&gt;D12,1,0))</f>
        <v>0</v>
      </c>
      <c r="CO12" s="1048">
        <f>IF(AND(E12&gt;0,OR(AP12="")),1,IF(AP12&gt;E12,1,0))</f>
        <v>0</v>
      </c>
      <c r="CP12" s="1048">
        <f>IF(AND(D12&gt;0,OR(AQ12="")),1,IF(AQ12&gt;D12,1,0))</f>
        <v>0</v>
      </c>
      <c r="CQ12" s="1048">
        <f>IF(AND(E12&gt;0,OR(AR12="")),1,IF(AR12&gt;E12,1,0))</f>
        <v>0</v>
      </c>
    </row>
    <row r="13" spans="1:95" ht="15" customHeight="1" x14ac:dyDescent="0.25">
      <c r="A13" s="1905"/>
      <c r="B13" s="87" t="s">
        <v>288</v>
      </c>
      <c r="C13" s="1143">
        <f t="shared" ref="C13:C39" si="0">SUM(D13:E13)</f>
        <v>0</v>
      </c>
      <c r="D13" s="397">
        <f>+F13</f>
        <v>0</v>
      </c>
      <c r="E13" s="385">
        <f t="shared" ref="D13:E14" si="1">+G13</f>
        <v>0</v>
      </c>
      <c r="F13" s="398">
        <v>0</v>
      </c>
      <c r="G13" s="399">
        <v>0</v>
      </c>
      <c r="H13" s="546"/>
      <c r="I13" s="547"/>
      <c r="J13" s="436"/>
      <c r="K13" s="437"/>
      <c r="L13" s="546"/>
      <c r="M13" s="547"/>
      <c r="N13" s="546"/>
      <c r="O13" s="547"/>
      <c r="P13" s="546"/>
      <c r="Q13" s="547"/>
      <c r="R13" s="546"/>
      <c r="S13" s="547"/>
      <c r="T13" s="546"/>
      <c r="U13" s="547"/>
      <c r="V13" s="546"/>
      <c r="W13" s="547"/>
      <c r="X13" s="546"/>
      <c r="Y13" s="547"/>
      <c r="Z13" s="546"/>
      <c r="AA13" s="547"/>
      <c r="AB13" s="546"/>
      <c r="AC13" s="547"/>
      <c r="AD13" s="546"/>
      <c r="AE13" s="547"/>
      <c r="AF13" s="546"/>
      <c r="AG13" s="547"/>
      <c r="AH13" s="546"/>
      <c r="AI13" s="547"/>
      <c r="AJ13" s="546"/>
      <c r="AK13" s="547"/>
      <c r="AL13" s="546"/>
      <c r="AM13" s="572"/>
      <c r="AN13" s="400">
        <v>0</v>
      </c>
      <c r="AO13" s="445">
        <v>0</v>
      </c>
      <c r="AP13" s="399">
        <v>0</v>
      </c>
      <c r="AQ13" s="445">
        <v>0</v>
      </c>
      <c r="AR13" s="399">
        <v>0</v>
      </c>
      <c r="AS13" s="1057" t="str">
        <f t="shared" ref="AS13:AS19" si="2">$CA13&amp;$CB13&amp;$CC13&amp;$CD13&amp;$CE13&amp;$CF13&amp;$CG13</f>
        <v/>
      </c>
      <c r="AY13" s="172"/>
      <c r="AZ13" s="607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48">
        <f t="shared" ref="CM13:CM18" si="8">IF($AN13&lt;=$C13,0,1)</f>
        <v>0</v>
      </c>
      <c r="CN13" s="1048">
        <f t="shared" ref="CN13:CN44" si="9">IF(AND(D13&gt;0,OR(AO13="")),1,IF(AO13&gt;D13,1,0))</f>
        <v>0</v>
      </c>
      <c r="CO13" s="1048">
        <f t="shared" ref="CO13:CO44" si="10">IF(AND(E13&gt;0,OR(AP13="")),1,IF(AP13&gt;E13,1,0))</f>
        <v>0</v>
      </c>
      <c r="CP13" s="1048">
        <f t="shared" ref="CP13:CP44" si="11">IF(AND(D13&gt;0,OR(AQ13="")),1,IF(AQ13&gt;D13,1,0))</f>
        <v>0</v>
      </c>
      <c r="CQ13" s="1048">
        <f t="shared" ref="CQ13:CQ44" si="12">IF(AND(E13&gt;0,OR(AR13="")),1,IF(AR13&gt;E13,1,0))</f>
        <v>0</v>
      </c>
    </row>
    <row r="14" spans="1:95" ht="15" customHeight="1" x14ac:dyDescent="0.25">
      <c r="A14" s="1901"/>
      <c r="B14" s="88" t="s">
        <v>418</v>
      </c>
      <c r="C14" s="1302">
        <f t="shared" si="0"/>
        <v>0</v>
      </c>
      <c r="D14" s="401">
        <f t="shared" si="1"/>
        <v>0</v>
      </c>
      <c r="E14" s="402">
        <f t="shared" si="1"/>
        <v>0</v>
      </c>
      <c r="F14" s="403">
        <v>0</v>
      </c>
      <c r="G14" s="404">
        <v>0</v>
      </c>
      <c r="H14" s="573"/>
      <c r="I14" s="574"/>
      <c r="J14" s="573"/>
      <c r="K14" s="574"/>
      <c r="L14" s="573"/>
      <c r="M14" s="574"/>
      <c r="N14" s="573"/>
      <c r="O14" s="574"/>
      <c r="P14" s="573"/>
      <c r="Q14" s="574"/>
      <c r="R14" s="573"/>
      <c r="S14" s="574"/>
      <c r="T14" s="573"/>
      <c r="U14" s="574"/>
      <c r="V14" s="573"/>
      <c r="W14" s="574"/>
      <c r="X14" s="573"/>
      <c r="Y14" s="574"/>
      <c r="Z14" s="573"/>
      <c r="AA14" s="574"/>
      <c r="AB14" s="573"/>
      <c r="AC14" s="574"/>
      <c r="AD14" s="573"/>
      <c r="AE14" s="574"/>
      <c r="AF14" s="573"/>
      <c r="AG14" s="574"/>
      <c r="AH14" s="573"/>
      <c r="AI14" s="574"/>
      <c r="AJ14" s="573"/>
      <c r="AK14" s="574"/>
      <c r="AL14" s="573"/>
      <c r="AM14" s="575"/>
      <c r="AN14" s="405">
        <v>0</v>
      </c>
      <c r="AO14" s="449">
        <v>0</v>
      </c>
      <c r="AP14" s="409">
        <v>0</v>
      </c>
      <c r="AQ14" s="449">
        <v>0</v>
      </c>
      <c r="AR14" s="409">
        <v>0</v>
      </c>
      <c r="AS14" s="1057" t="str">
        <f t="shared" si="2"/>
        <v/>
      </c>
      <c r="AY14" s="172"/>
      <c r="AZ14" s="607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48">
        <f t="shared" si="8"/>
        <v>0</v>
      </c>
      <c r="CN14" s="1048">
        <f t="shared" si="9"/>
        <v>0</v>
      </c>
      <c r="CO14" s="1048">
        <f t="shared" si="10"/>
        <v>0</v>
      </c>
      <c r="CP14" s="1048">
        <f t="shared" si="11"/>
        <v>0</v>
      </c>
      <c r="CQ14" s="1048">
        <f t="shared" si="12"/>
        <v>0</v>
      </c>
    </row>
    <row r="15" spans="1:95" ht="15" customHeight="1" x14ac:dyDescent="0.25">
      <c r="A15" s="1897" t="s">
        <v>419</v>
      </c>
      <c r="B15" s="568" t="s">
        <v>287</v>
      </c>
      <c r="C15" s="1146">
        <f t="shared" si="0"/>
        <v>0</v>
      </c>
      <c r="D15" s="392">
        <f>+F15+H15+J15+L15+N15+P15+R15+T15+V15+X15+Z15+AB15+AD15+AF15+AH15+AJ15+AL15</f>
        <v>0</v>
      </c>
      <c r="E15" s="393">
        <f>+G15+I15+K15+M15+O15+Q15+S15+U15+W15+Y15+AA15+AC15+AE15+AG15+AI15+AK15+AM15</f>
        <v>0</v>
      </c>
      <c r="F15" s="394">
        <v>0</v>
      </c>
      <c r="G15" s="395">
        <v>0</v>
      </c>
      <c r="H15" s="394">
        <v>0</v>
      </c>
      <c r="I15" s="395">
        <v>0</v>
      </c>
      <c r="J15" s="394">
        <v>0</v>
      </c>
      <c r="K15" s="395">
        <v>0</v>
      </c>
      <c r="L15" s="394">
        <v>0</v>
      </c>
      <c r="M15" s="395">
        <v>0</v>
      </c>
      <c r="N15" s="394">
        <v>0</v>
      </c>
      <c r="O15" s="395">
        <v>0</v>
      </c>
      <c r="P15" s="394">
        <v>0</v>
      </c>
      <c r="Q15" s="395">
        <v>0</v>
      </c>
      <c r="R15" s="394">
        <v>0</v>
      </c>
      <c r="S15" s="395">
        <v>0</v>
      </c>
      <c r="T15" s="394">
        <v>0</v>
      </c>
      <c r="U15" s="395">
        <v>0</v>
      </c>
      <c r="V15" s="394">
        <v>0</v>
      </c>
      <c r="W15" s="395">
        <v>0</v>
      </c>
      <c r="X15" s="394">
        <v>0</v>
      </c>
      <c r="Y15" s="395">
        <v>0</v>
      </c>
      <c r="Z15" s="394">
        <v>0</v>
      </c>
      <c r="AA15" s="395">
        <v>0</v>
      </c>
      <c r="AB15" s="394">
        <v>0</v>
      </c>
      <c r="AC15" s="395">
        <v>0</v>
      </c>
      <c r="AD15" s="394">
        <v>0</v>
      </c>
      <c r="AE15" s="395">
        <v>0</v>
      </c>
      <c r="AF15" s="394">
        <v>0</v>
      </c>
      <c r="AG15" s="395">
        <v>0</v>
      </c>
      <c r="AH15" s="394">
        <v>0</v>
      </c>
      <c r="AI15" s="395">
        <v>0</v>
      </c>
      <c r="AJ15" s="394">
        <v>0</v>
      </c>
      <c r="AK15" s="395">
        <v>0</v>
      </c>
      <c r="AL15" s="394">
        <v>0</v>
      </c>
      <c r="AM15" s="406">
        <v>0</v>
      </c>
      <c r="AN15" s="396">
        <v>0</v>
      </c>
      <c r="AO15" s="412">
        <v>0</v>
      </c>
      <c r="AP15" s="395">
        <v>0</v>
      </c>
      <c r="AQ15" s="412">
        <v>0</v>
      </c>
      <c r="AR15" s="395">
        <v>0</v>
      </c>
      <c r="AS15" s="1057" t="str">
        <f t="shared" si="2"/>
        <v/>
      </c>
      <c r="AY15" s="172"/>
      <c r="AZ15" s="607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48">
        <f t="shared" si="8"/>
        <v>0</v>
      </c>
      <c r="CN15" s="1048">
        <f t="shared" si="9"/>
        <v>0</v>
      </c>
      <c r="CO15" s="1048">
        <f t="shared" si="10"/>
        <v>0</v>
      </c>
      <c r="CP15" s="1048">
        <f t="shared" si="11"/>
        <v>0</v>
      </c>
      <c r="CQ15" s="1048">
        <f t="shared" si="12"/>
        <v>0</v>
      </c>
    </row>
    <row r="16" spans="1:95" ht="15" customHeight="1" x14ac:dyDescent="0.25">
      <c r="A16" s="1898"/>
      <c r="B16" s="87" t="s">
        <v>288</v>
      </c>
      <c r="C16" s="1143">
        <f t="shared" si="0"/>
        <v>0</v>
      </c>
      <c r="D16" s="397">
        <f t="shared" ref="D16:E17" si="13">+F16+H16+J16+L16+N16+P16+R16+T16+V16+X16+Z16+AB16+AD16+AF16+AH16+AJ16+AL16</f>
        <v>0</v>
      </c>
      <c r="E16" s="385">
        <f t="shared" si="13"/>
        <v>0</v>
      </c>
      <c r="F16" s="398">
        <v>0</v>
      </c>
      <c r="G16" s="399">
        <v>0</v>
      </c>
      <c r="H16" s="398">
        <v>0</v>
      </c>
      <c r="I16" s="399">
        <v>0</v>
      </c>
      <c r="J16" s="398">
        <v>0</v>
      </c>
      <c r="K16" s="399">
        <v>0</v>
      </c>
      <c r="L16" s="398">
        <v>0</v>
      </c>
      <c r="M16" s="399">
        <v>0</v>
      </c>
      <c r="N16" s="398">
        <v>0</v>
      </c>
      <c r="O16" s="399">
        <v>0</v>
      </c>
      <c r="P16" s="398">
        <v>0</v>
      </c>
      <c r="Q16" s="399">
        <v>0</v>
      </c>
      <c r="R16" s="398">
        <v>0</v>
      </c>
      <c r="S16" s="399">
        <v>0</v>
      </c>
      <c r="T16" s="398">
        <v>0</v>
      </c>
      <c r="U16" s="399">
        <v>0</v>
      </c>
      <c r="V16" s="398">
        <v>0</v>
      </c>
      <c r="W16" s="399">
        <v>0</v>
      </c>
      <c r="X16" s="398">
        <v>0</v>
      </c>
      <c r="Y16" s="399">
        <v>0</v>
      </c>
      <c r="Z16" s="398">
        <v>0</v>
      </c>
      <c r="AA16" s="399">
        <v>0</v>
      </c>
      <c r="AB16" s="398">
        <v>0</v>
      </c>
      <c r="AC16" s="399">
        <v>0</v>
      </c>
      <c r="AD16" s="398">
        <v>0</v>
      </c>
      <c r="AE16" s="399">
        <v>0</v>
      </c>
      <c r="AF16" s="398">
        <v>0</v>
      </c>
      <c r="AG16" s="399">
        <v>0</v>
      </c>
      <c r="AH16" s="398">
        <v>0</v>
      </c>
      <c r="AI16" s="399">
        <v>0</v>
      </c>
      <c r="AJ16" s="398">
        <v>0</v>
      </c>
      <c r="AK16" s="399">
        <v>0</v>
      </c>
      <c r="AL16" s="398">
        <v>0</v>
      </c>
      <c r="AM16" s="407">
        <v>0</v>
      </c>
      <c r="AN16" s="400">
        <v>0</v>
      </c>
      <c r="AO16" s="445">
        <v>0</v>
      </c>
      <c r="AP16" s="399">
        <v>0</v>
      </c>
      <c r="AQ16" s="445">
        <v>0</v>
      </c>
      <c r="AR16" s="399">
        <v>0</v>
      </c>
      <c r="AS16" s="1057" t="str">
        <f t="shared" si="2"/>
        <v/>
      </c>
      <c r="AY16" s="172"/>
      <c r="AZ16" s="607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48">
        <f t="shared" si="8"/>
        <v>0</v>
      </c>
      <c r="CN16" s="1048">
        <f t="shared" si="9"/>
        <v>0</v>
      </c>
      <c r="CO16" s="1048">
        <f t="shared" si="10"/>
        <v>0</v>
      </c>
      <c r="CP16" s="1048">
        <f t="shared" si="11"/>
        <v>0</v>
      </c>
      <c r="CQ16" s="1048">
        <f t="shared" si="12"/>
        <v>0</v>
      </c>
    </row>
    <row r="17" spans="1:95" ht="15" customHeight="1" x14ac:dyDescent="0.25">
      <c r="A17" s="1899"/>
      <c r="B17" s="88" t="s">
        <v>418</v>
      </c>
      <c r="C17" s="1145">
        <f t="shared" si="0"/>
        <v>0</v>
      </c>
      <c r="D17" s="391">
        <f t="shared" si="13"/>
        <v>0</v>
      </c>
      <c r="E17" s="386">
        <f t="shared" si="13"/>
        <v>0</v>
      </c>
      <c r="F17" s="403">
        <v>0</v>
      </c>
      <c r="G17" s="404">
        <v>0</v>
      </c>
      <c r="H17" s="408">
        <v>0</v>
      </c>
      <c r="I17" s="409">
        <v>0</v>
      </c>
      <c r="J17" s="408">
        <v>0</v>
      </c>
      <c r="K17" s="409">
        <v>0</v>
      </c>
      <c r="L17" s="408">
        <v>0</v>
      </c>
      <c r="M17" s="409">
        <v>0</v>
      </c>
      <c r="N17" s="408">
        <v>0</v>
      </c>
      <c r="O17" s="409">
        <v>0</v>
      </c>
      <c r="P17" s="408">
        <v>0</v>
      </c>
      <c r="Q17" s="409">
        <v>0</v>
      </c>
      <c r="R17" s="408">
        <v>0</v>
      </c>
      <c r="S17" s="409">
        <v>0</v>
      </c>
      <c r="T17" s="408">
        <v>0</v>
      </c>
      <c r="U17" s="409">
        <v>0</v>
      </c>
      <c r="V17" s="408">
        <v>0</v>
      </c>
      <c r="W17" s="409">
        <v>0</v>
      </c>
      <c r="X17" s="408">
        <v>0</v>
      </c>
      <c r="Y17" s="409">
        <v>0</v>
      </c>
      <c r="Z17" s="408">
        <v>0</v>
      </c>
      <c r="AA17" s="409">
        <v>0</v>
      </c>
      <c r="AB17" s="408">
        <v>0</v>
      </c>
      <c r="AC17" s="409">
        <v>0</v>
      </c>
      <c r="AD17" s="408">
        <v>0</v>
      </c>
      <c r="AE17" s="409">
        <v>0</v>
      </c>
      <c r="AF17" s="408">
        <v>0</v>
      </c>
      <c r="AG17" s="409">
        <v>0</v>
      </c>
      <c r="AH17" s="408">
        <v>0</v>
      </c>
      <c r="AI17" s="409">
        <v>0</v>
      </c>
      <c r="AJ17" s="408">
        <v>0</v>
      </c>
      <c r="AK17" s="409">
        <v>0</v>
      </c>
      <c r="AL17" s="408">
        <v>0</v>
      </c>
      <c r="AM17" s="410">
        <v>0</v>
      </c>
      <c r="AN17" s="411">
        <v>0</v>
      </c>
      <c r="AO17" s="416">
        <v>0</v>
      </c>
      <c r="AP17" s="404">
        <v>0</v>
      </c>
      <c r="AQ17" s="416">
        <v>0</v>
      </c>
      <c r="AR17" s="404">
        <v>0</v>
      </c>
      <c r="AS17" s="1057" t="str">
        <f t="shared" si="2"/>
        <v/>
      </c>
      <c r="AY17" s="172"/>
      <c r="AZ17" s="607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48">
        <f t="shared" si="8"/>
        <v>0</v>
      </c>
      <c r="CN17" s="1048">
        <f t="shared" si="9"/>
        <v>0</v>
      </c>
      <c r="CO17" s="1048">
        <f t="shared" si="10"/>
        <v>0</v>
      </c>
      <c r="CP17" s="1048">
        <f t="shared" si="11"/>
        <v>0</v>
      </c>
      <c r="CQ17" s="1048">
        <f t="shared" si="12"/>
        <v>0</v>
      </c>
    </row>
    <row r="18" spans="1:95" ht="15" customHeight="1" x14ac:dyDescent="0.25">
      <c r="A18" s="1900" t="s">
        <v>420</v>
      </c>
      <c r="B18" s="89" t="s">
        <v>421</v>
      </c>
      <c r="C18" s="1143">
        <f>SUM(D18:E18)</f>
        <v>0</v>
      </c>
      <c r="D18" s="387">
        <f>+V18+X18+Z18+AB18+AD18+AF18+AH18+AJ18+AL18</f>
        <v>0</v>
      </c>
      <c r="E18" s="388">
        <f>+W18+Y18+AA18+AC18+AE18+AG18+AI18+AK18+AM18</f>
        <v>0</v>
      </c>
      <c r="F18" s="433"/>
      <c r="G18" s="434"/>
      <c r="H18" s="433"/>
      <c r="I18" s="434"/>
      <c r="J18" s="433"/>
      <c r="K18" s="434"/>
      <c r="L18" s="433"/>
      <c r="M18" s="434"/>
      <c r="N18" s="433"/>
      <c r="O18" s="434"/>
      <c r="P18" s="433"/>
      <c r="Q18" s="434"/>
      <c r="R18" s="433"/>
      <c r="S18" s="434"/>
      <c r="T18" s="433"/>
      <c r="U18" s="434"/>
      <c r="V18" s="394">
        <v>0</v>
      </c>
      <c r="W18" s="395">
        <v>0</v>
      </c>
      <c r="X18" s="394">
        <v>0</v>
      </c>
      <c r="Y18" s="395">
        <v>0</v>
      </c>
      <c r="Z18" s="394">
        <v>0</v>
      </c>
      <c r="AA18" s="395">
        <v>0</v>
      </c>
      <c r="AB18" s="394">
        <v>0</v>
      </c>
      <c r="AC18" s="395">
        <v>0</v>
      </c>
      <c r="AD18" s="394">
        <v>0</v>
      </c>
      <c r="AE18" s="395">
        <v>0</v>
      </c>
      <c r="AF18" s="394">
        <v>0</v>
      </c>
      <c r="AG18" s="395">
        <v>0</v>
      </c>
      <c r="AH18" s="394">
        <v>0</v>
      </c>
      <c r="AI18" s="395">
        <v>0</v>
      </c>
      <c r="AJ18" s="394">
        <v>0</v>
      </c>
      <c r="AK18" s="395">
        <v>0</v>
      </c>
      <c r="AL18" s="394">
        <v>0</v>
      </c>
      <c r="AM18" s="406">
        <v>0</v>
      </c>
      <c r="AN18" s="396">
        <v>0</v>
      </c>
      <c r="AO18" s="412">
        <v>0</v>
      </c>
      <c r="AP18" s="395">
        <v>0</v>
      </c>
      <c r="AQ18" s="412">
        <v>0</v>
      </c>
      <c r="AR18" s="395">
        <v>0</v>
      </c>
      <c r="AS18" s="1057" t="str">
        <f t="shared" si="2"/>
        <v/>
      </c>
      <c r="AY18" s="172"/>
      <c r="AZ18" s="607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48">
        <f t="shared" si="8"/>
        <v>0</v>
      </c>
      <c r="CN18" s="1048">
        <f t="shared" si="9"/>
        <v>0</v>
      </c>
      <c r="CO18" s="1048">
        <f t="shared" si="10"/>
        <v>0</v>
      </c>
      <c r="CP18" s="1048">
        <f t="shared" si="11"/>
        <v>0</v>
      </c>
      <c r="CQ18" s="1048">
        <f t="shared" si="12"/>
        <v>0</v>
      </c>
    </row>
    <row r="19" spans="1:95" ht="15" customHeight="1" x14ac:dyDescent="0.25">
      <c r="A19" s="1901"/>
      <c r="B19" s="90" t="s">
        <v>422</v>
      </c>
      <c r="C19" s="1144">
        <f>SUM(D19:E19)</f>
        <v>0</v>
      </c>
      <c r="D19" s="391">
        <f>+V19+X19+Z19+AB19+AD19+AF19+AH19+AJ19+AL19</f>
        <v>0</v>
      </c>
      <c r="E19" s="386">
        <f>+W19+Y19+AA19+AC19+AE19+AG19+AI19+AK19+AM19</f>
        <v>0</v>
      </c>
      <c r="F19" s="439"/>
      <c r="G19" s="440"/>
      <c r="H19" s="439"/>
      <c r="I19" s="440"/>
      <c r="J19" s="439"/>
      <c r="K19" s="440"/>
      <c r="L19" s="439"/>
      <c r="M19" s="440"/>
      <c r="N19" s="439"/>
      <c r="O19" s="440"/>
      <c r="P19" s="439"/>
      <c r="Q19" s="440"/>
      <c r="R19" s="569"/>
      <c r="S19" s="570"/>
      <c r="T19" s="569"/>
      <c r="U19" s="570"/>
      <c r="V19" s="413">
        <v>0</v>
      </c>
      <c r="W19" s="414">
        <v>0</v>
      </c>
      <c r="X19" s="413">
        <v>0</v>
      </c>
      <c r="Y19" s="414">
        <v>0</v>
      </c>
      <c r="Z19" s="413">
        <v>0</v>
      </c>
      <c r="AA19" s="414">
        <v>0</v>
      </c>
      <c r="AB19" s="413">
        <v>0</v>
      </c>
      <c r="AC19" s="414">
        <v>0</v>
      </c>
      <c r="AD19" s="413">
        <v>0</v>
      </c>
      <c r="AE19" s="414">
        <v>0</v>
      </c>
      <c r="AF19" s="413">
        <v>0</v>
      </c>
      <c r="AG19" s="414">
        <v>0</v>
      </c>
      <c r="AH19" s="413">
        <v>0</v>
      </c>
      <c r="AI19" s="414">
        <v>0</v>
      </c>
      <c r="AJ19" s="413">
        <v>0</v>
      </c>
      <c r="AK19" s="414">
        <v>0</v>
      </c>
      <c r="AL19" s="413">
        <v>0</v>
      </c>
      <c r="AM19" s="415">
        <v>0</v>
      </c>
      <c r="AN19" s="411">
        <v>0</v>
      </c>
      <c r="AO19" s="416">
        <v>0</v>
      </c>
      <c r="AP19" s="404">
        <v>0</v>
      </c>
      <c r="AQ19" s="416">
        <v>0</v>
      </c>
      <c r="AR19" s="404">
        <v>0</v>
      </c>
      <c r="AS19" s="1057" t="str">
        <f t="shared" si="2"/>
        <v/>
      </c>
      <c r="AY19" s="172"/>
      <c r="AZ19" s="607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48">
        <f>IF($AN19&lt;=$C19,0,1)</f>
        <v>0</v>
      </c>
      <c r="CN19" s="1048">
        <f t="shared" si="9"/>
        <v>0</v>
      </c>
      <c r="CO19" s="1048">
        <f t="shared" si="10"/>
        <v>0</v>
      </c>
      <c r="CP19" s="1048">
        <f t="shared" si="11"/>
        <v>0</v>
      </c>
      <c r="CQ19" s="1048">
        <f t="shared" si="12"/>
        <v>0</v>
      </c>
    </row>
    <row r="20" spans="1:95" ht="15" customHeight="1" x14ac:dyDescent="0.25">
      <c r="A20" s="1902" t="s">
        <v>423</v>
      </c>
      <c r="B20" s="1903"/>
      <c r="C20" s="1143">
        <f t="shared" si="0"/>
        <v>1</v>
      </c>
      <c r="D20" s="387">
        <f>+F20+H20+J20+L20+N20+P20+R20+T20+V20+X20+Z20+AB20+AD20+AF20+AH20+AJ20+AL20</f>
        <v>0</v>
      </c>
      <c r="E20" s="388">
        <f>+G20+I20+K20+M20+O20+Q20+S20+U20+W20+Y20+AA20+AC20+AE20+AG20+AI20+AK20+AM20</f>
        <v>1</v>
      </c>
      <c r="F20" s="417">
        <v>0</v>
      </c>
      <c r="G20" s="418">
        <v>0</v>
      </c>
      <c r="H20" s="417">
        <v>0</v>
      </c>
      <c r="I20" s="418">
        <v>0</v>
      </c>
      <c r="J20" s="417">
        <v>0</v>
      </c>
      <c r="K20" s="418">
        <v>0</v>
      </c>
      <c r="L20" s="417">
        <v>0</v>
      </c>
      <c r="M20" s="418">
        <v>0</v>
      </c>
      <c r="N20" s="417">
        <v>0</v>
      </c>
      <c r="O20" s="418">
        <v>0</v>
      </c>
      <c r="P20" s="417">
        <v>0</v>
      </c>
      <c r="Q20" s="418">
        <v>0</v>
      </c>
      <c r="R20" s="417">
        <v>0</v>
      </c>
      <c r="S20" s="418">
        <v>0</v>
      </c>
      <c r="T20" s="417">
        <v>0</v>
      </c>
      <c r="U20" s="418">
        <v>0</v>
      </c>
      <c r="V20" s="417">
        <v>0</v>
      </c>
      <c r="W20" s="418">
        <v>0</v>
      </c>
      <c r="X20" s="417">
        <v>0</v>
      </c>
      <c r="Y20" s="418">
        <v>0</v>
      </c>
      <c r="Z20" s="417">
        <v>0</v>
      </c>
      <c r="AA20" s="418">
        <v>0</v>
      </c>
      <c r="AB20" s="417">
        <v>0</v>
      </c>
      <c r="AC20" s="418">
        <v>0</v>
      </c>
      <c r="AD20" s="417">
        <v>0</v>
      </c>
      <c r="AE20" s="418">
        <v>1</v>
      </c>
      <c r="AF20" s="417">
        <v>0</v>
      </c>
      <c r="AG20" s="418">
        <v>0</v>
      </c>
      <c r="AH20" s="417">
        <v>0</v>
      </c>
      <c r="AI20" s="418">
        <v>0</v>
      </c>
      <c r="AJ20" s="417">
        <v>0</v>
      </c>
      <c r="AK20" s="418">
        <v>0</v>
      </c>
      <c r="AL20" s="417">
        <v>0</v>
      </c>
      <c r="AM20" s="419">
        <v>0</v>
      </c>
      <c r="AN20" s="420"/>
      <c r="AO20" s="455">
        <v>0</v>
      </c>
      <c r="AP20" s="418">
        <v>1</v>
      </c>
      <c r="AQ20" s="455">
        <v>0</v>
      </c>
      <c r="AR20" s="418">
        <v>0</v>
      </c>
      <c r="AS20" s="1057" t="str">
        <f>$CB20&amp;$CC20&amp;$CD20&amp;$CE20</f>
        <v/>
      </c>
      <c r="AY20" s="172"/>
      <c r="AZ20" s="607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48">
        <f t="shared" si="9"/>
        <v>0</v>
      </c>
      <c r="CO20" s="1048">
        <f t="shared" si="10"/>
        <v>0</v>
      </c>
      <c r="CP20" s="1048">
        <f t="shared" si="11"/>
        <v>0</v>
      </c>
      <c r="CQ20" s="1048">
        <f t="shared" si="12"/>
        <v>0</v>
      </c>
    </row>
    <row r="21" spans="1:95" ht="15" customHeight="1" x14ac:dyDescent="0.25">
      <c r="A21" s="1715" t="s">
        <v>424</v>
      </c>
      <c r="B21" s="1716"/>
      <c r="C21" s="1148">
        <f t="shared" si="0"/>
        <v>0</v>
      </c>
      <c r="D21" s="397">
        <f t="shared" ref="D21:E22" si="16">+F21+H21+J21+L21+N21+P21+R21+T21+V21+X21+Z21+AB21+AD21+AF21+AH21+AJ21+AL21</f>
        <v>0</v>
      </c>
      <c r="E21" s="385">
        <f>+G21+I21+K21+M21+O21+Q21+S21+U21+W21+Y21+AA21+AC21+AE21+AG21+AI21+AK21+AM21</f>
        <v>0</v>
      </c>
      <c r="F21" s="417">
        <v>0</v>
      </c>
      <c r="G21" s="418">
        <v>0</v>
      </c>
      <c r="H21" s="417">
        <v>0</v>
      </c>
      <c r="I21" s="418">
        <v>0</v>
      </c>
      <c r="J21" s="417">
        <v>0</v>
      </c>
      <c r="K21" s="418">
        <v>0</v>
      </c>
      <c r="L21" s="417">
        <v>0</v>
      </c>
      <c r="M21" s="418">
        <v>0</v>
      </c>
      <c r="N21" s="417">
        <v>0</v>
      </c>
      <c r="O21" s="418">
        <v>0</v>
      </c>
      <c r="P21" s="417">
        <v>0</v>
      </c>
      <c r="Q21" s="418">
        <v>0</v>
      </c>
      <c r="R21" s="417">
        <v>0</v>
      </c>
      <c r="S21" s="418">
        <v>0</v>
      </c>
      <c r="T21" s="417">
        <v>0</v>
      </c>
      <c r="U21" s="418">
        <v>0</v>
      </c>
      <c r="V21" s="417">
        <v>0</v>
      </c>
      <c r="W21" s="418">
        <v>0</v>
      </c>
      <c r="X21" s="417">
        <v>0</v>
      </c>
      <c r="Y21" s="418">
        <v>0</v>
      </c>
      <c r="Z21" s="417">
        <v>0</v>
      </c>
      <c r="AA21" s="418">
        <v>0</v>
      </c>
      <c r="AB21" s="417">
        <v>0</v>
      </c>
      <c r="AC21" s="418">
        <v>0</v>
      </c>
      <c r="AD21" s="417">
        <v>0</v>
      </c>
      <c r="AE21" s="418">
        <v>0</v>
      </c>
      <c r="AF21" s="417">
        <v>0</v>
      </c>
      <c r="AG21" s="418">
        <v>0</v>
      </c>
      <c r="AH21" s="417">
        <v>0</v>
      </c>
      <c r="AI21" s="418">
        <v>0</v>
      </c>
      <c r="AJ21" s="417">
        <v>0</v>
      </c>
      <c r="AK21" s="418">
        <v>0</v>
      </c>
      <c r="AL21" s="417">
        <v>0</v>
      </c>
      <c r="AM21" s="419">
        <v>0</v>
      </c>
      <c r="AN21" s="421"/>
      <c r="AO21" s="445">
        <v>0</v>
      </c>
      <c r="AP21" s="399">
        <v>0</v>
      </c>
      <c r="AQ21" s="445">
        <v>0</v>
      </c>
      <c r="AR21" s="399">
        <v>0</v>
      </c>
      <c r="AS21" s="1057" t="str">
        <f t="shared" ref="AS21:AS36" si="17">$CB21&amp;$CC21&amp;$CD21&amp;$CE21</f>
        <v/>
      </c>
      <c r="AY21" s="172"/>
      <c r="AZ21" s="607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48">
        <f t="shared" si="9"/>
        <v>0</v>
      </c>
      <c r="CO21" s="1048">
        <f t="shared" si="10"/>
        <v>0</v>
      </c>
      <c r="CP21" s="1048">
        <f t="shared" si="11"/>
        <v>0</v>
      </c>
      <c r="CQ21" s="1048">
        <f t="shared" si="12"/>
        <v>0</v>
      </c>
    </row>
    <row r="22" spans="1:95" ht="15" customHeight="1" x14ac:dyDescent="0.25">
      <c r="A22" s="1863" t="s">
        <v>425</v>
      </c>
      <c r="B22" s="1864"/>
      <c r="C22" s="1148">
        <f>SUM(D22:E22)</f>
        <v>0</v>
      </c>
      <c r="D22" s="397">
        <f t="shared" si="16"/>
        <v>0</v>
      </c>
      <c r="E22" s="385">
        <f t="shared" si="16"/>
        <v>0</v>
      </c>
      <c r="F22" s="417">
        <v>0</v>
      </c>
      <c r="G22" s="418">
        <v>0</v>
      </c>
      <c r="H22" s="417">
        <v>0</v>
      </c>
      <c r="I22" s="418">
        <v>0</v>
      </c>
      <c r="J22" s="417">
        <v>0</v>
      </c>
      <c r="K22" s="418">
        <v>0</v>
      </c>
      <c r="L22" s="417">
        <v>0</v>
      </c>
      <c r="M22" s="418">
        <v>0</v>
      </c>
      <c r="N22" s="417">
        <v>0</v>
      </c>
      <c r="O22" s="418">
        <v>0</v>
      </c>
      <c r="P22" s="417">
        <v>0</v>
      </c>
      <c r="Q22" s="418">
        <v>0</v>
      </c>
      <c r="R22" s="417">
        <v>0</v>
      </c>
      <c r="S22" s="418">
        <v>0</v>
      </c>
      <c r="T22" s="417">
        <v>0</v>
      </c>
      <c r="U22" s="418">
        <v>0</v>
      </c>
      <c r="V22" s="417">
        <v>0</v>
      </c>
      <c r="W22" s="418">
        <v>0</v>
      </c>
      <c r="X22" s="417">
        <v>0</v>
      </c>
      <c r="Y22" s="418">
        <v>0</v>
      </c>
      <c r="Z22" s="417">
        <v>0</v>
      </c>
      <c r="AA22" s="418">
        <v>0</v>
      </c>
      <c r="AB22" s="417">
        <v>0</v>
      </c>
      <c r="AC22" s="418">
        <v>0</v>
      </c>
      <c r="AD22" s="417">
        <v>0</v>
      </c>
      <c r="AE22" s="418">
        <v>0</v>
      </c>
      <c r="AF22" s="417">
        <v>0</v>
      </c>
      <c r="AG22" s="418">
        <v>0</v>
      </c>
      <c r="AH22" s="417">
        <v>0</v>
      </c>
      <c r="AI22" s="418">
        <v>0</v>
      </c>
      <c r="AJ22" s="417">
        <v>0</v>
      </c>
      <c r="AK22" s="418">
        <v>0</v>
      </c>
      <c r="AL22" s="417">
        <v>0</v>
      </c>
      <c r="AM22" s="419">
        <v>0</v>
      </c>
      <c r="AN22" s="421"/>
      <c r="AO22" s="445">
        <v>0</v>
      </c>
      <c r="AP22" s="399">
        <v>0</v>
      </c>
      <c r="AQ22" s="445">
        <v>0</v>
      </c>
      <c r="AR22" s="399">
        <v>0</v>
      </c>
      <c r="AS22" s="1057" t="str">
        <f t="shared" si="17"/>
        <v/>
      </c>
      <c r="AY22" s="172"/>
      <c r="AZ22" s="607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48">
        <f t="shared" si="9"/>
        <v>0</v>
      </c>
      <c r="CO22" s="1048">
        <f t="shared" si="10"/>
        <v>0</v>
      </c>
      <c r="CP22" s="1048">
        <f t="shared" si="11"/>
        <v>0</v>
      </c>
      <c r="CQ22" s="1048">
        <f t="shared" si="12"/>
        <v>0</v>
      </c>
    </row>
    <row r="23" spans="1:95" ht="15" customHeight="1" x14ac:dyDescent="0.25">
      <c r="A23" s="1715" t="s">
        <v>355</v>
      </c>
      <c r="B23" s="1716"/>
      <c r="C23" s="1143">
        <f>SUM(D23:E23)</f>
        <v>0</v>
      </c>
      <c r="D23" s="387">
        <f>+F23+H23+J23+L23+N23+P23+R23+T23+V23+X23+Z23+AB23+AD23</f>
        <v>0</v>
      </c>
      <c r="E23" s="388">
        <f>+G23+I23+K23+M23+O23+Q23+S23+U23+W23+Y23+AA23+AC23+AE23</f>
        <v>0</v>
      </c>
      <c r="F23" s="417">
        <v>0</v>
      </c>
      <c r="G23" s="418">
        <v>0</v>
      </c>
      <c r="H23" s="417">
        <v>0</v>
      </c>
      <c r="I23" s="418">
        <v>0</v>
      </c>
      <c r="J23" s="417">
        <v>0</v>
      </c>
      <c r="K23" s="418">
        <v>0</v>
      </c>
      <c r="L23" s="417">
        <v>0</v>
      </c>
      <c r="M23" s="418">
        <v>0</v>
      </c>
      <c r="N23" s="417">
        <v>0</v>
      </c>
      <c r="O23" s="418">
        <v>0</v>
      </c>
      <c r="P23" s="417">
        <v>0</v>
      </c>
      <c r="Q23" s="418">
        <v>0</v>
      </c>
      <c r="R23" s="417">
        <v>0</v>
      </c>
      <c r="S23" s="418">
        <v>0</v>
      </c>
      <c r="T23" s="417">
        <v>0</v>
      </c>
      <c r="U23" s="418">
        <v>0</v>
      </c>
      <c r="V23" s="417">
        <v>0</v>
      </c>
      <c r="W23" s="418">
        <v>0</v>
      </c>
      <c r="X23" s="417">
        <v>0</v>
      </c>
      <c r="Y23" s="418">
        <v>0</v>
      </c>
      <c r="Z23" s="417">
        <v>0</v>
      </c>
      <c r="AA23" s="418">
        <v>0</v>
      </c>
      <c r="AB23" s="417">
        <v>0</v>
      </c>
      <c r="AC23" s="418">
        <v>0</v>
      </c>
      <c r="AD23" s="417">
        <v>0</v>
      </c>
      <c r="AE23" s="418">
        <v>0</v>
      </c>
      <c r="AF23" s="436"/>
      <c r="AG23" s="437"/>
      <c r="AH23" s="436"/>
      <c r="AI23" s="437"/>
      <c r="AJ23" s="436"/>
      <c r="AK23" s="437"/>
      <c r="AL23" s="436"/>
      <c r="AM23" s="536"/>
      <c r="AN23" s="421"/>
      <c r="AO23" s="445">
        <v>0</v>
      </c>
      <c r="AP23" s="399">
        <v>0</v>
      </c>
      <c r="AQ23" s="445">
        <v>0</v>
      </c>
      <c r="AR23" s="399">
        <v>0</v>
      </c>
      <c r="AS23" s="1057" t="str">
        <f t="shared" si="17"/>
        <v/>
      </c>
      <c r="AY23" s="172"/>
      <c r="AZ23" s="607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48">
        <f t="shared" si="9"/>
        <v>0</v>
      </c>
      <c r="CO23" s="1048">
        <f t="shared" si="10"/>
        <v>0</v>
      </c>
      <c r="CP23" s="1048">
        <f t="shared" si="11"/>
        <v>0</v>
      </c>
      <c r="CQ23" s="1048">
        <f t="shared" si="12"/>
        <v>0</v>
      </c>
    </row>
    <row r="24" spans="1:95" ht="15" customHeight="1" x14ac:dyDescent="0.25">
      <c r="A24" s="1861" t="s">
        <v>328</v>
      </c>
      <c r="B24" s="1862"/>
      <c r="C24" s="1148">
        <f t="shared" si="0"/>
        <v>0</v>
      </c>
      <c r="D24" s="397">
        <f>+F24+H24+J24+L24+N24+P24+R24+T24+V24+X24+Z24+AB24+AD24+AF24+AH24+AJ24+AL24</f>
        <v>0</v>
      </c>
      <c r="E24" s="385">
        <f t="shared" ref="E24:E39" si="18">+G24+I24+K24+M24+O24+Q24+S24+U24+W24+Y24+AA24+AC24+AE24+AG24+AI24+AK24+AM24</f>
        <v>0</v>
      </c>
      <c r="F24" s="417">
        <v>0</v>
      </c>
      <c r="G24" s="418">
        <v>0</v>
      </c>
      <c r="H24" s="417">
        <v>0</v>
      </c>
      <c r="I24" s="418">
        <v>0</v>
      </c>
      <c r="J24" s="417">
        <v>0</v>
      </c>
      <c r="K24" s="418">
        <v>0</v>
      </c>
      <c r="L24" s="417">
        <v>0</v>
      </c>
      <c r="M24" s="418">
        <v>0</v>
      </c>
      <c r="N24" s="417">
        <v>0</v>
      </c>
      <c r="O24" s="418">
        <v>0</v>
      </c>
      <c r="P24" s="417">
        <v>0</v>
      </c>
      <c r="Q24" s="418">
        <v>0</v>
      </c>
      <c r="R24" s="417">
        <v>0</v>
      </c>
      <c r="S24" s="418">
        <v>0</v>
      </c>
      <c r="T24" s="417">
        <v>0</v>
      </c>
      <c r="U24" s="418">
        <v>0</v>
      </c>
      <c r="V24" s="417">
        <v>0</v>
      </c>
      <c r="W24" s="418">
        <v>0</v>
      </c>
      <c r="X24" s="417">
        <v>0</v>
      </c>
      <c r="Y24" s="418">
        <v>0</v>
      </c>
      <c r="Z24" s="417">
        <v>0</v>
      </c>
      <c r="AA24" s="418">
        <v>0</v>
      </c>
      <c r="AB24" s="417">
        <v>0</v>
      </c>
      <c r="AC24" s="418">
        <v>0</v>
      </c>
      <c r="AD24" s="417">
        <v>0</v>
      </c>
      <c r="AE24" s="418">
        <v>0</v>
      </c>
      <c r="AF24" s="417">
        <v>0</v>
      </c>
      <c r="AG24" s="418">
        <v>0</v>
      </c>
      <c r="AH24" s="417">
        <v>0</v>
      </c>
      <c r="AI24" s="418">
        <v>0</v>
      </c>
      <c r="AJ24" s="417">
        <v>0</v>
      </c>
      <c r="AK24" s="418">
        <v>0</v>
      </c>
      <c r="AL24" s="417">
        <v>0</v>
      </c>
      <c r="AM24" s="419">
        <v>0</v>
      </c>
      <c r="AN24" s="421"/>
      <c r="AO24" s="445">
        <v>0</v>
      </c>
      <c r="AP24" s="399">
        <v>0</v>
      </c>
      <c r="AQ24" s="445">
        <v>0</v>
      </c>
      <c r="AR24" s="399">
        <v>0</v>
      </c>
      <c r="AS24" s="1057" t="str">
        <f t="shared" si="17"/>
        <v/>
      </c>
      <c r="AY24" s="172"/>
      <c r="AZ24" s="607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48">
        <f t="shared" si="9"/>
        <v>0</v>
      </c>
      <c r="CO24" s="1048">
        <f t="shared" si="10"/>
        <v>0</v>
      </c>
      <c r="CP24" s="1048">
        <f t="shared" si="11"/>
        <v>0</v>
      </c>
      <c r="CQ24" s="1048">
        <f t="shared" si="12"/>
        <v>0</v>
      </c>
    </row>
    <row r="25" spans="1:95" ht="15" customHeight="1" x14ac:dyDescent="0.25">
      <c r="A25" s="1859" t="s">
        <v>426</v>
      </c>
      <c r="B25" s="1860"/>
      <c r="C25" s="1148">
        <f t="shared" ref="C25:C27" si="19">SUM(D25:E25)</f>
        <v>0</v>
      </c>
      <c r="D25" s="397">
        <f t="shared" ref="D25:D27" si="20">+F25+H25+J25+L25+N25+P25+R25+T25+V25+X25+Z25+AB25+AD25+AF25+AH25+AJ25+AL25</f>
        <v>0</v>
      </c>
      <c r="E25" s="385">
        <f t="shared" ref="E25:E27" si="21">+G25+I25+K25+M25+O25+Q25+S25+U25+W25+Y25+AA25+AC25+AE25+AG25+AI25+AK25+AM25</f>
        <v>0</v>
      </c>
      <c r="F25" s="417">
        <v>0</v>
      </c>
      <c r="G25" s="418">
        <v>0</v>
      </c>
      <c r="H25" s="417">
        <v>0</v>
      </c>
      <c r="I25" s="418">
        <v>0</v>
      </c>
      <c r="J25" s="417">
        <v>0</v>
      </c>
      <c r="K25" s="418">
        <v>0</v>
      </c>
      <c r="L25" s="417">
        <v>0</v>
      </c>
      <c r="M25" s="418">
        <v>0</v>
      </c>
      <c r="N25" s="417">
        <v>0</v>
      </c>
      <c r="O25" s="418">
        <v>0</v>
      </c>
      <c r="P25" s="417">
        <v>0</v>
      </c>
      <c r="Q25" s="418">
        <v>0</v>
      </c>
      <c r="R25" s="417">
        <v>0</v>
      </c>
      <c r="S25" s="418">
        <v>0</v>
      </c>
      <c r="T25" s="417">
        <v>0</v>
      </c>
      <c r="U25" s="418">
        <v>0</v>
      </c>
      <c r="V25" s="417">
        <v>0</v>
      </c>
      <c r="W25" s="418">
        <v>0</v>
      </c>
      <c r="X25" s="417">
        <v>0</v>
      </c>
      <c r="Y25" s="418">
        <v>0</v>
      </c>
      <c r="Z25" s="417">
        <v>0</v>
      </c>
      <c r="AA25" s="418">
        <v>0</v>
      </c>
      <c r="AB25" s="417">
        <v>0</v>
      </c>
      <c r="AC25" s="418">
        <v>0</v>
      </c>
      <c r="AD25" s="417">
        <v>0</v>
      </c>
      <c r="AE25" s="418">
        <v>0</v>
      </c>
      <c r="AF25" s="417">
        <v>0</v>
      </c>
      <c r="AG25" s="418">
        <v>0</v>
      </c>
      <c r="AH25" s="417">
        <v>0</v>
      </c>
      <c r="AI25" s="418">
        <v>0</v>
      </c>
      <c r="AJ25" s="417">
        <v>0</v>
      </c>
      <c r="AK25" s="418">
        <v>0</v>
      </c>
      <c r="AL25" s="417">
        <v>0</v>
      </c>
      <c r="AM25" s="419">
        <v>0</v>
      </c>
      <c r="AN25" s="421"/>
      <c r="AO25" s="445">
        <v>0</v>
      </c>
      <c r="AP25" s="399">
        <v>0</v>
      </c>
      <c r="AQ25" s="445">
        <v>0</v>
      </c>
      <c r="AR25" s="399">
        <v>0</v>
      </c>
      <c r="AS25" s="1057" t="str">
        <f t="shared" si="17"/>
        <v/>
      </c>
      <c r="AY25" s="172"/>
      <c r="AZ25" s="607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48">
        <f>IF(AND(D25&gt;0,OR(AO25="")),1,IF(AO25&gt;D25,1,0))</f>
        <v>0</v>
      </c>
      <c r="CO25" s="1048">
        <f>IF(AND(E25&gt;0,OR(AP25="")),1,IF(AP25&gt;E25,1,0))</f>
        <v>0</v>
      </c>
      <c r="CP25" s="1048">
        <f t="shared" si="11"/>
        <v>0</v>
      </c>
      <c r="CQ25" s="1048">
        <f t="shared" si="12"/>
        <v>0</v>
      </c>
    </row>
    <row r="26" spans="1:95" ht="15" customHeight="1" x14ac:dyDescent="0.25">
      <c r="A26" s="1866" t="s">
        <v>427</v>
      </c>
      <c r="B26" s="1867"/>
      <c r="C26" s="848">
        <f t="shared" si="19"/>
        <v>0</v>
      </c>
      <c r="D26" s="534">
        <f t="shared" si="20"/>
        <v>0</v>
      </c>
      <c r="E26" s="437">
        <f t="shared" si="21"/>
        <v>0</v>
      </c>
      <c r="F26" s="546"/>
      <c r="G26" s="547"/>
      <c r="H26" s="546"/>
      <c r="I26" s="547"/>
      <c r="J26" s="546"/>
      <c r="K26" s="547"/>
      <c r="L26" s="546"/>
      <c r="M26" s="547"/>
      <c r="N26" s="546"/>
      <c r="O26" s="547"/>
      <c r="P26" s="546"/>
      <c r="Q26" s="547"/>
      <c r="R26" s="546"/>
      <c r="S26" s="547"/>
      <c r="T26" s="546"/>
      <c r="U26" s="547"/>
      <c r="V26" s="546"/>
      <c r="W26" s="547"/>
      <c r="X26" s="546"/>
      <c r="Y26" s="547"/>
      <c r="Z26" s="546"/>
      <c r="AA26" s="547"/>
      <c r="AB26" s="546"/>
      <c r="AC26" s="547"/>
      <c r="AD26" s="546"/>
      <c r="AE26" s="547"/>
      <c r="AF26" s="546"/>
      <c r="AG26" s="547"/>
      <c r="AH26" s="546"/>
      <c r="AI26" s="547"/>
      <c r="AJ26" s="546"/>
      <c r="AK26" s="547"/>
      <c r="AL26" s="546"/>
      <c r="AM26" s="572"/>
      <c r="AN26" s="421"/>
      <c r="AO26" s="1333"/>
      <c r="AP26" s="437"/>
      <c r="AQ26" s="1333"/>
      <c r="AR26" s="437"/>
      <c r="AS26" s="1057"/>
      <c r="AY26" s="172"/>
      <c r="AZ26" s="607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866" t="s">
        <v>428</v>
      </c>
      <c r="B27" s="1867"/>
      <c r="C27" s="848">
        <f t="shared" si="19"/>
        <v>0</v>
      </c>
      <c r="D27" s="534">
        <f t="shared" si="20"/>
        <v>0</v>
      </c>
      <c r="E27" s="437">
        <f t="shared" si="21"/>
        <v>0</v>
      </c>
      <c r="F27" s="546"/>
      <c r="G27" s="547"/>
      <c r="H27" s="546"/>
      <c r="I27" s="547"/>
      <c r="J27" s="546"/>
      <c r="K27" s="547"/>
      <c r="L27" s="546"/>
      <c r="M27" s="547"/>
      <c r="N27" s="546"/>
      <c r="O27" s="547"/>
      <c r="P27" s="546"/>
      <c r="Q27" s="547"/>
      <c r="R27" s="546"/>
      <c r="S27" s="547"/>
      <c r="T27" s="546"/>
      <c r="U27" s="547"/>
      <c r="V27" s="546"/>
      <c r="W27" s="547"/>
      <c r="X27" s="546"/>
      <c r="Y27" s="547"/>
      <c r="Z27" s="546"/>
      <c r="AA27" s="547"/>
      <c r="AB27" s="546"/>
      <c r="AC27" s="547"/>
      <c r="AD27" s="546"/>
      <c r="AE27" s="547"/>
      <c r="AF27" s="546"/>
      <c r="AG27" s="547"/>
      <c r="AH27" s="546"/>
      <c r="AI27" s="547"/>
      <c r="AJ27" s="546"/>
      <c r="AK27" s="547"/>
      <c r="AL27" s="546"/>
      <c r="AM27" s="572"/>
      <c r="AN27" s="421"/>
      <c r="AO27" s="1333"/>
      <c r="AP27" s="437"/>
      <c r="AQ27" s="1333"/>
      <c r="AR27" s="437"/>
      <c r="AS27" s="1057"/>
      <c r="AY27" s="172"/>
      <c r="AZ27" s="607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868" t="s">
        <v>429</v>
      </c>
      <c r="B28" s="1869"/>
      <c r="C28" s="1148">
        <f t="shared" si="0"/>
        <v>0</v>
      </c>
      <c r="D28" s="397">
        <f t="shared" ref="D28:D39" si="22">+F28+H28+J28+L28+N28+P28+R28+T28+V28+X28+Z28+AB28+AD28+AF28+AH28+AJ28+AL28</f>
        <v>0</v>
      </c>
      <c r="E28" s="385">
        <f t="shared" si="18"/>
        <v>0</v>
      </c>
      <c r="F28" s="417">
        <v>0</v>
      </c>
      <c r="G28" s="418">
        <v>0</v>
      </c>
      <c r="H28" s="417">
        <v>0</v>
      </c>
      <c r="I28" s="418">
        <v>0</v>
      </c>
      <c r="J28" s="417">
        <v>0</v>
      </c>
      <c r="K28" s="418">
        <v>0</v>
      </c>
      <c r="L28" s="417">
        <v>0</v>
      </c>
      <c r="M28" s="418">
        <v>0</v>
      </c>
      <c r="N28" s="417">
        <v>0</v>
      </c>
      <c r="O28" s="418">
        <v>0</v>
      </c>
      <c r="P28" s="417">
        <v>0</v>
      </c>
      <c r="Q28" s="418">
        <v>0</v>
      </c>
      <c r="R28" s="417">
        <v>0</v>
      </c>
      <c r="S28" s="418">
        <v>0</v>
      </c>
      <c r="T28" s="417">
        <v>0</v>
      </c>
      <c r="U28" s="418">
        <v>0</v>
      </c>
      <c r="V28" s="417">
        <v>0</v>
      </c>
      <c r="W28" s="418">
        <v>0</v>
      </c>
      <c r="X28" s="417">
        <v>0</v>
      </c>
      <c r="Y28" s="418">
        <v>0</v>
      </c>
      <c r="Z28" s="417">
        <v>0</v>
      </c>
      <c r="AA28" s="418">
        <v>0</v>
      </c>
      <c r="AB28" s="417">
        <v>0</v>
      </c>
      <c r="AC28" s="418">
        <v>0</v>
      </c>
      <c r="AD28" s="417">
        <v>0</v>
      </c>
      <c r="AE28" s="418">
        <v>0</v>
      </c>
      <c r="AF28" s="417">
        <v>0</v>
      </c>
      <c r="AG28" s="418">
        <v>0</v>
      </c>
      <c r="AH28" s="417">
        <v>0</v>
      </c>
      <c r="AI28" s="418">
        <v>0</v>
      </c>
      <c r="AJ28" s="417">
        <v>0</v>
      </c>
      <c r="AK28" s="418">
        <v>0</v>
      </c>
      <c r="AL28" s="417">
        <v>0</v>
      </c>
      <c r="AM28" s="419">
        <v>0</v>
      </c>
      <c r="AN28" s="421"/>
      <c r="AO28" s="445">
        <v>0</v>
      </c>
      <c r="AP28" s="399">
        <v>0</v>
      </c>
      <c r="AQ28" s="445">
        <v>0</v>
      </c>
      <c r="AR28" s="399">
        <v>0</v>
      </c>
      <c r="AS28" s="1057" t="str">
        <f t="shared" si="17"/>
        <v/>
      </c>
      <c r="AY28" s="172"/>
      <c r="AZ28" s="607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48">
        <f t="shared" si="9"/>
        <v>0</v>
      </c>
      <c r="CO28" s="1048">
        <f t="shared" si="10"/>
        <v>0</v>
      </c>
      <c r="CP28" s="1048">
        <f t="shared" si="11"/>
        <v>0</v>
      </c>
      <c r="CQ28" s="1048">
        <f t="shared" si="12"/>
        <v>0</v>
      </c>
    </row>
    <row r="29" spans="1:95" ht="15" customHeight="1" x14ac:dyDescent="0.25">
      <c r="A29" s="1861" t="s">
        <v>430</v>
      </c>
      <c r="B29" s="1862"/>
      <c r="C29" s="1148">
        <f t="shared" si="0"/>
        <v>0</v>
      </c>
      <c r="D29" s="397">
        <f t="shared" si="22"/>
        <v>0</v>
      </c>
      <c r="E29" s="385">
        <f t="shared" si="18"/>
        <v>0</v>
      </c>
      <c r="F29" s="417">
        <v>0</v>
      </c>
      <c r="G29" s="418">
        <v>0</v>
      </c>
      <c r="H29" s="417">
        <v>0</v>
      </c>
      <c r="I29" s="418">
        <v>0</v>
      </c>
      <c r="J29" s="417">
        <v>0</v>
      </c>
      <c r="K29" s="418">
        <v>0</v>
      </c>
      <c r="L29" s="417">
        <v>0</v>
      </c>
      <c r="M29" s="418">
        <v>0</v>
      </c>
      <c r="N29" s="417">
        <v>0</v>
      </c>
      <c r="O29" s="418">
        <v>0</v>
      </c>
      <c r="P29" s="417">
        <v>0</v>
      </c>
      <c r="Q29" s="418">
        <v>0</v>
      </c>
      <c r="R29" s="417">
        <v>0</v>
      </c>
      <c r="S29" s="418">
        <v>0</v>
      </c>
      <c r="T29" s="417">
        <v>0</v>
      </c>
      <c r="U29" s="418">
        <v>0</v>
      </c>
      <c r="V29" s="417">
        <v>0</v>
      </c>
      <c r="W29" s="418">
        <v>0</v>
      </c>
      <c r="X29" s="417">
        <v>0</v>
      </c>
      <c r="Y29" s="418">
        <v>0</v>
      </c>
      <c r="Z29" s="417">
        <v>0</v>
      </c>
      <c r="AA29" s="418">
        <v>0</v>
      </c>
      <c r="AB29" s="417">
        <v>0</v>
      </c>
      <c r="AC29" s="418">
        <v>0</v>
      </c>
      <c r="AD29" s="417">
        <v>0</v>
      </c>
      <c r="AE29" s="418">
        <v>0</v>
      </c>
      <c r="AF29" s="417">
        <v>0</v>
      </c>
      <c r="AG29" s="418">
        <v>0</v>
      </c>
      <c r="AH29" s="417">
        <v>0</v>
      </c>
      <c r="AI29" s="418">
        <v>0</v>
      </c>
      <c r="AJ29" s="417">
        <v>0</v>
      </c>
      <c r="AK29" s="418">
        <v>0</v>
      </c>
      <c r="AL29" s="417">
        <v>0</v>
      </c>
      <c r="AM29" s="419">
        <v>0</v>
      </c>
      <c r="AN29" s="421"/>
      <c r="AO29" s="445">
        <v>0</v>
      </c>
      <c r="AP29" s="399">
        <v>0</v>
      </c>
      <c r="AQ29" s="445">
        <v>0</v>
      </c>
      <c r="AR29" s="399">
        <v>0</v>
      </c>
      <c r="AS29" s="1057" t="str">
        <f t="shared" si="17"/>
        <v/>
      </c>
      <c r="AY29" s="172"/>
      <c r="AZ29" s="607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48">
        <f t="shared" si="9"/>
        <v>0</v>
      </c>
      <c r="CO29" s="1048">
        <f t="shared" si="10"/>
        <v>0</v>
      </c>
      <c r="CP29" s="1048">
        <f t="shared" si="11"/>
        <v>0</v>
      </c>
      <c r="CQ29" s="1048">
        <f t="shared" si="12"/>
        <v>0</v>
      </c>
    </row>
    <row r="30" spans="1:95" ht="15" customHeight="1" x14ac:dyDescent="0.25">
      <c r="A30" s="1861" t="s">
        <v>431</v>
      </c>
      <c r="B30" s="1862"/>
      <c r="C30" s="1148">
        <f t="shared" si="0"/>
        <v>6</v>
      </c>
      <c r="D30" s="397">
        <f t="shared" si="22"/>
        <v>1</v>
      </c>
      <c r="E30" s="385">
        <f t="shared" si="18"/>
        <v>5</v>
      </c>
      <c r="F30" s="417">
        <v>0</v>
      </c>
      <c r="G30" s="418">
        <v>0</v>
      </c>
      <c r="H30" s="417">
        <v>0</v>
      </c>
      <c r="I30" s="418">
        <v>0</v>
      </c>
      <c r="J30" s="417">
        <v>0</v>
      </c>
      <c r="K30" s="418">
        <v>0</v>
      </c>
      <c r="L30" s="417">
        <v>0</v>
      </c>
      <c r="M30" s="418">
        <v>0</v>
      </c>
      <c r="N30" s="417">
        <v>0</v>
      </c>
      <c r="O30" s="418">
        <v>0</v>
      </c>
      <c r="P30" s="417">
        <v>0</v>
      </c>
      <c r="Q30" s="418">
        <v>0</v>
      </c>
      <c r="R30" s="417">
        <v>0</v>
      </c>
      <c r="S30" s="418">
        <v>0</v>
      </c>
      <c r="T30" s="417">
        <v>0</v>
      </c>
      <c r="U30" s="418">
        <v>0</v>
      </c>
      <c r="V30" s="417">
        <v>0</v>
      </c>
      <c r="W30" s="418">
        <v>0</v>
      </c>
      <c r="X30" s="417">
        <v>0</v>
      </c>
      <c r="Y30" s="418">
        <v>0</v>
      </c>
      <c r="Z30" s="417">
        <v>0</v>
      </c>
      <c r="AA30" s="418">
        <v>0</v>
      </c>
      <c r="AB30" s="417">
        <v>0</v>
      </c>
      <c r="AC30" s="418">
        <v>0</v>
      </c>
      <c r="AD30" s="417">
        <v>0</v>
      </c>
      <c r="AE30" s="418">
        <v>1</v>
      </c>
      <c r="AF30" s="417">
        <v>1</v>
      </c>
      <c r="AG30" s="418">
        <v>1</v>
      </c>
      <c r="AH30" s="417">
        <v>0</v>
      </c>
      <c r="AI30" s="418">
        <v>1</v>
      </c>
      <c r="AJ30" s="417">
        <v>0</v>
      </c>
      <c r="AK30" s="418">
        <v>0</v>
      </c>
      <c r="AL30" s="417">
        <v>0</v>
      </c>
      <c r="AM30" s="419">
        <v>2</v>
      </c>
      <c r="AN30" s="421"/>
      <c r="AO30" s="445">
        <v>1</v>
      </c>
      <c r="AP30" s="399">
        <v>3</v>
      </c>
      <c r="AQ30" s="445">
        <v>0</v>
      </c>
      <c r="AR30" s="399">
        <v>0</v>
      </c>
      <c r="AS30" s="1057" t="str">
        <f t="shared" si="17"/>
        <v/>
      </c>
      <c r="AY30" s="172"/>
      <c r="AZ30" s="607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48">
        <f t="shared" si="9"/>
        <v>0</v>
      </c>
      <c r="CO30" s="1048">
        <f t="shared" si="10"/>
        <v>0</v>
      </c>
      <c r="CP30" s="1048">
        <f t="shared" si="11"/>
        <v>0</v>
      </c>
      <c r="CQ30" s="1048">
        <f t="shared" si="12"/>
        <v>0</v>
      </c>
    </row>
    <row r="31" spans="1:95" ht="15" customHeight="1" x14ac:dyDescent="0.25">
      <c r="A31" s="1859" t="s">
        <v>432</v>
      </c>
      <c r="B31" s="1860"/>
      <c r="C31" s="1148">
        <f t="shared" si="0"/>
        <v>0</v>
      </c>
      <c r="D31" s="397">
        <f t="shared" si="22"/>
        <v>0</v>
      </c>
      <c r="E31" s="385">
        <f t="shared" si="18"/>
        <v>0</v>
      </c>
      <c r="F31" s="417">
        <v>0</v>
      </c>
      <c r="G31" s="418">
        <v>0</v>
      </c>
      <c r="H31" s="417">
        <v>0</v>
      </c>
      <c r="I31" s="418">
        <v>0</v>
      </c>
      <c r="J31" s="417">
        <v>0</v>
      </c>
      <c r="K31" s="418">
        <v>0</v>
      </c>
      <c r="L31" s="417">
        <v>0</v>
      </c>
      <c r="M31" s="418">
        <v>0</v>
      </c>
      <c r="N31" s="417">
        <v>0</v>
      </c>
      <c r="O31" s="418">
        <v>0</v>
      </c>
      <c r="P31" s="417">
        <v>0</v>
      </c>
      <c r="Q31" s="418">
        <v>0</v>
      </c>
      <c r="R31" s="417">
        <v>0</v>
      </c>
      <c r="S31" s="418">
        <v>0</v>
      </c>
      <c r="T31" s="417">
        <v>0</v>
      </c>
      <c r="U31" s="418">
        <v>0</v>
      </c>
      <c r="V31" s="417">
        <v>0</v>
      </c>
      <c r="W31" s="418">
        <v>0</v>
      </c>
      <c r="X31" s="417">
        <v>0</v>
      </c>
      <c r="Y31" s="418">
        <v>0</v>
      </c>
      <c r="Z31" s="417">
        <v>0</v>
      </c>
      <c r="AA31" s="418">
        <v>0</v>
      </c>
      <c r="AB31" s="417">
        <v>0</v>
      </c>
      <c r="AC31" s="418">
        <v>0</v>
      </c>
      <c r="AD31" s="417">
        <v>0</v>
      </c>
      <c r="AE31" s="418">
        <v>0</v>
      </c>
      <c r="AF31" s="417">
        <v>0</v>
      </c>
      <c r="AG31" s="418">
        <v>0</v>
      </c>
      <c r="AH31" s="417">
        <v>0</v>
      </c>
      <c r="AI31" s="418">
        <v>0</v>
      </c>
      <c r="AJ31" s="417">
        <v>0</v>
      </c>
      <c r="AK31" s="418">
        <v>0</v>
      </c>
      <c r="AL31" s="417">
        <v>0</v>
      </c>
      <c r="AM31" s="419">
        <v>0</v>
      </c>
      <c r="AN31" s="421"/>
      <c r="AO31" s="445">
        <v>0</v>
      </c>
      <c r="AP31" s="399">
        <v>0</v>
      </c>
      <c r="AQ31" s="445">
        <v>0</v>
      </c>
      <c r="AR31" s="399">
        <v>0</v>
      </c>
      <c r="AS31" s="1057" t="str">
        <f t="shared" si="17"/>
        <v/>
      </c>
      <c r="AY31" s="172"/>
      <c r="AZ31" s="607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48">
        <f t="shared" si="9"/>
        <v>0</v>
      </c>
      <c r="CO31" s="1048">
        <f t="shared" si="10"/>
        <v>0</v>
      </c>
      <c r="CP31" s="1048">
        <f t="shared" si="11"/>
        <v>0</v>
      </c>
      <c r="CQ31" s="1048">
        <f t="shared" si="12"/>
        <v>0</v>
      </c>
    </row>
    <row r="32" spans="1:95" ht="15" customHeight="1" x14ac:dyDescent="0.25">
      <c r="A32" s="1859" t="s">
        <v>433</v>
      </c>
      <c r="B32" s="1860"/>
      <c r="C32" s="1148">
        <f t="shared" si="0"/>
        <v>18</v>
      </c>
      <c r="D32" s="397">
        <f t="shared" si="22"/>
        <v>9</v>
      </c>
      <c r="E32" s="385">
        <f t="shared" si="18"/>
        <v>9</v>
      </c>
      <c r="F32" s="417">
        <v>0</v>
      </c>
      <c r="G32" s="418">
        <v>0</v>
      </c>
      <c r="H32" s="417">
        <v>0</v>
      </c>
      <c r="I32" s="418">
        <v>0</v>
      </c>
      <c r="J32" s="417">
        <v>0</v>
      </c>
      <c r="K32" s="418">
        <v>0</v>
      </c>
      <c r="L32" s="417">
        <v>0</v>
      </c>
      <c r="M32" s="418">
        <v>0</v>
      </c>
      <c r="N32" s="417">
        <v>0</v>
      </c>
      <c r="O32" s="418">
        <v>0</v>
      </c>
      <c r="P32" s="417">
        <v>0</v>
      </c>
      <c r="Q32" s="418">
        <v>0</v>
      </c>
      <c r="R32" s="417">
        <v>0</v>
      </c>
      <c r="S32" s="418">
        <v>0</v>
      </c>
      <c r="T32" s="417">
        <v>0</v>
      </c>
      <c r="U32" s="418">
        <v>0</v>
      </c>
      <c r="V32" s="417">
        <v>0</v>
      </c>
      <c r="W32" s="418">
        <v>0</v>
      </c>
      <c r="X32" s="417">
        <v>0</v>
      </c>
      <c r="Y32" s="418">
        <v>1</v>
      </c>
      <c r="Z32" s="417">
        <v>0</v>
      </c>
      <c r="AA32" s="418">
        <v>1</v>
      </c>
      <c r="AB32" s="417">
        <v>0</v>
      </c>
      <c r="AC32" s="418">
        <v>1</v>
      </c>
      <c r="AD32" s="417">
        <v>1</v>
      </c>
      <c r="AE32" s="418">
        <v>1</v>
      </c>
      <c r="AF32" s="417">
        <v>0</v>
      </c>
      <c r="AG32" s="418">
        <v>2</v>
      </c>
      <c r="AH32" s="417">
        <v>2</v>
      </c>
      <c r="AI32" s="418">
        <v>1</v>
      </c>
      <c r="AJ32" s="417">
        <v>3</v>
      </c>
      <c r="AK32" s="418">
        <v>2</v>
      </c>
      <c r="AL32" s="417">
        <v>3</v>
      </c>
      <c r="AM32" s="419">
        <v>0</v>
      </c>
      <c r="AN32" s="421"/>
      <c r="AO32" s="445">
        <v>7</v>
      </c>
      <c r="AP32" s="399">
        <v>8</v>
      </c>
      <c r="AQ32" s="445">
        <v>0</v>
      </c>
      <c r="AR32" s="399">
        <v>0</v>
      </c>
      <c r="AS32" s="1057" t="str">
        <f t="shared" si="17"/>
        <v/>
      </c>
      <c r="AY32" s="172"/>
      <c r="AZ32" s="607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48">
        <f t="shared" si="9"/>
        <v>0</v>
      </c>
      <c r="CO32" s="1048">
        <f t="shared" si="10"/>
        <v>0</v>
      </c>
      <c r="CP32" s="1048">
        <f t="shared" si="11"/>
        <v>0</v>
      </c>
      <c r="CQ32" s="1048">
        <f t="shared" si="12"/>
        <v>0</v>
      </c>
    </row>
    <row r="33" spans="1:97" ht="15" customHeight="1" x14ac:dyDescent="0.25">
      <c r="A33" s="1861" t="s">
        <v>434</v>
      </c>
      <c r="B33" s="1862"/>
      <c r="C33" s="1143">
        <f t="shared" si="0"/>
        <v>0</v>
      </c>
      <c r="D33" s="387">
        <f t="shared" si="22"/>
        <v>0</v>
      </c>
      <c r="E33" s="388">
        <f t="shared" si="18"/>
        <v>0</v>
      </c>
      <c r="F33" s="417">
        <v>0</v>
      </c>
      <c r="G33" s="418">
        <v>0</v>
      </c>
      <c r="H33" s="417">
        <v>0</v>
      </c>
      <c r="I33" s="418">
        <v>0</v>
      </c>
      <c r="J33" s="417">
        <v>0</v>
      </c>
      <c r="K33" s="418">
        <v>0</v>
      </c>
      <c r="L33" s="417">
        <v>0</v>
      </c>
      <c r="M33" s="418">
        <v>0</v>
      </c>
      <c r="N33" s="417">
        <v>0</v>
      </c>
      <c r="O33" s="418">
        <v>0</v>
      </c>
      <c r="P33" s="417">
        <v>0</v>
      </c>
      <c r="Q33" s="418">
        <v>0</v>
      </c>
      <c r="R33" s="417">
        <v>0</v>
      </c>
      <c r="S33" s="418">
        <v>0</v>
      </c>
      <c r="T33" s="417">
        <v>0</v>
      </c>
      <c r="U33" s="418">
        <v>0</v>
      </c>
      <c r="V33" s="417">
        <v>0</v>
      </c>
      <c r="W33" s="418">
        <v>0</v>
      </c>
      <c r="X33" s="417">
        <v>0</v>
      </c>
      <c r="Y33" s="418">
        <v>0</v>
      </c>
      <c r="Z33" s="417">
        <v>0</v>
      </c>
      <c r="AA33" s="418">
        <v>0</v>
      </c>
      <c r="AB33" s="417">
        <v>0</v>
      </c>
      <c r="AC33" s="418">
        <v>0</v>
      </c>
      <c r="AD33" s="417">
        <v>0</v>
      </c>
      <c r="AE33" s="418">
        <v>0</v>
      </c>
      <c r="AF33" s="417">
        <v>0</v>
      </c>
      <c r="AG33" s="418">
        <v>0</v>
      </c>
      <c r="AH33" s="417">
        <v>0</v>
      </c>
      <c r="AI33" s="418">
        <v>0</v>
      </c>
      <c r="AJ33" s="417">
        <v>0</v>
      </c>
      <c r="AK33" s="418">
        <v>0</v>
      </c>
      <c r="AL33" s="417">
        <v>0</v>
      </c>
      <c r="AM33" s="419">
        <v>0</v>
      </c>
      <c r="AN33" s="420"/>
      <c r="AO33" s="455">
        <v>0</v>
      </c>
      <c r="AP33" s="418">
        <v>0</v>
      </c>
      <c r="AQ33" s="455">
        <v>0</v>
      </c>
      <c r="AR33" s="418">
        <v>0</v>
      </c>
      <c r="AS33" s="1057" t="str">
        <f t="shared" si="17"/>
        <v/>
      </c>
      <c r="AY33" s="172"/>
      <c r="AZ33" s="607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48">
        <f t="shared" si="9"/>
        <v>0</v>
      </c>
      <c r="CO33" s="1048">
        <f t="shared" si="10"/>
        <v>0</v>
      </c>
      <c r="CP33" s="1048">
        <f t="shared" si="11"/>
        <v>0</v>
      </c>
      <c r="CQ33" s="1048">
        <f t="shared" si="12"/>
        <v>0</v>
      </c>
    </row>
    <row r="34" spans="1:97" ht="15" customHeight="1" x14ac:dyDescent="0.25">
      <c r="A34" s="1908" t="s">
        <v>435</v>
      </c>
      <c r="B34" s="1909"/>
      <c r="C34" s="1144">
        <f t="shared" si="0"/>
        <v>0</v>
      </c>
      <c r="D34" s="391">
        <f t="shared" si="22"/>
        <v>0</v>
      </c>
      <c r="E34" s="386">
        <f t="shared" si="18"/>
        <v>0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0</v>
      </c>
      <c r="M34" s="404">
        <v>0</v>
      </c>
      <c r="N34" s="403">
        <v>0</v>
      </c>
      <c r="O34" s="404">
        <v>0</v>
      </c>
      <c r="P34" s="403">
        <v>0</v>
      </c>
      <c r="Q34" s="404">
        <v>0</v>
      </c>
      <c r="R34" s="403">
        <v>0</v>
      </c>
      <c r="S34" s="404">
        <v>0</v>
      </c>
      <c r="T34" s="403">
        <v>0</v>
      </c>
      <c r="U34" s="404">
        <v>0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739"/>
      <c r="AO34" s="416">
        <v>0</v>
      </c>
      <c r="AP34" s="404">
        <v>0</v>
      </c>
      <c r="AQ34" s="416">
        <v>0</v>
      </c>
      <c r="AR34" s="404">
        <v>0</v>
      </c>
      <c r="AS34" s="1057" t="str">
        <f t="shared" si="17"/>
        <v/>
      </c>
      <c r="AY34" s="172"/>
      <c r="AZ34" s="607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48">
        <f t="shared" si="9"/>
        <v>0</v>
      </c>
      <c r="CO34" s="1048">
        <f t="shared" si="10"/>
        <v>0</v>
      </c>
      <c r="CP34" s="1048">
        <f t="shared" si="11"/>
        <v>0</v>
      </c>
      <c r="CQ34" s="1048">
        <f t="shared" si="12"/>
        <v>0</v>
      </c>
    </row>
    <row r="35" spans="1:97" ht="15" customHeight="1" x14ac:dyDescent="0.25">
      <c r="A35" s="1906" t="s">
        <v>436</v>
      </c>
      <c r="B35" s="738" t="s">
        <v>437</v>
      </c>
      <c r="C35" s="1143">
        <f t="shared" si="0"/>
        <v>0</v>
      </c>
      <c r="D35" s="387">
        <f t="shared" si="22"/>
        <v>0</v>
      </c>
      <c r="E35" s="388">
        <f t="shared" si="18"/>
        <v>0</v>
      </c>
      <c r="F35" s="417">
        <v>0</v>
      </c>
      <c r="G35" s="418">
        <v>0</v>
      </c>
      <c r="H35" s="417">
        <v>0</v>
      </c>
      <c r="I35" s="418">
        <v>0</v>
      </c>
      <c r="J35" s="417">
        <v>0</v>
      </c>
      <c r="K35" s="418">
        <v>0</v>
      </c>
      <c r="L35" s="417">
        <v>0</v>
      </c>
      <c r="M35" s="418">
        <v>0</v>
      </c>
      <c r="N35" s="417">
        <v>0</v>
      </c>
      <c r="O35" s="418">
        <v>0</v>
      </c>
      <c r="P35" s="417">
        <v>0</v>
      </c>
      <c r="Q35" s="418">
        <v>0</v>
      </c>
      <c r="R35" s="417">
        <v>0</v>
      </c>
      <c r="S35" s="418">
        <v>0</v>
      </c>
      <c r="T35" s="417">
        <v>0</v>
      </c>
      <c r="U35" s="418">
        <v>0</v>
      </c>
      <c r="V35" s="417">
        <v>0</v>
      </c>
      <c r="W35" s="418">
        <v>0</v>
      </c>
      <c r="X35" s="417">
        <v>0</v>
      </c>
      <c r="Y35" s="418">
        <v>0</v>
      </c>
      <c r="Z35" s="417">
        <v>0</v>
      </c>
      <c r="AA35" s="418">
        <v>0</v>
      </c>
      <c r="AB35" s="417">
        <v>0</v>
      </c>
      <c r="AC35" s="418">
        <v>0</v>
      </c>
      <c r="AD35" s="417">
        <v>0</v>
      </c>
      <c r="AE35" s="418">
        <v>0</v>
      </c>
      <c r="AF35" s="417">
        <v>0</v>
      </c>
      <c r="AG35" s="418">
        <v>0</v>
      </c>
      <c r="AH35" s="417">
        <v>0</v>
      </c>
      <c r="AI35" s="418">
        <v>0</v>
      </c>
      <c r="AJ35" s="417">
        <v>0</v>
      </c>
      <c r="AK35" s="418">
        <v>0</v>
      </c>
      <c r="AL35" s="417">
        <v>0</v>
      </c>
      <c r="AM35" s="419">
        <v>0</v>
      </c>
      <c r="AN35" s="420"/>
      <c r="AO35" s="455">
        <v>0</v>
      </c>
      <c r="AP35" s="418">
        <v>0</v>
      </c>
      <c r="AQ35" s="455">
        <v>0</v>
      </c>
      <c r="AR35" s="418">
        <v>0</v>
      </c>
      <c r="AS35" s="1057" t="str">
        <f t="shared" si="17"/>
        <v/>
      </c>
      <c r="AY35" s="172"/>
      <c r="AZ35" s="607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48">
        <f t="shared" si="9"/>
        <v>0</v>
      </c>
      <c r="CO35" s="1048">
        <f t="shared" si="10"/>
        <v>0</v>
      </c>
      <c r="CP35" s="1048">
        <f t="shared" si="11"/>
        <v>0</v>
      </c>
      <c r="CQ35" s="1048">
        <f t="shared" si="12"/>
        <v>0</v>
      </c>
    </row>
    <row r="36" spans="1:97" ht="15" customHeight="1" x14ac:dyDescent="0.25">
      <c r="A36" s="1906"/>
      <c r="B36" s="91" t="s">
        <v>438</v>
      </c>
      <c r="C36" s="1148">
        <f>SUM(D36:E36)</f>
        <v>0</v>
      </c>
      <c r="D36" s="397">
        <f t="shared" si="22"/>
        <v>0</v>
      </c>
      <c r="E36" s="385">
        <f t="shared" si="18"/>
        <v>0</v>
      </c>
      <c r="F36" s="417">
        <v>0</v>
      </c>
      <c r="G36" s="418">
        <v>0</v>
      </c>
      <c r="H36" s="417">
        <v>0</v>
      </c>
      <c r="I36" s="418">
        <v>0</v>
      </c>
      <c r="J36" s="417">
        <v>0</v>
      </c>
      <c r="K36" s="418">
        <v>0</v>
      </c>
      <c r="L36" s="417">
        <v>0</v>
      </c>
      <c r="M36" s="418">
        <v>0</v>
      </c>
      <c r="N36" s="417">
        <v>0</v>
      </c>
      <c r="O36" s="418">
        <v>0</v>
      </c>
      <c r="P36" s="417">
        <v>0</v>
      </c>
      <c r="Q36" s="418">
        <v>0</v>
      </c>
      <c r="R36" s="417">
        <v>0</v>
      </c>
      <c r="S36" s="418">
        <v>0</v>
      </c>
      <c r="T36" s="417">
        <v>0</v>
      </c>
      <c r="U36" s="418">
        <v>0</v>
      </c>
      <c r="V36" s="417">
        <v>0</v>
      </c>
      <c r="W36" s="418">
        <v>0</v>
      </c>
      <c r="X36" s="417">
        <v>0</v>
      </c>
      <c r="Y36" s="418">
        <v>0</v>
      </c>
      <c r="Z36" s="417">
        <v>0</v>
      </c>
      <c r="AA36" s="418">
        <v>0</v>
      </c>
      <c r="AB36" s="417">
        <v>0</v>
      </c>
      <c r="AC36" s="418">
        <v>0</v>
      </c>
      <c r="AD36" s="417">
        <v>0</v>
      </c>
      <c r="AE36" s="418">
        <v>0</v>
      </c>
      <c r="AF36" s="417">
        <v>0</v>
      </c>
      <c r="AG36" s="418">
        <v>0</v>
      </c>
      <c r="AH36" s="417">
        <v>0</v>
      </c>
      <c r="AI36" s="418">
        <v>0</v>
      </c>
      <c r="AJ36" s="417">
        <v>0</v>
      </c>
      <c r="AK36" s="418">
        <v>0</v>
      </c>
      <c r="AL36" s="417">
        <v>0</v>
      </c>
      <c r="AM36" s="419">
        <v>0</v>
      </c>
      <c r="AN36" s="421"/>
      <c r="AO36" s="445">
        <v>0</v>
      </c>
      <c r="AP36" s="399">
        <v>0</v>
      </c>
      <c r="AQ36" s="445">
        <v>0</v>
      </c>
      <c r="AR36" s="399">
        <v>0</v>
      </c>
      <c r="AS36" s="1057" t="str">
        <f t="shared" si="17"/>
        <v/>
      </c>
      <c r="AY36" s="172"/>
      <c r="AZ36" s="607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48">
        <f t="shared" si="9"/>
        <v>0</v>
      </c>
      <c r="CO36" s="1048">
        <f t="shared" si="10"/>
        <v>0</v>
      </c>
      <c r="CP36" s="1048">
        <f t="shared" si="11"/>
        <v>0</v>
      </c>
      <c r="CQ36" s="1048">
        <f t="shared" si="12"/>
        <v>0</v>
      </c>
    </row>
    <row r="37" spans="1:97" ht="15" customHeight="1" thickBot="1" x14ac:dyDescent="0.3">
      <c r="A37" s="1907"/>
      <c r="B37" s="1096" t="s">
        <v>439</v>
      </c>
      <c r="C37" s="1148">
        <f>SUM(D37:E37)</f>
        <v>0</v>
      </c>
      <c r="D37" s="422">
        <f>+F37+H37+J37+L37+N37+P37+R37+T37+V37+X37+Z37+AB37+AD37+AF37+AH37+AJ37+AL37</f>
        <v>0</v>
      </c>
      <c r="E37" s="423">
        <f>+G37+I37+K37+M37+O37+Q37+S37+U37+W37+Y37+AA37+AC37+AE37+AG37+AI37+AK37+AM37</f>
        <v>0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0</v>
      </c>
      <c r="U37" s="418">
        <v>0</v>
      </c>
      <c r="V37" s="417">
        <v>0</v>
      </c>
      <c r="W37" s="418">
        <v>0</v>
      </c>
      <c r="X37" s="417">
        <v>0</v>
      </c>
      <c r="Y37" s="418">
        <v>0</v>
      </c>
      <c r="Z37" s="417">
        <v>0</v>
      </c>
      <c r="AA37" s="418">
        <v>0</v>
      </c>
      <c r="AB37" s="417">
        <v>0</v>
      </c>
      <c r="AC37" s="418">
        <v>0</v>
      </c>
      <c r="AD37" s="417">
        <v>0</v>
      </c>
      <c r="AE37" s="418">
        <v>0</v>
      </c>
      <c r="AF37" s="417">
        <v>0</v>
      </c>
      <c r="AG37" s="418">
        <v>0</v>
      </c>
      <c r="AH37" s="417">
        <v>0</v>
      </c>
      <c r="AI37" s="418">
        <v>0</v>
      </c>
      <c r="AJ37" s="417">
        <v>0</v>
      </c>
      <c r="AK37" s="418">
        <v>0</v>
      </c>
      <c r="AL37" s="417">
        <v>0</v>
      </c>
      <c r="AM37" s="419">
        <v>0</v>
      </c>
      <c r="AN37" s="424"/>
      <c r="AO37" s="449">
        <v>0</v>
      </c>
      <c r="AP37" s="409">
        <v>0</v>
      </c>
      <c r="AQ37" s="449">
        <v>0</v>
      </c>
      <c r="AR37" s="409">
        <v>0</v>
      </c>
      <c r="AS37" s="1057" t="str">
        <f>$CB37&amp;$CC37&amp;$CD37&amp;$CE37&amp;CF37</f>
        <v/>
      </c>
      <c r="AY37" s="172"/>
      <c r="AZ37" s="607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48">
        <f t="shared" si="9"/>
        <v>0</v>
      </c>
      <c r="CO37" s="1048">
        <f t="shared" si="10"/>
        <v>0</v>
      </c>
      <c r="CP37" s="1048">
        <f t="shared" si="11"/>
        <v>0</v>
      </c>
      <c r="CQ37" s="1048">
        <f t="shared" si="12"/>
        <v>0</v>
      </c>
      <c r="CR37" s="1048">
        <f>IF($C37&lt;=$C35+$C36,0,1)</f>
        <v>0</v>
      </c>
    </row>
    <row r="38" spans="1:97" ht="15" customHeight="1" thickTop="1" x14ac:dyDescent="0.25">
      <c r="A38" s="1856" t="s">
        <v>440</v>
      </c>
      <c r="B38" s="588" t="s">
        <v>441</v>
      </c>
      <c r="C38" s="1168">
        <f>SUM(D38:E38)</f>
        <v>0</v>
      </c>
      <c r="D38" s="425">
        <f>+F38+H38+J38+L38+N38+P38+R38+T38+V38+X38+Z38+AB38+AD38+AF38+AH38+AJ38+AL38</f>
        <v>0</v>
      </c>
      <c r="E38" s="426">
        <f>+G38+I38+K38+M38+O38+Q38+S38+U38+W38+Y38+AA38+AC38+AE38+AG38+AI38+AK38+AM38</f>
        <v>0</v>
      </c>
      <c r="F38" s="427">
        <v>0</v>
      </c>
      <c r="G38" s="428">
        <v>0</v>
      </c>
      <c r="H38" s="427">
        <v>0</v>
      </c>
      <c r="I38" s="428">
        <v>0</v>
      </c>
      <c r="J38" s="427">
        <v>0</v>
      </c>
      <c r="K38" s="428">
        <v>0</v>
      </c>
      <c r="L38" s="427">
        <v>0</v>
      </c>
      <c r="M38" s="428">
        <v>0</v>
      </c>
      <c r="N38" s="427">
        <v>0</v>
      </c>
      <c r="O38" s="428">
        <v>0</v>
      </c>
      <c r="P38" s="427">
        <v>0</v>
      </c>
      <c r="Q38" s="428">
        <v>0</v>
      </c>
      <c r="R38" s="427">
        <v>0</v>
      </c>
      <c r="S38" s="428">
        <v>0</v>
      </c>
      <c r="T38" s="427">
        <v>0</v>
      </c>
      <c r="U38" s="428">
        <v>0</v>
      </c>
      <c r="V38" s="427">
        <v>0</v>
      </c>
      <c r="W38" s="428">
        <v>0</v>
      </c>
      <c r="X38" s="427">
        <v>0</v>
      </c>
      <c r="Y38" s="428">
        <v>0</v>
      </c>
      <c r="Z38" s="427">
        <v>0</v>
      </c>
      <c r="AA38" s="428">
        <v>0</v>
      </c>
      <c r="AB38" s="427">
        <v>0</v>
      </c>
      <c r="AC38" s="428">
        <v>0</v>
      </c>
      <c r="AD38" s="427">
        <v>0</v>
      </c>
      <c r="AE38" s="428">
        <v>0</v>
      </c>
      <c r="AF38" s="427">
        <v>0</v>
      </c>
      <c r="AG38" s="428">
        <v>0</v>
      </c>
      <c r="AH38" s="427">
        <v>0</v>
      </c>
      <c r="AI38" s="428">
        <v>0</v>
      </c>
      <c r="AJ38" s="427">
        <v>0</v>
      </c>
      <c r="AK38" s="428">
        <v>0</v>
      </c>
      <c r="AL38" s="427">
        <v>0</v>
      </c>
      <c r="AM38" s="429">
        <v>0</v>
      </c>
      <c r="AN38" s="430"/>
      <c r="AO38" s="576">
        <v>0</v>
      </c>
      <c r="AP38" s="428">
        <v>0</v>
      </c>
      <c r="AQ38" s="576">
        <v>0</v>
      </c>
      <c r="AR38" s="428">
        <v>0</v>
      </c>
      <c r="AS38" s="1057" t="str">
        <f>$CB38&amp;$CC38&amp;$CD38&amp;$CE38&amp;$CF38&amp;$CG38</f>
        <v/>
      </c>
      <c r="AY38" s="172"/>
      <c r="AZ38" s="607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Dependencia Severa / oncológicos + no Oncológicos. ")</f>
        <v/>
      </c>
      <c r="CN38" s="1048">
        <f t="shared" si="9"/>
        <v>0</v>
      </c>
      <c r="CO38" s="1048">
        <f t="shared" si="10"/>
        <v>0</v>
      </c>
      <c r="CP38" s="1048">
        <f t="shared" si="11"/>
        <v>0</v>
      </c>
      <c r="CQ38" s="1048">
        <f t="shared" si="12"/>
        <v>0</v>
      </c>
      <c r="CR38" s="1048">
        <f>IF($C38&lt;=$C35+$C36,0,1)</f>
        <v>0</v>
      </c>
    </row>
    <row r="39" spans="1:97" ht="15" customHeight="1" x14ac:dyDescent="0.25">
      <c r="A39" s="1857"/>
      <c r="B39" s="738" t="s">
        <v>437</v>
      </c>
      <c r="C39" s="1148">
        <f t="shared" si="0"/>
        <v>0</v>
      </c>
      <c r="D39" s="397">
        <f t="shared" si="22"/>
        <v>0</v>
      </c>
      <c r="E39" s="385">
        <f t="shared" si="18"/>
        <v>0</v>
      </c>
      <c r="F39" s="398">
        <v>0</v>
      </c>
      <c r="G39" s="399">
        <v>0</v>
      </c>
      <c r="H39" s="398">
        <v>0</v>
      </c>
      <c r="I39" s="399">
        <v>0</v>
      </c>
      <c r="J39" s="398">
        <v>0</v>
      </c>
      <c r="K39" s="399">
        <v>0</v>
      </c>
      <c r="L39" s="398">
        <v>0</v>
      </c>
      <c r="M39" s="399">
        <v>0</v>
      </c>
      <c r="N39" s="398">
        <v>0</v>
      </c>
      <c r="O39" s="399">
        <v>0</v>
      </c>
      <c r="P39" s="398">
        <v>0</v>
      </c>
      <c r="Q39" s="399">
        <v>0</v>
      </c>
      <c r="R39" s="398">
        <v>0</v>
      </c>
      <c r="S39" s="399">
        <v>0</v>
      </c>
      <c r="T39" s="398">
        <v>0</v>
      </c>
      <c r="U39" s="399">
        <v>0</v>
      </c>
      <c r="V39" s="398">
        <v>0</v>
      </c>
      <c r="W39" s="399">
        <v>0</v>
      </c>
      <c r="X39" s="398">
        <v>0</v>
      </c>
      <c r="Y39" s="399">
        <v>0</v>
      </c>
      <c r="Z39" s="398">
        <v>0</v>
      </c>
      <c r="AA39" s="399">
        <v>0</v>
      </c>
      <c r="AB39" s="398">
        <v>0</v>
      </c>
      <c r="AC39" s="399">
        <v>0</v>
      </c>
      <c r="AD39" s="398">
        <v>0</v>
      </c>
      <c r="AE39" s="399">
        <v>0</v>
      </c>
      <c r="AF39" s="398">
        <v>0</v>
      </c>
      <c r="AG39" s="399">
        <v>0</v>
      </c>
      <c r="AH39" s="398">
        <v>0</v>
      </c>
      <c r="AI39" s="399">
        <v>0</v>
      </c>
      <c r="AJ39" s="398">
        <v>0</v>
      </c>
      <c r="AK39" s="399">
        <v>0</v>
      </c>
      <c r="AL39" s="398">
        <v>0</v>
      </c>
      <c r="AM39" s="407">
        <v>0</v>
      </c>
      <c r="AN39" s="421"/>
      <c r="AO39" s="445">
        <v>0</v>
      </c>
      <c r="AP39" s="399">
        <v>0</v>
      </c>
      <c r="AQ39" s="445">
        <v>0</v>
      </c>
      <c r="AR39" s="399">
        <v>0</v>
      </c>
      <c r="AS39" s="1057" t="str">
        <f>$CB39&amp;$CC39&amp;$CD39&amp;$CE39&amp;$CF39&amp;$CG39</f>
        <v/>
      </c>
      <c r="AY39" s="172"/>
      <c r="AZ39" s="607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las personas con Dependencia Severa / Oncológica. ")</f>
        <v/>
      </c>
      <c r="CN39" s="1048">
        <f t="shared" si="9"/>
        <v>0</v>
      </c>
      <c r="CO39" s="1048">
        <f t="shared" si="10"/>
        <v>0</v>
      </c>
      <c r="CP39" s="1048">
        <f t="shared" si="11"/>
        <v>0</v>
      </c>
      <c r="CQ39" s="1048">
        <f t="shared" si="12"/>
        <v>0</v>
      </c>
      <c r="CR39" s="1048">
        <f>IF($C39&lt;=$C$38,0,1)</f>
        <v>0</v>
      </c>
      <c r="CS39" s="1048">
        <f>IF($C39&lt;=$C35,0,1)</f>
        <v>0</v>
      </c>
    </row>
    <row r="40" spans="1:97" ht="15" customHeight="1" x14ac:dyDescent="0.25">
      <c r="A40" s="1857"/>
      <c r="B40" s="91" t="s">
        <v>438</v>
      </c>
      <c r="C40" s="1148">
        <f t="shared" ref="C40:C42" si="23">SUM(D40:E40)</f>
        <v>0</v>
      </c>
      <c r="D40" s="397">
        <f t="shared" ref="D40:D43" si="24">+F40+H40+J40+L40+N40+P40+R40+T40+V40+X40+Z40+AB40+AD40+AF40+AH40+AJ40+AL40</f>
        <v>0</v>
      </c>
      <c r="E40" s="385">
        <f t="shared" ref="E40:E43" si="25">+G40+I40+K40+M40+O40+Q40+S40+U40+W40+Y40+AA40+AC40+AE40+AG40+AI40+AK40+AM40</f>
        <v>0</v>
      </c>
      <c r="F40" s="398">
        <v>0</v>
      </c>
      <c r="G40" s="399">
        <v>0</v>
      </c>
      <c r="H40" s="398">
        <v>0</v>
      </c>
      <c r="I40" s="399">
        <v>0</v>
      </c>
      <c r="J40" s="398">
        <v>0</v>
      </c>
      <c r="K40" s="399">
        <v>0</v>
      </c>
      <c r="L40" s="398">
        <v>0</v>
      </c>
      <c r="M40" s="399">
        <v>0</v>
      </c>
      <c r="N40" s="398">
        <v>0</v>
      </c>
      <c r="O40" s="399">
        <v>0</v>
      </c>
      <c r="P40" s="398">
        <v>0</v>
      </c>
      <c r="Q40" s="399">
        <v>0</v>
      </c>
      <c r="R40" s="398">
        <v>0</v>
      </c>
      <c r="S40" s="399">
        <v>0</v>
      </c>
      <c r="T40" s="398">
        <v>0</v>
      </c>
      <c r="U40" s="399">
        <v>0</v>
      </c>
      <c r="V40" s="398">
        <v>0</v>
      </c>
      <c r="W40" s="399">
        <v>0</v>
      </c>
      <c r="X40" s="398">
        <v>0</v>
      </c>
      <c r="Y40" s="399">
        <v>0</v>
      </c>
      <c r="Z40" s="398">
        <v>0</v>
      </c>
      <c r="AA40" s="399">
        <v>0</v>
      </c>
      <c r="AB40" s="398">
        <v>0</v>
      </c>
      <c r="AC40" s="399">
        <v>0</v>
      </c>
      <c r="AD40" s="398">
        <v>0</v>
      </c>
      <c r="AE40" s="399">
        <v>0</v>
      </c>
      <c r="AF40" s="398">
        <v>0</v>
      </c>
      <c r="AG40" s="399">
        <v>0</v>
      </c>
      <c r="AH40" s="398">
        <v>0</v>
      </c>
      <c r="AI40" s="399">
        <v>0</v>
      </c>
      <c r="AJ40" s="398">
        <v>0</v>
      </c>
      <c r="AK40" s="399">
        <v>0</v>
      </c>
      <c r="AL40" s="398">
        <v>0</v>
      </c>
      <c r="AM40" s="407">
        <v>0</v>
      </c>
      <c r="AN40" s="421"/>
      <c r="AO40" s="445">
        <v>0</v>
      </c>
      <c r="AP40" s="399">
        <v>0</v>
      </c>
      <c r="AQ40" s="445">
        <v>0</v>
      </c>
      <c r="AR40" s="399">
        <v>0</v>
      </c>
      <c r="AS40" s="1057" t="str">
        <f t="shared" ref="AS40" si="26">$CB40&amp;$CC40&amp;$CD40&amp;$CE40&amp;$CF40&amp;$CG40</f>
        <v/>
      </c>
      <c r="AY40" s="172"/>
      <c r="AZ40" s="607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las personas con Dependencia Severa / No Oncológica. ")</f>
        <v/>
      </c>
      <c r="CN40" s="1048">
        <f t="shared" si="9"/>
        <v>0</v>
      </c>
      <c r="CO40" s="1048">
        <f t="shared" si="10"/>
        <v>0</v>
      </c>
      <c r="CP40" s="1048">
        <f t="shared" si="11"/>
        <v>0</v>
      </c>
      <c r="CQ40" s="1048">
        <f t="shared" si="12"/>
        <v>0</v>
      </c>
      <c r="CR40" s="1048">
        <f>IF($C40&lt;=$C$38,0,1)</f>
        <v>0</v>
      </c>
      <c r="CS40" s="1048">
        <f>IF($C40&lt;=$C36,0,1)</f>
        <v>0</v>
      </c>
    </row>
    <row r="41" spans="1:97" ht="15" customHeight="1" x14ac:dyDescent="0.25">
      <c r="A41" s="1857"/>
      <c r="B41" s="91" t="s">
        <v>442</v>
      </c>
      <c r="C41" s="1148">
        <f t="shared" si="23"/>
        <v>0</v>
      </c>
      <c r="D41" s="397">
        <f t="shared" si="24"/>
        <v>0</v>
      </c>
      <c r="E41" s="385">
        <f t="shared" si="25"/>
        <v>0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399">
        <v>0</v>
      </c>
      <c r="P41" s="398">
        <v>0</v>
      </c>
      <c r="Q41" s="399">
        <v>0</v>
      </c>
      <c r="R41" s="398">
        <v>0</v>
      </c>
      <c r="S41" s="399">
        <v>0</v>
      </c>
      <c r="T41" s="398">
        <v>0</v>
      </c>
      <c r="U41" s="399">
        <v>0</v>
      </c>
      <c r="V41" s="398">
        <v>0</v>
      </c>
      <c r="W41" s="399">
        <v>0</v>
      </c>
      <c r="X41" s="398">
        <v>0</v>
      </c>
      <c r="Y41" s="399">
        <v>0</v>
      </c>
      <c r="Z41" s="398">
        <v>0</v>
      </c>
      <c r="AA41" s="399">
        <v>0</v>
      </c>
      <c r="AB41" s="398">
        <v>0</v>
      </c>
      <c r="AC41" s="399">
        <v>0</v>
      </c>
      <c r="AD41" s="398">
        <v>0</v>
      </c>
      <c r="AE41" s="399">
        <v>0</v>
      </c>
      <c r="AF41" s="398">
        <v>0</v>
      </c>
      <c r="AG41" s="399">
        <v>0</v>
      </c>
      <c r="AH41" s="398">
        <v>0</v>
      </c>
      <c r="AI41" s="399">
        <v>0</v>
      </c>
      <c r="AJ41" s="398">
        <v>0</v>
      </c>
      <c r="AK41" s="399">
        <v>0</v>
      </c>
      <c r="AL41" s="398">
        <v>0</v>
      </c>
      <c r="AM41" s="407">
        <v>0</v>
      </c>
      <c r="AN41" s="421"/>
      <c r="AO41" s="445">
        <v>0</v>
      </c>
      <c r="AP41" s="399">
        <v>0</v>
      </c>
      <c r="AQ41" s="445">
        <v>0</v>
      </c>
      <c r="AR41" s="399">
        <v>0</v>
      </c>
      <c r="AS41" s="1057" t="str">
        <f>$CB41&amp;$CC41&amp;$CD41&amp;$CE41&amp;$CF41</f>
        <v/>
      </c>
      <c r="AY41" s="172"/>
      <c r="AZ41" s="607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48">
        <f t="shared" si="9"/>
        <v>0</v>
      </c>
      <c r="CO41" s="1048">
        <f t="shared" si="10"/>
        <v>0</v>
      </c>
      <c r="CP41" s="1048">
        <f t="shared" si="11"/>
        <v>0</v>
      </c>
      <c r="CQ41" s="1048">
        <f t="shared" si="12"/>
        <v>0</v>
      </c>
      <c r="CR41" s="1048">
        <f>IF($C41&lt;=$C$38,0,1)</f>
        <v>0</v>
      </c>
    </row>
    <row r="42" spans="1:97" ht="15" customHeight="1" x14ac:dyDescent="0.25">
      <c r="A42" s="1857"/>
      <c r="B42" s="91" t="s">
        <v>443</v>
      </c>
      <c r="C42" s="1148">
        <f t="shared" si="23"/>
        <v>0</v>
      </c>
      <c r="D42" s="397">
        <f t="shared" si="24"/>
        <v>0</v>
      </c>
      <c r="E42" s="385">
        <f t="shared" si="25"/>
        <v>0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399">
        <v>0</v>
      </c>
      <c r="P42" s="398">
        <v>0</v>
      </c>
      <c r="Q42" s="399">
        <v>0</v>
      </c>
      <c r="R42" s="398">
        <v>0</v>
      </c>
      <c r="S42" s="399">
        <v>0</v>
      </c>
      <c r="T42" s="398">
        <v>0</v>
      </c>
      <c r="U42" s="399">
        <v>0</v>
      </c>
      <c r="V42" s="398">
        <v>0</v>
      </c>
      <c r="W42" s="399">
        <v>0</v>
      </c>
      <c r="X42" s="398">
        <v>0</v>
      </c>
      <c r="Y42" s="399">
        <v>0</v>
      </c>
      <c r="Z42" s="398">
        <v>0</v>
      </c>
      <c r="AA42" s="399">
        <v>0</v>
      </c>
      <c r="AB42" s="398">
        <v>0</v>
      </c>
      <c r="AC42" s="399">
        <v>0</v>
      </c>
      <c r="AD42" s="398">
        <v>0</v>
      </c>
      <c r="AE42" s="399">
        <v>0</v>
      </c>
      <c r="AF42" s="398">
        <v>0</v>
      </c>
      <c r="AG42" s="399">
        <v>0</v>
      </c>
      <c r="AH42" s="398">
        <v>0</v>
      </c>
      <c r="AI42" s="399">
        <v>0</v>
      </c>
      <c r="AJ42" s="398">
        <v>0</v>
      </c>
      <c r="AK42" s="399">
        <v>0</v>
      </c>
      <c r="AL42" s="398">
        <v>0</v>
      </c>
      <c r="AM42" s="407">
        <v>0</v>
      </c>
      <c r="AN42" s="421"/>
      <c r="AO42" s="445">
        <v>0</v>
      </c>
      <c r="AP42" s="399">
        <v>0</v>
      </c>
      <c r="AQ42" s="445">
        <v>0</v>
      </c>
      <c r="AR42" s="399">
        <v>0</v>
      </c>
      <c r="AS42" s="1057" t="str">
        <f>$CB42&amp;$CC42&amp;$CD42&amp;$CE42&amp;$CF42</f>
        <v/>
      </c>
      <c r="AY42" s="172"/>
      <c r="AZ42" s="607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48">
        <f t="shared" si="9"/>
        <v>0</v>
      </c>
      <c r="CO42" s="1048">
        <f t="shared" si="10"/>
        <v>0</v>
      </c>
      <c r="CP42" s="1048">
        <f t="shared" si="11"/>
        <v>0</v>
      </c>
      <c r="CQ42" s="1048">
        <f t="shared" si="12"/>
        <v>0</v>
      </c>
      <c r="CR42" s="1048">
        <f>IF($C42&lt;=$C$38,0,1)</f>
        <v>0</v>
      </c>
    </row>
    <row r="43" spans="1:97" ht="15" customHeight="1" x14ac:dyDescent="0.25">
      <c r="A43" s="1857"/>
      <c r="B43" s="91" t="s">
        <v>439</v>
      </c>
      <c r="C43" s="1148">
        <f>SUM(D43:E43)</f>
        <v>0</v>
      </c>
      <c r="D43" s="397">
        <f t="shared" si="24"/>
        <v>0</v>
      </c>
      <c r="E43" s="385">
        <f t="shared" si="25"/>
        <v>0</v>
      </c>
      <c r="F43" s="398">
        <v>0</v>
      </c>
      <c r="G43" s="399">
        <v>0</v>
      </c>
      <c r="H43" s="398">
        <v>0</v>
      </c>
      <c r="I43" s="399">
        <v>0</v>
      </c>
      <c r="J43" s="398">
        <v>0</v>
      </c>
      <c r="K43" s="399">
        <v>0</v>
      </c>
      <c r="L43" s="398">
        <v>0</v>
      </c>
      <c r="M43" s="399">
        <v>0</v>
      </c>
      <c r="N43" s="398">
        <v>0</v>
      </c>
      <c r="O43" s="399">
        <v>0</v>
      </c>
      <c r="P43" s="398">
        <v>0</v>
      </c>
      <c r="Q43" s="399">
        <v>0</v>
      </c>
      <c r="R43" s="398">
        <v>0</v>
      </c>
      <c r="S43" s="399">
        <v>0</v>
      </c>
      <c r="T43" s="398">
        <v>0</v>
      </c>
      <c r="U43" s="399">
        <v>0</v>
      </c>
      <c r="V43" s="398">
        <v>0</v>
      </c>
      <c r="W43" s="399">
        <v>0</v>
      </c>
      <c r="X43" s="398">
        <v>0</v>
      </c>
      <c r="Y43" s="399">
        <v>0</v>
      </c>
      <c r="Z43" s="398">
        <v>0</v>
      </c>
      <c r="AA43" s="399">
        <v>0</v>
      </c>
      <c r="AB43" s="398">
        <v>0</v>
      </c>
      <c r="AC43" s="399">
        <v>0</v>
      </c>
      <c r="AD43" s="398">
        <v>0</v>
      </c>
      <c r="AE43" s="399">
        <v>0</v>
      </c>
      <c r="AF43" s="398">
        <v>0</v>
      </c>
      <c r="AG43" s="399">
        <v>0</v>
      </c>
      <c r="AH43" s="398">
        <v>0</v>
      </c>
      <c r="AI43" s="399">
        <v>0</v>
      </c>
      <c r="AJ43" s="398">
        <v>0</v>
      </c>
      <c r="AK43" s="399">
        <v>0</v>
      </c>
      <c r="AL43" s="398">
        <v>0</v>
      </c>
      <c r="AM43" s="407">
        <v>0</v>
      </c>
      <c r="AN43" s="421"/>
      <c r="AO43" s="445">
        <v>0</v>
      </c>
      <c r="AP43" s="399">
        <v>0</v>
      </c>
      <c r="AQ43" s="445">
        <v>0</v>
      </c>
      <c r="AR43" s="399">
        <v>0</v>
      </c>
      <c r="AS43" s="1057" t="str">
        <f>$CB43&amp;$CC43&amp;$CD43&amp;$CE43&amp;$CF43&amp;$CG43</f>
        <v/>
      </c>
      <c r="AY43" s="172"/>
      <c r="AZ43" s="607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las personas con Dependencia Severa / Total Personas con Lesión por Presión. ")</f>
        <v/>
      </c>
      <c r="CN43" s="1048">
        <f t="shared" si="9"/>
        <v>0</v>
      </c>
      <c r="CO43" s="1048">
        <f t="shared" si="10"/>
        <v>0</v>
      </c>
      <c r="CP43" s="1048">
        <f t="shared" si="11"/>
        <v>0</v>
      </c>
      <c r="CQ43" s="1048">
        <f t="shared" si="12"/>
        <v>0</v>
      </c>
      <c r="CR43" s="1048">
        <f>IF($C43&lt;=$C38,0,1)</f>
        <v>0</v>
      </c>
      <c r="CS43" s="1048">
        <f>IF($C43&lt;=$C37,0,1)</f>
        <v>0</v>
      </c>
    </row>
    <row r="44" spans="1:97" ht="21" customHeight="1" x14ac:dyDescent="0.25">
      <c r="A44" s="1858"/>
      <c r="B44" s="603" t="s">
        <v>444</v>
      </c>
      <c r="C44" s="1145">
        <f>SUM(D44:E44)</f>
        <v>0</v>
      </c>
      <c r="D44" s="540">
        <f>+F44+H44+J44+L44+N44+P44+R44+T44+V44+X44+Z44+AB44+AD44+AF44+AH44+AJ44+AL44</f>
        <v>0</v>
      </c>
      <c r="E44" s="589">
        <f>+G44+I44+K44+M44+O44+Q44+S44+U44+W44+Y44+AA44+AC44+AE44+AG44+AI44+AK44+AM44</f>
        <v>0</v>
      </c>
      <c r="F44" s="413">
        <v>0</v>
      </c>
      <c r="G44" s="414">
        <v>0</v>
      </c>
      <c r="H44" s="413">
        <v>0</v>
      </c>
      <c r="I44" s="414">
        <v>0</v>
      </c>
      <c r="J44" s="413">
        <v>0</v>
      </c>
      <c r="K44" s="414">
        <v>0</v>
      </c>
      <c r="L44" s="413">
        <v>0</v>
      </c>
      <c r="M44" s="414">
        <v>0</v>
      </c>
      <c r="N44" s="413">
        <v>0</v>
      </c>
      <c r="O44" s="414">
        <v>0</v>
      </c>
      <c r="P44" s="413">
        <v>0</v>
      </c>
      <c r="Q44" s="414">
        <v>0</v>
      </c>
      <c r="R44" s="413">
        <v>0</v>
      </c>
      <c r="S44" s="414">
        <v>0</v>
      </c>
      <c r="T44" s="413">
        <v>0</v>
      </c>
      <c r="U44" s="414">
        <v>0</v>
      </c>
      <c r="V44" s="413">
        <v>0</v>
      </c>
      <c r="W44" s="414">
        <v>0</v>
      </c>
      <c r="X44" s="413">
        <v>0</v>
      </c>
      <c r="Y44" s="414">
        <v>0</v>
      </c>
      <c r="Z44" s="413">
        <v>0</v>
      </c>
      <c r="AA44" s="414">
        <v>0</v>
      </c>
      <c r="AB44" s="413">
        <v>0</v>
      </c>
      <c r="AC44" s="414">
        <v>0</v>
      </c>
      <c r="AD44" s="413">
        <v>0</v>
      </c>
      <c r="AE44" s="414">
        <v>0</v>
      </c>
      <c r="AF44" s="413">
        <v>0</v>
      </c>
      <c r="AG44" s="414">
        <v>0</v>
      </c>
      <c r="AH44" s="413">
        <v>0</v>
      </c>
      <c r="AI44" s="414">
        <v>0</v>
      </c>
      <c r="AJ44" s="413">
        <v>0</v>
      </c>
      <c r="AK44" s="414">
        <v>0</v>
      </c>
      <c r="AL44" s="413">
        <v>0</v>
      </c>
      <c r="AM44" s="415">
        <v>0</v>
      </c>
      <c r="AN44" s="590"/>
      <c r="AO44" s="467">
        <v>0</v>
      </c>
      <c r="AP44" s="414">
        <v>0</v>
      </c>
      <c r="AQ44" s="467">
        <v>0</v>
      </c>
      <c r="AR44" s="414">
        <v>0</v>
      </c>
      <c r="AS44" s="1057" t="str">
        <f>$CB44&amp;$CC44&amp;$CD44&amp;$CE44&amp;$CF44</f>
        <v/>
      </c>
      <c r="AY44" s="172"/>
      <c r="AZ44" s="607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48">
        <f t="shared" si="9"/>
        <v>0</v>
      </c>
      <c r="CO44" s="1048">
        <f t="shared" si="10"/>
        <v>0</v>
      </c>
      <c r="CP44" s="1048">
        <f t="shared" si="11"/>
        <v>0</v>
      </c>
      <c r="CQ44" s="1048">
        <f t="shared" si="12"/>
        <v>0</v>
      </c>
      <c r="CR44" s="1048">
        <f>IF($C44&lt;=$C$38,0,1)</f>
        <v>0</v>
      </c>
    </row>
    <row r="45" spans="1:97" ht="15" customHeight="1" x14ac:dyDescent="0.25">
      <c r="A45" s="1910" t="s">
        <v>445</v>
      </c>
      <c r="B45" s="1245" t="s">
        <v>446</v>
      </c>
      <c r="C45" s="1146">
        <f t="shared" ref="C45:C47" si="27">SUM(D45:E45)</f>
        <v>0</v>
      </c>
      <c r="D45" s="392">
        <f t="shared" ref="D45:D46" si="28">+F45+H45+J45+L45+N45+P45+R45+T45+V45+X45+Z45+AB45+AD45+AF45+AH45+AJ45+AL45</f>
        <v>0</v>
      </c>
      <c r="E45" s="878">
        <f t="shared" ref="E45:E46" si="29">+G45+I45+K45+M45+O45+Q45+S45+U45+W45+Y45+AA45+AC45+AE45+AG45+AI45+AK45+AM45</f>
        <v>0</v>
      </c>
      <c r="F45" s="394">
        <v>0</v>
      </c>
      <c r="G45" s="461">
        <v>0</v>
      </c>
      <c r="H45" s="394">
        <v>0</v>
      </c>
      <c r="I45" s="461">
        <v>0</v>
      </c>
      <c r="J45" s="394">
        <v>0</v>
      </c>
      <c r="K45" s="461">
        <v>0</v>
      </c>
      <c r="L45" s="394">
        <v>0</v>
      </c>
      <c r="M45" s="461">
        <v>0</v>
      </c>
      <c r="N45" s="394">
        <v>0</v>
      </c>
      <c r="O45" s="461">
        <v>0</v>
      </c>
      <c r="P45" s="394">
        <v>0</v>
      </c>
      <c r="Q45" s="461">
        <v>0</v>
      </c>
      <c r="R45" s="394">
        <v>0</v>
      </c>
      <c r="S45" s="461">
        <v>0</v>
      </c>
      <c r="T45" s="394">
        <v>0</v>
      </c>
      <c r="U45" s="461">
        <v>0</v>
      </c>
      <c r="V45" s="394">
        <v>0</v>
      </c>
      <c r="W45" s="461">
        <v>0</v>
      </c>
      <c r="X45" s="394">
        <v>0</v>
      </c>
      <c r="Y45" s="461">
        <v>0</v>
      </c>
      <c r="Z45" s="394">
        <v>0</v>
      </c>
      <c r="AA45" s="461">
        <v>0</v>
      </c>
      <c r="AB45" s="394">
        <v>0</v>
      </c>
      <c r="AC45" s="461">
        <v>0</v>
      </c>
      <c r="AD45" s="394">
        <v>0</v>
      </c>
      <c r="AE45" s="461">
        <v>0</v>
      </c>
      <c r="AF45" s="462">
        <v>0</v>
      </c>
      <c r="AG45" s="461">
        <v>0</v>
      </c>
      <c r="AH45" s="462">
        <v>0</v>
      </c>
      <c r="AI45" s="461">
        <v>0</v>
      </c>
      <c r="AJ45" s="462">
        <v>0</v>
      </c>
      <c r="AK45" s="461">
        <v>0</v>
      </c>
      <c r="AL45" s="462">
        <v>0</v>
      </c>
      <c r="AM45" s="1246">
        <v>0</v>
      </c>
      <c r="AN45" s="886"/>
      <c r="AO45" s="462">
        <v>0</v>
      </c>
      <c r="AP45" s="1246">
        <v>0</v>
      </c>
      <c r="AQ45" s="412">
        <v>0</v>
      </c>
      <c r="AR45" s="461">
        <v>0</v>
      </c>
      <c r="AS45" s="1057" t="str">
        <f t="shared" ref="AS45:AS47" si="30">$CB45&amp;$CC45&amp;$CD45&amp;$CE45&amp;$CF45</f>
        <v/>
      </c>
      <c r="AY45" s="172"/>
      <c r="AZ45" s="607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 t="str">
        <f t="shared" ref="CF45:CF47" si="31">IF($C45&lt;=$C$38,"","Atención Domiciliaria por Dependencia Severa/ Con indicación de Nutrición Enteral Domiciliaria no debe ser mayor al Total Personas. ")</f>
        <v/>
      </c>
      <c r="CN45" s="1048">
        <f t="shared" ref="CN45:CN47" si="32">IF(AND(D45&gt;0,OR(AO45="")),1,IF(AO45&gt;D45,1,0))</f>
        <v>0</v>
      </c>
      <c r="CO45" s="1048">
        <f t="shared" ref="CO45:CO47" si="33">IF(AND(E45&gt;0,OR(AP45="")),1,IF(AP45&gt;E45,1,0))</f>
        <v>0</v>
      </c>
      <c r="CP45" s="1048">
        <f t="shared" ref="CP45:CP47" si="34">IF(AND(D45&gt;0,OR(AQ45="")),1,IF(AQ45&gt;D45,1,0))</f>
        <v>0</v>
      </c>
      <c r="CQ45" s="1048">
        <f t="shared" ref="CQ45:CQ47" si="35">IF(AND(E45&gt;0,OR(AR45="")),1,IF(AR45&gt;E45,1,0))</f>
        <v>0</v>
      </c>
      <c r="CR45" s="1048">
        <f t="shared" ref="CR45:CR47" si="36">IF($C45&lt;=$C$38,0,1)</f>
        <v>0</v>
      </c>
    </row>
    <row r="46" spans="1:97" ht="15" customHeight="1" x14ac:dyDescent="0.25">
      <c r="A46" s="1911"/>
      <c r="B46" s="1247" t="s">
        <v>447</v>
      </c>
      <c r="C46" s="1148">
        <f t="shared" si="27"/>
        <v>0</v>
      </c>
      <c r="D46" s="397">
        <f t="shared" si="28"/>
        <v>0</v>
      </c>
      <c r="E46" s="444">
        <f t="shared" si="29"/>
        <v>0</v>
      </c>
      <c r="F46" s="417">
        <v>0</v>
      </c>
      <c r="G46" s="432">
        <v>0</v>
      </c>
      <c r="H46" s="417">
        <v>0</v>
      </c>
      <c r="I46" s="432">
        <v>0</v>
      </c>
      <c r="J46" s="417">
        <v>0</v>
      </c>
      <c r="K46" s="432">
        <v>0</v>
      </c>
      <c r="L46" s="417">
        <v>0</v>
      </c>
      <c r="M46" s="432">
        <v>0</v>
      </c>
      <c r="N46" s="417">
        <v>0</v>
      </c>
      <c r="O46" s="432">
        <v>0</v>
      </c>
      <c r="P46" s="417">
        <v>0</v>
      </c>
      <c r="Q46" s="432">
        <v>0</v>
      </c>
      <c r="R46" s="417">
        <v>0</v>
      </c>
      <c r="S46" s="432">
        <v>0</v>
      </c>
      <c r="T46" s="417">
        <v>0</v>
      </c>
      <c r="U46" s="432">
        <v>0</v>
      </c>
      <c r="V46" s="417">
        <v>0</v>
      </c>
      <c r="W46" s="432">
        <v>0</v>
      </c>
      <c r="X46" s="417">
        <v>0</v>
      </c>
      <c r="Y46" s="432">
        <v>0</v>
      </c>
      <c r="Z46" s="417">
        <v>0</v>
      </c>
      <c r="AA46" s="432">
        <v>0</v>
      </c>
      <c r="AB46" s="417">
        <v>0</v>
      </c>
      <c r="AC46" s="432">
        <v>0</v>
      </c>
      <c r="AD46" s="417">
        <v>0</v>
      </c>
      <c r="AE46" s="432">
        <v>0</v>
      </c>
      <c r="AF46" s="468">
        <v>0</v>
      </c>
      <c r="AG46" s="432">
        <v>0</v>
      </c>
      <c r="AH46" s="468">
        <v>0</v>
      </c>
      <c r="AI46" s="432">
        <v>0</v>
      </c>
      <c r="AJ46" s="468">
        <v>0</v>
      </c>
      <c r="AK46" s="432">
        <v>0</v>
      </c>
      <c r="AL46" s="468">
        <v>0</v>
      </c>
      <c r="AM46" s="999">
        <v>0</v>
      </c>
      <c r="AN46" s="1248"/>
      <c r="AO46" s="468">
        <v>0</v>
      </c>
      <c r="AP46" s="999">
        <v>0</v>
      </c>
      <c r="AQ46" s="455">
        <v>0</v>
      </c>
      <c r="AR46" s="432">
        <v>0</v>
      </c>
      <c r="AS46" s="1057" t="str">
        <f t="shared" si="30"/>
        <v/>
      </c>
      <c r="AY46" s="172"/>
      <c r="AZ46" s="607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 t="str">
        <f t="shared" si="31"/>
        <v/>
      </c>
      <c r="CN46" s="1048">
        <f t="shared" si="32"/>
        <v>0</v>
      </c>
      <c r="CO46" s="1048">
        <f t="shared" si="33"/>
        <v>0</v>
      </c>
      <c r="CP46" s="1048">
        <f t="shared" si="34"/>
        <v>0</v>
      </c>
      <c r="CQ46" s="1048">
        <f t="shared" si="35"/>
        <v>0</v>
      </c>
      <c r="CR46" s="1048">
        <f t="shared" si="36"/>
        <v>0</v>
      </c>
    </row>
    <row r="47" spans="1:97" ht="15" customHeight="1" x14ac:dyDescent="0.25">
      <c r="A47" s="1912"/>
      <c r="B47" s="1249" t="s">
        <v>448</v>
      </c>
      <c r="C47" s="1145">
        <f t="shared" si="27"/>
        <v>0</v>
      </c>
      <c r="D47" s="540">
        <f>+F47+H47+J47+L47+N47+P47+R47+T47+V47+X47+Z47+AB47+AD47+AF47+AH47+AJ47+AL47</f>
        <v>0</v>
      </c>
      <c r="E47" s="879">
        <f>+G47+I47+K47+M47+O47+Q47+S47+U47+W47+Y47+AA47+AC47+AE47+AG47+AI47+AK47+AM47</f>
        <v>0</v>
      </c>
      <c r="F47" s="413">
        <v>0</v>
      </c>
      <c r="G47" s="542">
        <v>0</v>
      </c>
      <c r="H47" s="413">
        <v>0</v>
      </c>
      <c r="I47" s="542">
        <v>0</v>
      </c>
      <c r="J47" s="413">
        <v>0</v>
      </c>
      <c r="K47" s="542">
        <v>0</v>
      </c>
      <c r="L47" s="413">
        <v>0</v>
      </c>
      <c r="M47" s="542">
        <v>0</v>
      </c>
      <c r="N47" s="413">
        <v>0</v>
      </c>
      <c r="O47" s="542">
        <v>0</v>
      </c>
      <c r="P47" s="413">
        <v>0</v>
      </c>
      <c r="Q47" s="542">
        <v>0</v>
      </c>
      <c r="R47" s="413">
        <v>0</v>
      </c>
      <c r="S47" s="542">
        <v>0</v>
      </c>
      <c r="T47" s="413">
        <v>0</v>
      </c>
      <c r="U47" s="542">
        <v>0</v>
      </c>
      <c r="V47" s="413">
        <v>0</v>
      </c>
      <c r="W47" s="542">
        <v>0</v>
      </c>
      <c r="X47" s="413">
        <v>0</v>
      </c>
      <c r="Y47" s="542">
        <v>0</v>
      </c>
      <c r="Z47" s="413">
        <v>0</v>
      </c>
      <c r="AA47" s="542">
        <v>0</v>
      </c>
      <c r="AB47" s="413">
        <v>0</v>
      </c>
      <c r="AC47" s="542">
        <v>0</v>
      </c>
      <c r="AD47" s="413">
        <v>0</v>
      </c>
      <c r="AE47" s="542">
        <v>0</v>
      </c>
      <c r="AF47" s="463">
        <v>0</v>
      </c>
      <c r="AG47" s="542">
        <v>0</v>
      </c>
      <c r="AH47" s="463">
        <v>0</v>
      </c>
      <c r="AI47" s="542">
        <v>0</v>
      </c>
      <c r="AJ47" s="463">
        <v>0</v>
      </c>
      <c r="AK47" s="542">
        <v>0</v>
      </c>
      <c r="AL47" s="463">
        <v>0</v>
      </c>
      <c r="AM47" s="882">
        <v>0</v>
      </c>
      <c r="AN47" s="1250"/>
      <c r="AO47" s="463">
        <v>0</v>
      </c>
      <c r="AP47" s="882">
        <v>0</v>
      </c>
      <c r="AQ47" s="467">
        <v>0</v>
      </c>
      <c r="AR47" s="542">
        <v>0</v>
      </c>
      <c r="AS47" s="1057" t="str">
        <f t="shared" si="30"/>
        <v/>
      </c>
      <c r="AY47" s="172"/>
      <c r="AZ47" s="607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 t="str">
        <f t="shared" si="31"/>
        <v/>
      </c>
      <c r="CN47" s="1048">
        <f t="shared" si="32"/>
        <v>0</v>
      </c>
      <c r="CO47" s="1048">
        <f t="shared" si="33"/>
        <v>0</v>
      </c>
      <c r="CP47" s="1048">
        <f t="shared" si="34"/>
        <v>0</v>
      </c>
      <c r="CQ47" s="1048">
        <f t="shared" si="35"/>
        <v>0</v>
      </c>
      <c r="CR47" s="1048">
        <f t="shared" si="36"/>
        <v>0</v>
      </c>
    </row>
    <row r="48" spans="1:97" ht="15.75" customHeight="1" x14ac:dyDescent="0.25">
      <c r="A48" s="92" t="s">
        <v>449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865" t="s">
        <v>450</v>
      </c>
      <c r="B49" s="1865"/>
      <c r="C49" s="1865"/>
      <c r="D49" s="1865"/>
      <c r="E49" s="1865"/>
      <c r="F49" s="1865"/>
      <c r="G49" s="1865"/>
      <c r="H49" s="1865"/>
      <c r="I49" s="1865"/>
      <c r="J49" s="1865"/>
      <c r="K49" s="1865"/>
      <c r="L49" s="1865"/>
      <c r="M49" s="1865"/>
      <c r="N49" s="1865"/>
      <c r="O49" s="1865"/>
      <c r="P49" s="1865"/>
      <c r="Q49" s="1865"/>
      <c r="R49" s="1865"/>
      <c r="S49" s="1865"/>
      <c r="T49" s="1865"/>
      <c r="U49" s="1865"/>
      <c r="V49" s="1865"/>
      <c r="W49" s="1865"/>
      <c r="X49" s="1865"/>
      <c r="Y49" s="1865"/>
      <c r="Z49" s="1865"/>
      <c r="AA49" s="1865"/>
      <c r="AB49" s="1865"/>
      <c r="AC49" s="1865"/>
      <c r="AD49" s="1865"/>
      <c r="AE49" s="1865"/>
      <c r="AF49" s="1865"/>
      <c r="AG49" s="1865"/>
      <c r="AH49" s="1865"/>
      <c r="AI49" s="1865"/>
      <c r="AJ49" s="1865"/>
      <c r="AK49" s="1865"/>
      <c r="AL49" s="1865"/>
      <c r="AM49" s="1865"/>
      <c r="AN49" s="1865"/>
      <c r="AO49" s="1865"/>
      <c r="AP49" s="1865"/>
    </row>
    <row r="50" spans="1:100" ht="17.25" customHeight="1" x14ac:dyDescent="0.25">
      <c r="A50" s="1910" t="s">
        <v>451</v>
      </c>
      <c r="B50" s="1658" t="s">
        <v>94</v>
      </c>
      <c r="C50" s="1915" t="s">
        <v>91</v>
      </c>
      <c r="D50" s="1913" t="s">
        <v>232</v>
      </c>
      <c r="E50" s="1652" t="s">
        <v>452</v>
      </c>
      <c r="F50" s="1652"/>
      <c r="G50" s="1652"/>
      <c r="H50" s="1652"/>
      <c r="I50" s="1652"/>
      <c r="J50" s="1652"/>
      <c r="K50" s="1652"/>
      <c r="L50" s="1652"/>
      <c r="M50" s="1652"/>
      <c r="N50" s="1803"/>
      <c r="AO50" s="107"/>
      <c r="AS50" s="33"/>
      <c r="AZ50" s="107"/>
      <c r="BA50" s="107"/>
      <c r="BB50" s="107"/>
      <c r="BC50" s="172"/>
      <c r="BP50" s="607"/>
      <c r="BQ50" s="607"/>
      <c r="BR50" s="607"/>
      <c r="BS50" s="172"/>
    </row>
    <row r="51" spans="1:100" ht="69.599999999999994" customHeight="1" x14ac:dyDescent="0.25">
      <c r="A51" s="1912"/>
      <c r="B51" s="1659"/>
      <c r="C51" s="1916"/>
      <c r="D51" s="1914"/>
      <c r="E51" s="1013" t="s">
        <v>453</v>
      </c>
      <c r="F51" s="1097" t="s">
        <v>454</v>
      </c>
      <c r="G51" s="1097" t="s">
        <v>455</v>
      </c>
      <c r="H51" s="1097" t="s">
        <v>456</v>
      </c>
      <c r="I51" s="1097" t="s">
        <v>457</v>
      </c>
      <c r="J51" s="1097" t="s">
        <v>458</v>
      </c>
      <c r="K51" s="1097" t="s">
        <v>459</v>
      </c>
      <c r="L51" s="1097" t="s">
        <v>460</v>
      </c>
      <c r="M51" s="1097" t="s">
        <v>461</v>
      </c>
      <c r="N51" s="1251" t="s">
        <v>462</v>
      </c>
      <c r="AO51" s="107"/>
      <c r="AS51" s="33"/>
      <c r="AZ51" s="107"/>
      <c r="BA51" s="107"/>
      <c r="BB51" s="107"/>
      <c r="BC51" s="172"/>
      <c r="BP51" s="607"/>
      <c r="BQ51" s="607"/>
      <c r="BR51" s="607"/>
      <c r="BS51" s="172"/>
    </row>
    <row r="52" spans="1:100" ht="15" customHeight="1" x14ac:dyDescent="0.25">
      <c r="A52" s="1468" t="s">
        <v>463</v>
      </c>
      <c r="B52" s="1469">
        <f>SUM(C52:D52)</f>
        <v>0</v>
      </c>
      <c r="C52" s="1470">
        <v>0</v>
      </c>
      <c r="D52" s="1014">
        <v>0</v>
      </c>
      <c r="E52" s="1471">
        <v>0</v>
      </c>
      <c r="F52" s="1015">
        <v>0</v>
      </c>
      <c r="G52" s="1015">
        <v>0</v>
      </c>
      <c r="H52" s="1015">
        <v>0</v>
      </c>
      <c r="I52" s="1015">
        <v>0</v>
      </c>
      <c r="J52" s="1015">
        <v>0</v>
      </c>
      <c r="K52" s="1015">
        <v>0</v>
      </c>
      <c r="L52" s="1015">
        <v>0</v>
      </c>
      <c r="M52" s="1015">
        <v>0</v>
      </c>
      <c r="N52" s="1016">
        <v>0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7"/>
      <c r="BQ52" s="607"/>
      <c r="BR52" s="607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IF(L52&gt;C52," * El "&amp;L$51&amp;""&amp;" No debe ser mayor que el Total Número de cuidadores.","")</f>
        <v/>
      </c>
      <c r="CI52" s="191" t="str">
        <f t="shared" ref="CI52" si="37">IF(M52&gt;D52," * El "&amp;M$51&amp;""&amp;" No debe ser mayor que el Total Número de cuidadores.","")</f>
        <v/>
      </c>
      <c r="CJ52" s="191" t="str">
        <f>IF(N52&gt;E52," * El "&amp;N$51&amp;""&amp;" No debe ser mayor que el Total Número de cuidadores.","")</f>
        <v/>
      </c>
      <c r="CM52" s="1048">
        <f>IF(E52&gt;B52,1,0)</f>
        <v>0</v>
      </c>
      <c r="CN52" s="1048">
        <f>IF(F52&gt;B52,1,0)</f>
        <v>0</v>
      </c>
      <c r="CO52" s="1048">
        <f>IF(G52&gt;B52,1,0)</f>
        <v>0</v>
      </c>
      <c r="CP52" s="1048">
        <f>IF(H52&gt;B52,1,0)</f>
        <v>0</v>
      </c>
      <c r="CQ52" s="1048">
        <f>IF(I52&gt;B52,1,0)</f>
        <v>0</v>
      </c>
      <c r="CR52" s="1048">
        <f>IF(J52&gt;B52,1,0)</f>
        <v>0</v>
      </c>
      <c r="CS52" s="1048">
        <f>IF(K52&gt;B52,1,0)</f>
        <v>0</v>
      </c>
      <c r="CT52" s="1048">
        <f>IF(L52&gt;B52,1,0)</f>
        <v>0</v>
      </c>
      <c r="CU52" s="1048">
        <f>IF(M52&gt;B52,1,0)</f>
        <v>0</v>
      </c>
      <c r="CV52" s="1048">
        <f>IF(N52&gt;B52,1,0)</f>
        <v>0</v>
      </c>
    </row>
    <row r="53" spans="1:100" ht="17.100000000000001" customHeight="1" x14ac:dyDescent="0.25">
      <c r="A53" s="1896" t="s">
        <v>464</v>
      </c>
      <c r="B53" s="1896"/>
      <c r="C53" s="1896"/>
      <c r="D53" s="1896"/>
      <c r="E53" s="1896"/>
      <c r="F53" s="1896"/>
      <c r="G53" s="1896"/>
      <c r="H53" s="1896"/>
      <c r="I53" s="1896"/>
      <c r="J53" s="1896"/>
      <c r="K53" s="1896"/>
      <c r="L53" s="1896"/>
      <c r="M53" s="1896"/>
      <c r="N53" s="1896"/>
      <c r="O53" s="1896"/>
      <c r="P53" s="1896"/>
      <c r="Q53" s="1896"/>
      <c r="R53" s="1896"/>
      <c r="S53" s="1896"/>
      <c r="T53" s="1896"/>
      <c r="U53" s="1896"/>
      <c r="V53" s="1896"/>
      <c r="W53" s="1896"/>
      <c r="X53" s="1896"/>
      <c r="Y53" s="1896"/>
      <c r="Z53" s="1896"/>
      <c r="AA53" s="1896"/>
      <c r="AB53" s="1896"/>
      <c r="AC53" s="1896"/>
      <c r="AD53" s="1896"/>
      <c r="AE53" s="1896"/>
      <c r="AF53" s="1896"/>
      <c r="AG53" s="1896"/>
      <c r="AH53" s="1896"/>
      <c r="AI53" s="1896"/>
      <c r="AJ53" s="1896"/>
      <c r="AK53" s="1896"/>
      <c r="AL53" s="1896"/>
      <c r="AM53" s="1896"/>
    </row>
    <row r="54" spans="1:100" ht="21" customHeight="1" x14ac:dyDescent="0.25">
      <c r="A54" s="1920" t="s">
        <v>465</v>
      </c>
      <c r="B54" s="1921"/>
      <c r="C54" s="1892" t="s">
        <v>54</v>
      </c>
      <c r="D54" s="1892"/>
      <c r="E54" s="1892"/>
      <c r="F54" s="1882" t="s">
        <v>382</v>
      </c>
      <c r="G54" s="1883"/>
      <c r="H54" s="1883"/>
      <c r="I54" s="1883"/>
      <c r="J54" s="1883"/>
      <c r="K54" s="1883"/>
      <c r="L54" s="1883"/>
      <c r="M54" s="1883"/>
      <c r="N54" s="1883"/>
      <c r="O54" s="1883"/>
      <c r="P54" s="1883"/>
      <c r="Q54" s="1883"/>
      <c r="R54" s="1883"/>
      <c r="S54" s="1883"/>
      <c r="T54" s="1883"/>
      <c r="U54" s="1883"/>
      <c r="V54" s="1883"/>
      <c r="W54" s="1883"/>
      <c r="X54" s="1883"/>
      <c r="Y54" s="1883"/>
      <c r="Z54" s="1883"/>
      <c r="AA54" s="1883"/>
      <c r="AB54" s="1883"/>
      <c r="AC54" s="1883"/>
      <c r="AD54" s="1883"/>
      <c r="AE54" s="1883"/>
      <c r="AF54" s="1883"/>
      <c r="AG54" s="1883"/>
      <c r="AH54" s="1883"/>
      <c r="AI54" s="1883"/>
      <c r="AJ54" s="1883"/>
      <c r="AK54" s="1883"/>
      <c r="AL54" s="1883"/>
      <c r="AM54" s="1883"/>
      <c r="AN54" s="1852" t="s">
        <v>56</v>
      </c>
      <c r="AO54" s="1870"/>
      <c r="AP54" s="1873" t="s">
        <v>113</v>
      </c>
      <c r="AQ54" s="1870"/>
    </row>
    <row r="55" spans="1:100" ht="18" customHeight="1" x14ac:dyDescent="0.25">
      <c r="A55" s="1922"/>
      <c r="B55" s="1857"/>
      <c r="C55" s="1892"/>
      <c r="D55" s="1892"/>
      <c r="E55" s="1892"/>
      <c r="F55" s="1884" t="s">
        <v>410</v>
      </c>
      <c r="G55" s="1887"/>
      <c r="H55" s="1884" t="s">
        <v>411</v>
      </c>
      <c r="I55" s="1887"/>
      <c r="J55" s="1884" t="s">
        <v>322</v>
      </c>
      <c r="K55" s="1887"/>
      <c r="L55" s="1879" t="s">
        <v>62</v>
      </c>
      <c r="M55" s="1879"/>
      <c r="N55" s="1879" t="s">
        <v>63</v>
      </c>
      <c r="O55" s="1879"/>
      <c r="P55" s="1879" t="s">
        <v>64</v>
      </c>
      <c r="Q55" s="1879"/>
      <c r="R55" s="1885" t="s">
        <v>65</v>
      </c>
      <c r="S55" s="1803"/>
      <c r="T55" s="1879" t="s">
        <v>66</v>
      </c>
      <c r="U55" s="1879"/>
      <c r="V55" s="1885" t="s">
        <v>67</v>
      </c>
      <c r="W55" s="1803"/>
      <c r="X55" s="1879" t="s">
        <v>68</v>
      </c>
      <c r="Y55" s="1879"/>
      <c r="Z55" s="1885" t="s">
        <v>69</v>
      </c>
      <c r="AA55" s="1803"/>
      <c r="AB55" s="1879" t="s">
        <v>70</v>
      </c>
      <c r="AC55" s="1879"/>
      <c r="AD55" s="1885" t="s">
        <v>71</v>
      </c>
      <c r="AE55" s="1803"/>
      <c r="AF55" s="1880" t="s">
        <v>72</v>
      </c>
      <c r="AG55" s="1881"/>
      <c r="AH55" s="1880" t="s">
        <v>412</v>
      </c>
      <c r="AI55" s="1881"/>
      <c r="AJ55" s="1880" t="s">
        <v>413</v>
      </c>
      <c r="AK55" s="1881"/>
      <c r="AL55" s="1880" t="s">
        <v>414</v>
      </c>
      <c r="AM55" s="1888"/>
      <c r="AN55" s="1871"/>
      <c r="AO55" s="1872"/>
      <c r="AP55" s="1871"/>
      <c r="AQ55" s="1872"/>
    </row>
    <row r="56" spans="1:100" ht="32.450000000000003" customHeight="1" x14ac:dyDescent="0.25">
      <c r="A56" s="1923"/>
      <c r="B56" s="1858"/>
      <c r="C56" s="1445" t="s">
        <v>415</v>
      </c>
      <c r="D56" s="1460" t="s">
        <v>91</v>
      </c>
      <c r="E56" s="1461" t="s">
        <v>232</v>
      </c>
      <c r="F56" s="1462" t="s">
        <v>91</v>
      </c>
      <c r="G56" s="1461" t="s">
        <v>232</v>
      </c>
      <c r="H56" s="1462" t="s">
        <v>91</v>
      </c>
      <c r="I56" s="1461" t="s">
        <v>232</v>
      </c>
      <c r="J56" s="1462" t="s">
        <v>91</v>
      </c>
      <c r="K56" s="1461" t="s">
        <v>232</v>
      </c>
      <c r="L56" s="1463" t="s">
        <v>91</v>
      </c>
      <c r="M56" s="1464" t="s">
        <v>232</v>
      </c>
      <c r="N56" s="1463" t="s">
        <v>91</v>
      </c>
      <c r="O56" s="1464" t="s">
        <v>232</v>
      </c>
      <c r="P56" s="1463" t="s">
        <v>91</v>
      </c>
      <c r="Q56" s="1464" t="s">
        <v>232</v>
      </c>
      <c r="R56" s="1465" t="s">
        <v>91</v>
      </c>
      <c r="S56" s="994" t="s">
        <v>232</v>
      </c>
      <c r="T56" s="1463" t="s">
        <v>91</v>
      </c>
      <c r="U56" s="1464" t="s">
        <v>232</v>
      </c>
      <c r="V56" s="1465" t="s">
        <v>91</v>
      </c>
      <c r="W56" s="994" t="s">
        <v>232</v>
      </c>
      <c r="X56" s="1463" t="s">
        <v>91</v>
      </c>
      <c r="Y56" s="1464" t="s">
        <v>232</v>
      </c>
      <c r="Z56" s="1465" t="s">
        <v>91</v>
      </c>
      <c r="AA56" s="994" t="s">
        <v>232</v>
      </c>
      <c r="AB56" s="1463" t="s">
        <v>91</v>
      </c>
      <c r="AC56" s="1464" t="s">
        <v>232</v>
      </c>
      <c r="AD56" s="1465" t="s">
        <v>91</v>
      </c>
      <c r="AE56" s="994" t="s">
        <v>232</v>
      </c>
      <c r="AF56" s="1466" t="s">
        <v>416</v>
      </c>
      <c r="AG56" s="875" t="s">
        <v>232</v>
      </c>
      <c r="AH56" s="1466" t="s">
        <v>416</v>
      </c>
      <c r="AI56" s="875" t="s">
        <v>232</v>
      </c>
      <c r="AJ56" s="1466" t="s">
        <v>416</v>
      </c>
      <c r="AK56" s="875" t="s">
        <v>232</v>
      </c>
      <c r="AL56" s="1466" t="s">
        <v>416</v>
      </c>
      <c r="AM56" s="759" t="s">
        <v>232</v>
      </c>
      <c r="AN56" s="1467" t="s">
        <v>416</v>
      </c>
      <c r="AO56" s="875" t="s">
        <v>232</v>
      </c>
      <c r="AP56" s="1467" t="s">
        <v>416</v>
      </c>
      <c r="AQ56" s="875" t="s">
        <v>232</v>
      </c>
    </row>
    <row r="57" spans="1:100" ht="15" customHeight="1" x14ac:dyDescent="0.25">
      <c r="A57" s="1924" t="s">
        <v>466</v>
      </c>
      <c r="B57" s="1060" t="s">
        <v>467</v>
      </c>
      <c r="C57" s="1146">
        <f>SUM(D57:E57)</f>
        <v>0</v>
      </c>
      <c r="D57" s="392">
        <f>+F57+H57+J57+L57+N57+P57+R57+T57+V57+X57+Z57+AB57+AD57+AF57+AH57+AJ57+AL57</f>
        <v>0</v>
      </c>
      <c r="E57" s="393">
        <f>+G57+I57+K57+M57+O57+Q57+S57+U57+W57+Y57+AA57+AC57+AE57+AG57+AI57+AK57+AM57</f>
        <v>0</v>
      </c>
      <c r="F57" s="690">
        <v>0</v>
      </c>
      <c r="G57" s="691">
        <v>0</v>
      </c>
      <c r="H57" s="692">
        <v>0</v>
      </c>
      <c r="I57" s="691">
        <v>0</v>
      </c>
      <c r="J57" s="692">
        <v>0</v>
      </c>
      <c r="K57" s="691">
        <v>0</v>
      </c>
      <c r="L57" s="692">
        <v>0</v>
      </c>
      <c r="M57" s="691">
        <v>0</v>
      </c>
      <c r="N57" s="692">
        <v>0</v>
      </c>
      <c r="O57" s="691">
        <v>0</v>
      </c>
      <c r="P57" s="692">
        <v>0</v>
      </c>
      <c r="Q57" s="691">
        <v>0</v>
      </c>
      <c r="R57" s="692">
        <v>0</v>
      </c>
      <c r="S57" s="691">
        <v>0</v>
      </c>
      <c r="T57" s="692">
        <v>0</v>
      </c>
      <c r="U57" s="691">
        <v>0</v>
      </c>
      <c r="V57" s="692">
        <v>0</v>
      </c>
      <c r="W57" s="691">
        <v>0</v>
      </c>
      <c r="X57" s="692">
        <v>0</v>
      </c>
      <c r="Y57" s="691">
        <v>0</v>
      </c>
      <c r="Z57" s="692">
        <v>0</v>
      </c>
      <c r="AA57" s="691">
        <v>0</v>
      </c>
      <c r="AB57" s="692">
        <v>0</v>
      </c>
      <c r="AC57" s="691">
        <v>0</v>
      </c>
      <c r="AD57" s="692">
        <v>0</v>
      </c>
      <c r="AE57" s="691">
        <v>0</v>
      </c>
      <c r="AF57" s="692">
        <v>0</v>
      </c>
      <c r="AG57" s="691">
        <v>0</v>
      </c>
      <c r="AH57" s="692">
        <v>0</v>
      </c>
      <c r="AI57" s="691">
        <v>0</v>
      </c>
      <c r="AJ57" s="692">
        <v>0</v>
      </c>
      <c r="AK57" s="691">
        <v>0</v>
      </c>
      <c r="AL57" s="690">
        <v>0</v>
      </c>
      <c r="AM57" s="1001">
        <v>0</v>
      </c>
      <c r="AN57" s="692">
        <v>0</v>
      </c>
      <c r="AO57" s="691">
        <v>0</v>
      </c>
      <c r="AP57" s="692">
        <v>0</v>
      </c>
      <c r="AQ57" s="691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48">
        <f>IF(AND($D57&gt;0,OR(AN57="")),1,IF(AN57&gt;$D57,1,0))</f>
        <v>0</v>
      </c>
      <c r="CN57" s="1048">
        <f>IF(AND($E57&gt;0,OR(AO57="")),1,IF(AO57&gt;$E57,1,0))</f>
        <v>0</v>
      </c>
      <c r="CO57" s="1048">
        <f>IF(AND($D57&gt;0,OR(AP57="")),1,IF(AP57&gt;$D57,1,0))</f>
        <v>0</v>
      </c>
      <c r="CP57" s="1048">
        <f>IF(AND($E57&gt;0,OR(AQ57="")),1,IF(AQ57&gt;$E57,1,0))</f>
        <v>0</v>
      </c>
    </row>
    <row r="58" spans="1:100" ht="15" customHeight="1" x14ac:dyDescent="0.25">
      <c r="A58" s="1925"/>
      <c r="B58" s="1061" t="s">
        <v>468</v>
      </c>
      <c r="C58" s="1148">
        <f t="shared" ref="C58:C60" si="38">SUM(D58:E58)</f>
        <v>0</v>
      </c>
      <c r="D58" s="397">
        <f t="shared" ref="D58:D60" si="39">+F58+H58+J58+L58+N58+P58+R58+T58+V58+X58+Z58+AB58+AD58+AF58+AH58+AJ58+AL58</f>
        <v>0</v>
      </c>
      <c r="E58" s="385">
        <f>+G58+I58+K58+M58+O58+Q58+S58+U58+W58+Y58+AA58+AC58+AE58+AG58+AI58+AK58+AM58</f>
        <v>0</v>
      </c>
      <c r="F58" s="693">
        <v>0</v>
      </c>
      <c r="G58" s="696">
        <v>0</v>
      </c>
      <c r="H58" s="695">
        <v>0</v>
      </c>
      <c r="I58" s="696">
        <v>0</v>
      </c>
      <c r="J58" s="695">
        <v>0</v>
      </c>
      <c r="K58" s="696">
        <v>0</v>
      </c>
      <c r="L58" s="695">
        <v>0</v>
      </c>
      <c r="M58" s="696">
        <v>0</v>
      </c>
      <c r="N58" s="695">
        <v>0</v>
      </c>
      <c r="O58" s="696">
        <v>0</v>
      </c>
      <c r="P58" s="695">
        <v>0</v>
      </c>
      <c r="Q58" s="696">
        <v>0</v>
      </c>
      <c r="R58" s="695">
        <v>0</v>
      </c>
      <c r="S58" s="696">
        <v>0</v>
      </c>
      <c r="T58" s="695">
        <v>0</v>
      </c>
      <c r="U58" s="696">
        <v>0</v>
      </c>
      <c r="V58" s="695">
        <v>0</v>
      </c>
      <c r="W58" s="696">
        <v>0</v>
      </c>
      <c r="X58" s="695">
        <v>0</v>
      </c>
      <c r="Y58" s="696">
        <v>0</v>
      </c>
      <c r="Z58" s="695">
        <v>0</v>
      </c>
      <c r="AA58" s="696">
        <v>0</v>
      </c>
      <c r="AB58" s="695">
        <v>0</v>
      </c>
      <c r="AC58" s="696">
        <v>0</v>
      </c>
      <c r="AD58" s="695">
        <v>0</v>
      </c>
      <c r="AE58" s="696">
        <v>0</v>
      </c>
      <c r="AF58" s="695">
        <v>0</v>
      </c>
      <c r="AG58" s="696">
        <v>0</v>
      </c>
      <c r="AH58" s="695">
        <v>0</v>
      </c>
      <c r="AI58" s="696">
        <v>0</v>
      </c>
      <c r="AJ58" s="695">
        <v>0</v>
      </c>
      <c r="AK58" s="696">
        <v>0</v>
      </c>
      <c r="AL58" s="693">
        <v>0</v>
      </c>
      <c r="AM58" s="1002">
        <v>0</v>
      </c>
      <c r="AN58" s="695">
        <v>0</v>
      </c>
      <c r="AO58" s="696">
        <v>0</v>
      </c>
      <c r="AP58" s="695">
        <v>0</v>
      </c>
      <c r="AQ58" s="696">
        <v>0</v>
      </c>
      <c r="AR58" s="107" t="str">
        <f t="shared" ref="AR58:AR60" si="40">$CA58&amp;CB58&amp;CC58&amp;CD58</f>
        <v/>
      </c>
      <c r="CA58" s="191" t="str">
        <f t="shared" ref="CA58:CA60" si="41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42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3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4">IF(AND($E58&gt;0,OR(AQ58=""))," * No olvide digitar la variable Migrantes Mujeres. Digite Cero si no tiene.",IF(AQ58&gt;$E58," * La variable Migrantes Mujeres no puede ser Mayor al Total Mujeres.",""))</f>
        <v/>
      </c>
      <c r="CM58" s="1048">
        <f t="shared" ref="CM58:CM60" si="45">IF(AND($D58&gt;0,OR(AN58="")),1,IF(AN58&gt;$D58,1,0))</f>
        <v>0</v>
      </c>
      <c r="CN58" s="1048">
        <f t="shared" ref="CN58:CN60" si="46">IF(AND($E58&gt;0,OR(AO58="")),1,IF(AO58&gt;$E58,1,0))</f>
        <v>0</v>
      </c>
      <c r="CO58" s="1048">
        <f>IF(AND($D58&gt;0,OR(AP58="")),1,IF(AP58&gt;$D58,1,0))</f>
        <v>0</v>
      </c>
      <c r="CP58" s="1048">
        <f t="shared" ref="CP58:CP60" si="47">IF(AND($E58&gt;0,OR(AQ58="")),1,IF(AQ58&gt;$E58,1,0))</f>
        <v>0</v>
      </c>
    </row>
    <row r="59" spans="1:100" ht="15" customHeight="1" x14ac:dyDescent="0.25">
      <c r="A59" s="1925"/>
      <c r="B59" s="1061" t="s">
        <v>469</v>
      </c>
      <c r="C59" s="1148">
        <f t="shared" si="38"/>
        <v>0</v>
      </c>
      <c r="D59" s="397">
        <f t="shared" si="39"/>
        <v>0</v>
      </c>
      <c r="E59" s="385">
        <f t="shared" ref="E59" si="48">+G59+I59+K59+M59+O59+Q59+S59+U59+W59+Y59+AA59+AC59+AE59+AG59+AI59+AK59+AM59</f>
        <v>0</v>
      </c>
      <c r="F59" s="693">
        <v>0</v>
      </c>
      <c r="G59" s="696">
        <v>0</v>
      </c>
      <c r="H59" s="695">
        <v>0</v>
      </c>
      <c r="I59" s="696">
        <v>0</v>
      </c>
      <c r="J59" s="695">
        <v>0</v>
      </c>
      <c r="K59" s="696">
        <v>0</v>
      </c>
      <c r="L59" s="695">
        <v>0</v>
      </c>
      <c r="M59" s="696">
        <v>0</v>
      </c>
      <c r="N59" s="695">
        <v>0</v>
      </c>
      <c r="O59" s="696">
        <v>0</v>
      </c>
      <c r="P59" s="695">
        <v>0</v>
      </c>
      <c r="Q59" s="696">
        <v>0</v>
      </c>
      <c r="R59" s="695">
        <v>0</v>
      </c>
      <c r="S59" s="696">
        <v>0</v>
      </c>
      <c r="T59" s="695">
        <v>0</v>
      </c>
      <c r="U59" s="696">
        <v>0</v>
      </c>
      <c r="V59" s="695">
        <v>0</v>
      </c>
      <c r="W59" s="696">
        <v>0</v>
      </c>
      <c r="X59" s="695">
        <v>0</v>
      </c>
      <c r="Y59" s="696">
        <v>0</v>
      </c>
      <c r="Z59" s="695">
        <v>0</v>
      </c>
      <c r="AA59" s="696">
        <v>0</v>
      </c>
      <c r="AB59" s="695">
        <v>0</v>
      </c>
      <c r="AC59" s="696">
        <v>0</v>
      </c>
      <c r="AD59" s="695">
        <v>0</v>
      </c>
      <c r="AE59" s="696">
        <v>0</v>
      </c>
      <c r="AF59" s="695">
        <v>0</v>
      </c>
      <c r="AG59" s="696">
        <v>0</v>
      </c>
      <c r="AH59" s="695">
        <v>0</v>
      </c>
      <c r="AI59" s="696">
        <v>0</v>
      </c>
      <c r="AJ59" s="695">
        <v>0</v>
      </c>
      <c r="AK59" s="696">
        <v>0</v>
      </c>
      <c r="AL59" s="693">
        <v>0</v>
      </c>
      <c r="AM59" s="1002">
        <v>0</v>
      </c>
      <c r="AN59" s="695">
        <v>0</v>
      </c>
      <c r="AO59" s="696">
        <v>0</v>
      </c>
      <c r="AP59" s="695">
        <v>0</v>
      </c>
      <c r="AQ59" s="696">
        <v>0</v>
      </c>
      <c r="AR59" s="107" t="str">
        <f t="shared" si="40"/>
        <v/>
      </c>
      <c r="CA59" s="191" t="str">
        <f t="shared" si="41"/>
        <v/>
      </c>
      <c r="CB59" s="191" t="str">
        <f t="shared" si="42"/>
        <v/>
      </c>
      <c r="CC59" s="191" t="str">
        <f t="shared" si="43"/>
        <v/>
      </c>
      <c r="CD59" s="191" t="str">
        <f t="shared" si="44"/>
        <v/>
      </c>
      <c r="CM59" s="1048">
        <f t="shared" si="45"/>
        <v>0</v>
      </c>
      <c r="CN59" s="1048">
        <f t="shared" si="46"/>
        <v>0</v>
      </c>
      <c r="CO59" s="1048">
        <f t="shared" ref="CO59:CO60" si="49">IF(AND($D59&gt;0,OR(AP59="")),1,IF(AP59&gt;$D59,1,0))</f>
        <v>0</v>
      </c>
      <c r="CP59" s="1048">
        <f t="shared" si="47"/>
        <v>0</v>
      </c>
    </row>
    <row r="60" spans="1:100" ht="15" customHeight="1" x14ac:dyDescent="0.25">
      <c r="A60" s="1926"/>
      <c r="B60" s="1062" t="s">
        <v>470</v>
      </c>
      <c r="C60" s="1145">
        <f t="shared" si="38"/>
        <v>0</v>
      </c>
      <c r="D60" s="540">
        <f t="shared" si="39"/>
        <v>0</v>
      </c>
      <c r="E60" s="589">
        <f>+G60+I60+K60+M60+O60+Q60+S60+U60+W60+Y60+AA60+AC60+AE60+AG60+AI60+AK60+AM60</f>
        <v>0</v>
      </c>
      <c r="F60" s="694">
        <v>0</v>
      </c>
      <c r="G60" s="697">
        <v>0</v>
      </c>
      <c r="H60" s="694">
        <v>0</v>
      </c>
      <c r="I60" s="697">
        <v>0</v>
      </c>
      <c r="J60" s="694">
        <v>0</v>
      </c>
      <c r="K60" s="697">
        <v>0</v>
      </c>
      <c r="L60" s="694">
        <v>0</v>
      </c>
      <c r="M60" s="697">
        <v>0</v>
      </c>
      <c r="N60" s="694">
        <v>0</v>
      </c>
      <c r="O60" s="697">
        <v>0</v>
      </c>
      <c r="P60" s="694">
        <v>0</v>
      </c>
      <c r="Q60" s="697">
        <v>0</v>
      </c>
      <c r="R60" s="694">
        <v>0</v>
      </c>
      <c r="S60" s="697">
        <v>0</v>
      </c>
      <c r="T60" s="694">
        <v>0</v>
      </c>
      <c r="U60" s="697">
        <v>0</v>
      </c>
      <c r="V60" s="694">
        <v>0</v>
      </c>
      <c r="W60" s="697">
        <v>0</v>
      </c>
      <c r="X60" s="694">
        <v>0</v>
      </c>
      <c r="Y60" s="697">
        <v>0</v>
      </c>
      <c r="Z60" s="694">
        <v>0</v>
      </c>
      <c r="AA60" s="697">
        <v>0</v>
      </c>
      <c r="AB60" s="694">
        <v>0</v>
      </c>
      <c r="AC60" s="697">
        <v>0</v>
      </c>
      <c r="AD60" s="694">
        <v>0</v>
      </c>
      <c r="AE60" s="697">
        <v>0</v>
      </c>
      <c r="AF60" s="694">
        <v>0</v>
      </c>
      <c r="AG60" s="697">
        <v>0</v>
      </c>
      <c r="AH60" s="694">
        <v>0</v>
      </c>
      <c r="AI60" s="697">
        <v>0</v>
      </c>
      <c r="AJ60" s="694">
        <v>0</v>
      </c>
      <c r="AK60" s="697">
        <v>0</v>
      </c>
      <c r="AL60" s="1003">
        <v>0</v>
      </c>
      <c r="AM60" s="1004">
        <v>0</v>
      </c>
      <c r="AN60" s="694">
        <v>0</v>
      </c>
      <c r="AO60" s="697">
        <v>0</v>
      </c>
      <c r="AP60" s="694">
        <v>0</v>
      </c>
      <c r="AQ60" s="697">
        <v>0</v>
      </c>
      <c r="AR60" s="107" t="str">
        <f t="shared" si="40"/>
        <v/>
      </c>
      <c r="CA60" s="191" t="str">
        <f t="shared" si="41"/>
        <v/>
      </c>
      <c r="CB60" s="191" t="str">
        <f t="shared" si="42"/>
        <v/>
      </c>
      <c r="CC60" s="191" t="str">
        <f t="shared" si="43"/>
        <v/>
      </c>
      <c r="CD60" s="191" t="str">
        <f t="shared" si="44"/>
        <v/>
      </c>
      <c r="CM60" s="1048">
        <f t="shared" si="45"/>
        <v>0</v>
      </c>
      <c r="CN60" s="1048">
        <f t="shared" si="46"/>
        <v>0</v>
      </c>
      <c r="CO60" s="1048">
        <f t="shared" si="49"/>
        <v>0</v>
      </c>
      <c r="CP60" s="1048">
        <f t="shared" si="47"/>
        <v>0</v>
      </c>
    </row>
    <row r="61" spans="1:100" ht="17.100000000000001" customHeight="1" x14ac:dyDescent="0.25">
      <c r="A61" s="1893" t="s">
        <v>471</v>
      </c>
      <c r="B61" s="1893"/>
      <c r="C61" s="1893"/>
      <c r="D61" s="1893"/>
      <c r="E61" s="1893"/>
      <c r="F61" s="1893"/>
      <c r="G61" s="1893"/>
      <c r="H61" s="1893"/>
      <c r="I61" s="1893"/>
      <c r="J61" s="1893"/>
      <c r="K61" s="1893"/>
      <c r="L61" s="1893"/>
      <c r="M61" s="1893"/>
      <c r="N61" s="1893"/>
      <c r="O61" s="1893"/>
      <c r="P61" s="1893"/>
      <c r="Q61" s="1893"/>
      <c r="R61" s="1893"/>
      <c r="S61" s="1893"/>
      <c r="T61" s="1893"/>
      <c r="U61" s="1893"/>
      <c r="V61" s="1893"/>
      <c r="W61" s="1893"/>
      <c r="X61" s="1893"/>
      <c r="Y61" s="1893"/>
      <c r="Z61" s="1893"/>
      <c r="AA61" s="1893"/>
      <c r="AB61" s="1893"/>
      <c r="AC61" s="1893"/>
      <c r="AD61" s="1893"/>
      <c r="AE61" s="1893"/>
      <c r="AF61" s="1893"/>
      <c r="AG61" s="1893"/>
      <c r="AH61" s="1893"/>
      <c r="AI61" s="1893"/>
      <c r="AJ61" s="1893"/>
      <c r="AK61" s="1893"/>
      <c r="AL61" s="1893"/>
      <c r="AM61" s="1893"/>
    </row>
    <row r="62" spans="1:100" ht="25.5" customHeight="1" x14ac:dyDescent="0.25">
      <c r="A62" s="1941" t="s">
        <v>408</v>
      </c>
      <c r="B62" s="1941"/>
      <c r="C62" s="1717" t="s">
        <v>54</v>
      </c>
      <c r="D62" s="1718"/>
      <c r="E62" s="1719"/>
      <c r="F62" s="1889" t="s">
        <v>472</v>
      </c>
      <c r="G62" s="1890"/>
      <c r="H62" s="1890"/>
      <c r="I62" s="1890"/>
      <c r="J62" s="1890"/>
      <c r="K62" s="1890"/>
      <c r="L62" s="1890"/>
      <c r="M62" s="1890"/>
      <c r="N62" s="1890"/>
      <c r="O62" s="1890"/>
      <c r="P62" s="1890"/>
      <c r="Q62" s="1890"/>
      <c r="R62" s="1890"/>
      <c r="S62" s="1890"/>
      <c r="T62" s="1890"/>
      <c r="U62" s="1890"/>
      <c r="V62" s="1890"/>
      <c r="W62" s="1890"/>
      <c r="X62" s="1890"/>
      <c r="Y62" s="1890"/>
      <c r="Z62" s="1890"/>
      <c r="AA62" s="1890"/>
      <c r="AB62" s="1890"/>
      <c r="AC62" s="1890"/>
      <c r="AD62" s="1890"/>
      <c r="AE62" s="1890"/>
      <c r="AF62" s="1890"/>
      <c r="AG62" s="1890"/>
      <c r="AH62" s="1890"/>
      <c r="AI62" s="1890"/>
      <c r="AJ62" s="1890"/>
      <c r="AK62" s="1890"/>
      <c r="AL62" s="1890"/>
      <c r="AM62" s="1891"/>
      <c r="AN62" s="1873" t="s">
        <v>56</v>
      </c>
      <c r="AO62" s="1870"/>
      <c r="AP62" s="1873" t="s">
        <v>113</v>
      </c>
      <c r="AQ62" s="1870"/>
    </row>
    <row r="63" spans="1:100" x14ac:dyDescent="0.25">
      <c r="A63" s="1941"/>
      <c r="B63" s="1941"/>
      <c r="C63" s="1720"/>
      <c r="D63" s="1721"/>
      <c r="E63" s="1722"/>
      <c r="F63" s="1884" t="s">
        <v>410</v>
      </c>
      <c r="G63" s="1887"/>
      <c r="H63" s="1884" t="s">
        <v>411</v>
      </c>
      <c r="I63" s="1887"/>
      <c r="J63" s="1884" t="s">
        <v>322</v>
      </c>
      <c r="K63" s="1887"/>
      <c r="L63" s="1879" t="s">
        <v>62</v>
      </c>
      <c r="M63" s="1879"/>
      <c r="N63" s="1879" t="s">
        <v>63</v>
      </c>
      <c r="O63" s="1879"/>
      <c r="P63" s="1879" t="s">
        <v>64</v>
      </c>
      <c r="Q63" s="1879"/>
      <c r="R63" s="1885" t="s">
        <v>65</v>
      </c>
      <c r="S63" s="1803"/>
      <c r="T63" s="1879" t="s">
        <v>66</v>
      </c>
      <c r="U63" s="1879"/>
      <c r="V63" s="1885" t="s">
        <v>67</v>
      </c>
      <c r="W63" s="1803"/>
      <c r="X63" s="1879" t="s">
        <v>68</v>
      </c>
      <c r="Y63" s="1879"/>
      <c r="Z63" s="1885" t="s">
        <v>69</v>
      </c>
      <c r="AA63" s="1803"/>
      <c r="AB63" s="1879" t="s">
        <v>70</v>
      </c>
      <c r="AC63" s="1879"/>
      <c r="AD63" s="1885" t="s">
        <v>71</v>
      </c>
      <c r="AE63" s="1803"/>
      <c r="AF63" s="1880" t="s">
        <v>72</v>
      </c>
      <c r="AG63" s="1881"/>
      <c r="AH63" s="1880" t="s">
        <v>412</v>
      </c>
      <c r="AI63" s="1881"/>
      <c r="AJ63" s="1880" t="s">
        <v>413</v>
      </c>
      <c r="AK63" s="1881"/>
      <c r="AL63" s="1880" t="s">
        <v>414</v>
      </c>
      <c r="AM63" s="1888"/>
      <c r="AN63" s="1871"/>
      <c r="AO63" s="1872"/>
      <c r="AP63" s="1871"/>
      <c r="AQ63" s="1872"/>
    </row>
    <row r="64" spans="1:100" ht="21" x14ac:dyDescent="0.25">
      <c r="A64" s="1941"/>
      <c r="B64" s="1941"/>
      <c r="C64" s="1472" t="s">
        <v>415</v>
      </c>
      <c r="D64" s="1460" t="s">
        <v>91</v>
      </c>
      <c r="E64" s="1461" t="s">
        <v>232</v>
      </c>
      <c r="F64" s="1473" t="s">
        <v>91</v>
      </c>
      <c r="G64" s="998" t="s">
        <v>232</v>
      </c>
      <c r="H64" s="1473" t="s">
        <v>91</v>
      </c>
      <c r="I64" s="998" t="s">
        <v>232</v>
      </c>
      <c r="J64" s="1473" t="s">
        <v>91</v>
      </c>
      <c r="K64" s="998" t="s">
        <v>232</v>
      </c>
      <c r="L64" s="1474" t="s">
        <v>91</v>
      </c>
      <c r="M64" s="876" t="s">
        <v>232</v>
      </c>
      <c r="N64" s="1474" t="s">
        <v>91</v>
      </c>
      <c r="O64" s="876" t="s">
        <v>232</v>
      </c>
      <c r="P64" s="1474" t="s">
        <v>91</v>
      </c>
      <c r="Q64" s="876" t="s">
        <v>232</v>
      </c>
      <c r="R64" s="1465" t="s">
        <v>91</v>
      </c>
      <c r="S64" s="994" t="s">
        <v>232</v>
      </c>
      <c r="T64" s="1474" t="s">
        <v>91</v>
      </c>
      <c r="U64" s="876" t="s">
        <v>232</v>
      </c>
      <c r="V64" s="1465" t="s">
        <v>91</v>
      </c>
      <c r="W64" s="994" t="s">
        <v>232</v>
      </c>
      <c r="X64" s="1474" t="s">
        <v>91</v>
      </c>
      <c r="Y64" s="876" t="s">
        <v>232</v>
      </c>
      <c r="Z64" s="1465" t="s">
        <v>91</v>
      </c>
      <c r="AA64" s="994" t="s">
        <v>232</v>
      </c>
      <c r="AB64" s="1474" t="s">
        <v>91</v>
      </c>
      <c r="AC64" s="876" t="s">
        <v>232</v>
      </c>
      <c r="AD64" s="1465" t="s">
        <v>91</v>
      </c>
      <c r="AE64" s="994" t="s">
        <v>232</v>
      </c>
      <c r="AF64" s="1466" t="s">
        <v>416</v>
      </c>
      <c r="AG64" s="875" t="s">
        <v>232</v>
      </c>
      <c r="AH64" s="1466" t="s">
        <v>416</v>
      </c>
      <c r="AI64" s="875" t="s">
        <v>232</v>
      </c>
      <c r="AJ64" s="1466" t="s">
        <v>416</v>
      </c>
      <c r="AK64" s="875" t="s">
        <v>232</v>
      </c>
      <c r="AL64" s="1466" t="s">
        <v>416</v>
      </c>
      <c r="AM64" s="759" t="s">
        <v>232</v>
      </c>
      <c r="AN64" s="1467" t="s">
        <v>416</v>
      </c>
      <c r="AO64" s="875" t="s">
        <v>232</v>
      </c>
      <c r="AP64" s="1467" t="s">
        <v>416</v>
      </c>
      <c r="AQ64" s="875" t="s">
        <v>232</v>
      </c>
    </row>
    <row r="65" spans="1:95" ht="15" customHeight="1" x14ac:dyDescent="0.25">
      <c r="A65" s="1936" t="s">
        <v>419</v>
      </c>
      <c r="B65" s="95" t="s">
        <v>473</v>
      </c>
      <c r="C65" s="1146">
        <f>+D65+E65</f>
        <v>0</v>
      </c>
      <c r="D65" s="392">
        <f>+F65+H65+J65+L65+N65+P65+R65++T65+V65+X65+Z65+AB65+AD65++AF65+AH65+AJ65+AL65</f>
        <v>0</v>
      </c>
      <c r="E65" s="384">
        <f>+G65+I65+K65+M65+O65+Q65+S65++U65+W65+Y65+AA65+AC65+AE65++AG65+AI65+AK65+AM65</f>
        <v>0</v>
      </c>
      <c r="F65" s="394">
        <v>0</v>
      </c>
      <c r="G65" s="418">
        <v>0</v>
      </c>
      <c r="H65" s="394">
        <v>0</v>
      </c>
      <c r="I65" s="418">
        <v>0</v>
      </c>
      <c r="J65" s="394">
        <v>0</v>
      </c>
      <c r="K65" s="418">
        <v>0</v>
      </c>
      <c r="L65" s="417">
        <v>0</v>
      </c>
      <c r="M65" s="418">
        <v>0</v>
      </c>
      <c r="N65" s="394">
        <v>0</v>
      </c>
      <c r="O65" s="432">
        <v>0</v>
      </c>
      <c r="P65" s="394">
        <v>0</v>
      </c>
      <c r="Q65" s="432">
        <v>0</v>
      </c>
      <c r="R65" s="394">
        <v>0</v>
      </c>
      <c r="S65" s="432">
        <v>0</v>
      </c>
      <c r="T65" s="394">
        <v>0</v>
      </c>
      <c r="U65" s="432">
        <v>0</v>
      </c>
      <c r="V65" s="394">
        <v>0</v>
      </c>
      <c r="W65" s="432">
        <v>0</v>
      </c>
      <c r="X65" s="394">
        <v>0</v>
      </c>
      <c r="Y65" s="432">
        <v>0</v>
      </c>
      <c r="Z65" s="394">
        <v>0</v>
      </c>
      <c r="AA65" s="432">
        <v>0</v>
      </c>
      <c r="AB65" s="394">
        <v>0</v>
      </c>
      <c r="AC65" s="432">
        <v>0</v>
      </c>
      <c r="AD65" s="394">
        <v>0</v>
      </c>
      <c r="AE65" s="432">
        <v>0</v>
      </c>
      <c r="AF65" s="394">
        <v>0</v>
      </c>
      <c r="AG65" s="432">
        <v>0</v>
      </c>
      <c r="AH65" s="394">
        <v>0</v>
      </c>
      <c r="AI65" s="432">
        <v>0</v>
      </c>
      <c r="AJ65" s="394">
        <v>0</v>
      </c>
      <c r="AK65" s="432">
        <v>0</v>
      </c>
      <c r="AL65" s="394">
        <v>0</v>
      </c>
      <c r="AM65" s="999">
        <v>0</v>
      </c>
      <c r="AN65" s="462">
        <v>0</v>
      </c>
      <c r="AO65" s="432">
        <v>0</v>
      </c>
      <c r="AP65" s="462">
        <v>0</v>
      </c>
      <c r="AQ65" s="432">
        <v>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50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51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52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48">
        <f>IF(SUM(C15:C17)&gt;=SUM(C65:C68),0,1)</f>
        <v>0</v>
      </c>
      <c r="CN65" s="1048">
        <f>IF(AND($D65&gt;0,OR(AN65="")),1,IF(AN65&gt;$D65,1,0))</f>
        <v>0</v>
      </c>
      <c r="CO65" s="1048">
        <f t="shared" ref="CO65:CO71" si="53">IF(AND($E65&gt;0,OR(AO65="")),1,IF(AO65&gt;$E65,1,0))</f>
        <v>0</v>
      </c>
      <c r="CP65" s="1048">
        <f t="shared" ref="CP65:CP71" si="54">IF(AND($D65&gt;0,OR(AP65="")),1,IF(AP65&gt;$D65,1,0))</f>
        <v>0</v>
      </c>
      <c r="CQ65" s="1048">
        <f t="shared" ref="CQ65:CQ71" si="55">IF(AND($E65&gt;0,OR(AQ65="")),1,IF(AQ65&gt;$E65,1,0))</f>
        <v>0</v>
      </c>
    </row>
    <row r="66" spans="1:95" ht="15" customHeight="1" x14ac:dyDescent="0.25">
      <c r="A66" s="1935"/>
      <c r="B66" s="96" t="s">
        <v>474</v>
      </c>
      <c r="C66" s="1148">
        <f t="shared" ref="C66:C71" si="56">+D66+E66</f>
        <v>0</v>
      </c>
      <c r="D66" s="397">
        <f>+F66+H66+J66+L66+N66+P66+R66++T66+V66+X66+Z66+AB66+AD66++AF66+AH66+AJ66+AL66</f>
        <v>0</v>
      </c>
      <c r="E66" s="385">
        <f t="shared" ref="D66:E68" si="57">+G66+I66+K66+M66+O66+Q66+S66++U66+W66+Y66+AA66+AC66+AE66++AG66+AI66+AK66+AM66</f>
        <v>0</v>
      </c>
      <c r="F66" s="417">
        <v>0</v>
      </c>
      <c r="G66" s="418">
        <v>0</v>
      </c>
      <c r="H66" s="417">
        <v>0</v>
      </c>
      <c r="I66" s="418">
        <v>0</v>
      </c>
      <c r="J66" s="417">
        <v>0</v>
      </c>
      <c r="K66" s="418">
        <v>0</v>
      </c>
      <c r="L66" s="417">
        <v>0</v>
      </c>
      <c r="M66" s="418">
        <v>0</v>
      </c>
      <c r="N66" s="417">
        <v>0</v>
      </c>
      <c r="O66" s="432">
        <v>0</v>
      </c>
      <c r="P66" s="417">
        <v>0</v>
      </c>
      <c r="Q66" s="432">
        <v>0</v>
      </c>
      <c r="R66" s="417">
        <v>0</v>
      </c>
      <c r="S66" s="432">
        <v>0</v>
      </c>
      <c r="T66" s="417">
        <v>0</v>
      </c>
      <c r="U66" s="432">
        <v>0</v>
      </c>
      <c r="V66" s="417">
        <v>0</v>
      </c>
      <c r="W66" s="432">
        <v>0</v>
      </c>
      <c r="X66" s="417">
        <v>0</v>
      </c>
      <c r="Y66" s="432">
        <v>0</v>
      </c>
      <c r="Z66" s="417">
        <v>0</v>
      </c>
      <c r="AA66" s="432">
        <v>0</v>
      </c>
      <c r="AB66" s="417">
        <v>0</v>
      </c>
      <c r="AC66" s="432">
        <v>0</v>
      </c>
      <c r="AD66" s="417">
        <v>0</v>
      </c>
      <c r="AE66" s="432">
        <v>0</v>
      </c>
      <c r="AF66" s="417">
        <v>0</v>
      </c>
      <c r="AG66" s="432">
        <v>0</v>
      </c>
      <c r="AH66" s="417">
        <v>0</v>
      </c>
      <c r="AI66" s="432">
        <v>0</v>
      </c>
      <c r="AJ66" s="417">
        <v>0</v>
      </c>
      <c r="AK66" s="432">
        <v>0</v>
      </c>
      <c r="AL66" s="417">
        <v>0</v>
      </c>
      <c r="AM66" s="999">
        <v>0</v>
      </c>
      <c r="AN66" s="468">
        <v>0</v>
      </c>
      <c r="AO66" s="432">
        <v>0</v>
      </c>
      <c r="AP66" s="468">
        <v>0</v>
      </c>
      <c r="AQ66" s="432">
        <v>0</v>
      </c>
      <c r="AR66" s="107" t="str">
        <f>$CB66&amp;CC66&amp;CD66&amp;CE66</f>
        <v/>
      </c>
      <c r="CB66" s="191" t="str">
        <f t="shared" si="50"/>
        <v/>
      </c>
      <c r="CC66" s="191" t="str">
        <f t="shared" si="51"/>
        <v/>
      </c>
      <c r="CD66" s="191" t="str">
        <f t="shared" si="52"/>
        <v/>
      </c>
      <c r="CE66" s="191" t="str">
        <f t="shared" ref="CE66:CE71" si="58">IF(AND($E66&gt;0,OR(AQ66=""))," * No olvide digitar la variable Migrantes Mujeres. Digite Cero si no tiene.",IF(AQ66&gt;$E66," * La variable Migrantes Mujeres no puede ser Mayor al Total Mujeres.",""))</f>
        <v/>
      </c>
      <c r="CN66" s="1048">
        <f t="shared" ref="CN66:CN71" si="59">IF(AND($D66&gt;0,OR(AN66="")),1,IF(AN66&gt;$D66,1,0))</f>
        <v>0</v>
      </c>
      <c r="CO66" s="1048">
        <f t="shared" si="53"/>
        <v>0</v>
      </c>
      <c r="CP66" s="1048">
        <f t="shared" si="54"/>
        <v>0</v>
      </c>
      <c r="CQ66" s="1048">
        <f t="shared" si="55"/>
        <v>0</v>
      </c>
    </row>
    <row r="67" spans="1:95" ht="15" customHeight="1" x14ac:dyDescent="0.25">
      <c r="A67" s="1935"/>
      <c r="B67" s="96" t="s">
        <v>475</v>
      </c>
      <c r="C67" s="1148">
        <f t="shared" si="56"/>
        <v>0</v>
      </c>
      <c r="D67" s="397">
        <f t="shared" si="57"/>
        <v>0</v>
      </c>
      <c r="E67" s="385">
        <f t="shared" si="57"/>
        <v>0</v>
      </c>
      <c r="F67" s="417">
        <v>0</v>
      </c>
      <c r="G67" s="418">
        <v>0</v>
      </c>
      <c r="H67" s="417">
        <v>0</v>
      </c>
      <c r="I67" s="418">
        <v>0</v>
      </c>
      <c r="J67" s="417">
        <v>0</v>
      </c>
      <c r="K67" s="418">
        <v>0</v>
      </c>
      <c r="L67" s="417">
        <v>0</v>
      </c>
      <c r="M67" s="418">
        <v>0</v>
      </c>
      <c r="N67" s="417">
        <v>0</v>
      </c>
      <c r="O67" s="432">
        <v>0</v>
      </c>
      <c r="P67" s="417">
        <v>0</v>
      </c>
      <c r="Q67" s="432">
        <v>0</v>
      </c>
      <c r="R67" s="417">
        <v>0</v>
      </c>
      <c r="S67" s="432">
        <v>0</v>
      </c>
      <c r="T67" s="417">
        <v>0</v>
      </c>
      <c r="U67" s="432">
        <v>0</v>
      </c>
      <c r="V67" s="417">
        <v>0</v>
      </c>
      <c r="W67" s="432">
        <v>0</v>
      </c>
      <c r="X67" s="417">
        <v>0</v>
      </c>
      <c r="Y67" s="432">
        <v>0</v>
      </c>
      <c r="Z67" s="417">
        <v>0</v>
      </c>
      <c r="AA67" s="432">
        <v>0</v>
      </c>
      <c r="AB67" s="417">
        <v>0</v>
      </c>
      <c r="AC67" s="432">
        <v>0</v>
      </c>
      <c r="AD67" s="417">
        <v>0</v>
      </c>
      <c r="AE67" s="432">
        <v>0</v>
      </c>
      <c r="AF67" s="417">
        <v>0</v>
      </c>
      <c r="AG67" s="432">
        <v>0</v>
      </c>
      <c r="AH67" s="417">
        <v>0</v>
      </c>
      <c r="AI67" s="432">
        <v>0</v>
      </c>
      <c r="AJ67" s="417">
        <v>0</v>
      </c>
      <c r="AK67" s="432">
        <v>0</v>
      </c>
      <c r="AL67" s="417">
        <v>0</v>
      </c>
      <c r="AM67" s="999">
        <v>0</v>
      </c>
      <c r="AN67" s="468">
        <v>0</v>
      </c>
      <c r="AO67" s="432">
        <v>0</v>
      </c>
      <c r="AP67" s="468">
        <v>0</v>
      </c>
      <c r="AQ67" s="432">
        <v>0</v>
      </c>
      <c r="AR67" s="107" t="str">
        <f t="shared" ref="AR67:AR70" si="60">$CB67&amp;CC67&amp;CD67&amp;CE67</f>
        <v/>
      </c>
      <c r="CB67" s="191" t="str">
        <f t="shared" si="50"/>
        <v/>
      </c>
      <c r="CC67" s="191" t="str">
        <f t="shared" si="51"/>
        <v/>
      </c>
      <c r="CD67" s="191" t="str">
        <f t="shared" si="52"/>
        <v/>
      </c>
      <c r="CE67" s="191" t="str">
        <f t="shared" si="58"/>
        <v/>
      </c>
      <c r="CN67" s="1048">
        <f t="shared" si="59"/>
        <v>0</v>
      </c>
      <c r="CO67" s="1048">
        <f t="shared" si="53"/>
        <v>0</v>
      </c>
      <c r="CP67" s="1048">
        <f t="shared" si="54"/>
        <v>0</v>
      </c>
      <c r="CQ67" s="1048">
        <f t="shared" si="55"/>
        <v>0</v>
      </c>
    </row>
    <row r="68" spans="1:95" ht="15" customHeight="1" x14ac:dyDescent="0.25">
      <c r="A68" s="1659"/>
      <c r="B68" s="96" t="s">
        <v>476</v>
      </c>
      <c r="C68" s="1144">
        <f t="shared" si="56"/>
        <v>0</v>
      </c>
      <c r="D68" s="391">
        <f t="shared" si="57"/>
        <v>0</v>
      </c>
      <c r="E68" s="386">
        <f t="shared" si="57"/>
        <v>0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3">
        <v>0</v>
      </c>
      <c r="O68" s="432">
        <v>0</v>
      </c>
      <c r="P68" s="417">
        <v>0</v>
      </c>
      <c r="Q68" s="432">
        <v>0</v>
      </c>
      <c r="R68" s="417">
        <v>0</v>
      </c>
      <c r="S68" s="432">
        <v>0</v>
      </c>
      <c r="T68" s="417">
        <v>0</v>
      </c>
      <c r="U68" s="432">
        <v>0</v>
      </c>
      <c r="V68" s="417">
        <v>0</v>
      </c>
      <c r="W68" s="432">
        <v>0</v>
      </c>
      <c r="X68" s="417">
        <v>0</v>
      </c>
      <c r="Y68" s="432">
        <v>0</v>
      </c>
      <c r="Z68" s="417">
        <v>0</v>
      </c>
      <c r="AA68" s="432">
        <v>0</v>
      </c>
      <c r="AB68" s="417">
        <v>0</v>
      </c>
      <c r="AC68" s="432">
        <v>0</v>
      </c>
      <c r="AD68" s="417">
        <v>0</v>
      </c>
      <c r="AE68" s="432">
        <v>0</v>
      </c>
      <c r="AF68" s="417">
        <v>0</v>
      </c>
      <c r="AG68" s="432">
        <v>0</v>
      </c>
      <c r="AH68" s="417">
        <v>0</v>
      </c>
      <c r="AI68" s="432">
        <v>0</v>
      </c>
      <c r="AJ68" s="417">
        <v>0</v>
      </c>
      <c r="AK68" s="432">
        <v>0</v>
      </c>
      <c r="AL68" s="417">
        <v>0</v>
      </c>
      <c r="AM68" s="999">
        <v>0</v>
      </c>
      <c r="AN68" s="468">
        <v>0</v>
      </c>
      <c r="AO68" s="432">
        <v>0</v>
      </c>
      <c r="AP68" s="468">
        <v>0</v>
      </c>
      <c r="AQ68" s="432">
        <v>0</v>
      </c>
      <c r="AR68" s="107" t="str">
        <f t="shared" si="60"/>
        <v/>
      </c>
      <c r="CB68" s="191" t="str">
        <f t="shared" si="50"/>
        <v/>
      </c>
      <c r="CC68" s="191" t="str">
        <f t="shared" si="51"/>
        <v/>
      </c>
      <c r="CD68" s="191" t="str">
        <f t="shared" si="52"/>
        <v/>
      </c>
      <c r="CE68" s="191" t="str">
        <f t="shared" si="58"/>
        <v/>
      </c>
      <c r="CN68" s="1048">
        <f t="shared" si="59"/>
        <v>0</v>
      </c>
      <c r="CO68" s="1048">
        <f t="shared" si="53"/>
        <v>0</v>
      </c>
      <c r="CP68" s="1048">
        <f t="shared" si="54"/>
        <v>0</v>
      </c>
      <c r="CQ68" s="1048">
        <f t="shared" si="55"/>
        <v>0</v>
      </c>
    </row>
    <row r="69" spans="1:95" ht="15" customHeight="1" x14ac:dyDescent="0.25">
      <c r="A69" s="1936" t="s">
        <v>420</v>
      </c>
      <c r="B69" s="97" t="s">
        <v>477</v>
      </c>
      <c r="C69" s="1143">
        <f t="shared" si="56"/>
        <v>0</v>
      </c>
      <c r="D69" s="387">
        <f>+V69+X69+Z69+AB69+AD69+AF69+AH69+AJ69+AL69</f>
        <v>0</v>
      </c>
      <c r="E69" s="388">
        <f>+W69+Y69+AA69+AC69+AE69+AG69+AI69+AK69+AM69</f>
        <v>0</v>
      </c>
      <c r="F69" s="433"/>
      <c r="G69" s="434"/>
      <c r="H69" s="433"/>
      <c r="I69" s="434"/>
      <c r="J69" s="433"/>
      <c r="K69" s="434"/>
      <c r="L69" s="433"/>
      <c r="M69" s="434"/>
      <c r="N69" s="433"/>
      <c r="O69" s="435"/>
      <c r="P69" s="433"/>
      <c r="Q69" s="435"/>
      <c r="R69" s="433"/>
      <c r="S69" s="435"/>
      <c r="T69" s="433"/>
      <c r="U69" s="435"/>
      <c r="V69" s="417">
        <v>0</v>
      </c>
      <c r="W69" s="432">
        <v>0</v>
      </c>
      <c r="X69" s="417">
        <v>0</v>
      </c>
      <c r="Y69" s="432">
        <v>0</v>
      </c>
      <c r="Z69" s="417">
        <v>0</v>
      </c>
      <c r="AA69" s="432">
        <v>0</v>
      </c>
      <c r="AB69" s="417">
        <v>0</v>
      </c>
      <c r="AC69" s="432">
        <v>0</v>
      </c>
      <c r="AD69" s="417">
        <v>0</v>
      </c>
      <c r="AE69" s="432">
        <v>0</v>
      </c>
      <c r="AF69" s="417">
        <v>0</v>
      </c>
      <c r="AG69" s="432">
        <v>0</v>
      </c>
      <c r="AH69" s="417">
        <v>0</v>
      </c>
      <c r="AI69" s="432">
        <v>0</v>
      </c>
      <c r="AJ69" s="417">
        <v>0</v>
      </c>
      <c r="AK69" s="432">
        <v>0</v>
      </c>
      <c r="AL69" s="417">
        <v>0</v>
      </c>
      <c r="AM69" s="999">
        <v>0</v>
      </c>
      <c r="AN69" s="468">
        <v>0</v>
      </c>
      <c r="AO69" s="432">
        <v>0</v>
      </c>
      <c r="AP69" s="468">
        <v>0</v>
      </c>
      <c r="AQ69" s="432">
        <v>0</v>
      </c>
      <c r="AR69" s="107" t="str">
        <f t="shared" si="60"/>
        <v/>
      </c>
      <c r="CB69" s="191" t="str">
        <f t="shared" si="50"/>
        <v/>
      </c>
      <c r="CC69" s="191" t="str">
        <f t="shared" si="51"/>
        <v/>
      </c>
      <c r="CD69" s="191" t="str">
        <f t="shared" si="52"/>
        <v/>
      </c>
      <c r="CE69" s="191" t="str">
        <f t="shared" si="58"/>
        <v/>
      </c>
      <c r="CN69" s="1048">
        <f t="shared" si="59"/>
        <v>0</v>
      </c>
      <c r="CO69" s="1048">
        <f t="shared" si="53"/>
        <v>0</v>
      </c>
      <c r="CP69" s="1048">
        <f t="shared" si="54"/>
        <v>0</v>
      </c>
      <c r="CQ69" s="1048">
        <f t="shared" si="55"/>
        <v>0</v>
      </c>
    </row>
    <row r="70" spans="1:95" ht="15" customHeight="1" x14ac:dyDescent="0.25">
      <c r="A70" s="1937"/>
      <c r="B70" s="87" t="s">
        <v>478</v>
      </c>
      <c r="C70" s="1302">
        <f t="shared" si="56"/>
        <v>0</v>
      </c>
      <c r="D70" s="389">
        <f>+V70+X70+Z70+AB70+AD70+AF70+AH70+AJ70+AL70</f>
        <v>0</v>
      </c>
      <c r="E70" s="390">
        <f t="shared" ref="D70:E71" si="61">+W70+Y70+AA70+AC70+AE70+AG70+AI70+AK70+AM70</f>
        <v>0</v>
      </c>
      <c r="F70" s="436"/>
      <c r="G70" s="437"/>
      <c r="H70" s="436"/>
      <c r="I70" s="437"/>
      <c r="J70" s="436"/>
      <c r="K70" s="437"/>
      <c r="L70" s="436"/>
      <c r="M70" s="437"/>
      <c r="N70" s="436"/>
      <c r="O70" s="438"/>
      <c r="P70" s="436"/>
      <c r="Q70" s="438"/>
      <c r="R70" s="436"/>
      <c r="S70" s="438"/>
      <c r="T70" s="436"/>
      <c r="U70" s="438"/>
      <c r="V70" s="417">
        <v>0</v>
      </c>
      <c r="W70" s="432">
        <v>0</v>
      </c>
      <c r="X70" s="417">
        <v>0</v>
      </c>
      <c r="Y70" s="432">
        <v>0</v>
      </c>
      <c r="Z70" s="417">
        <v>0</v>
      </c>
      <c r="AA70" s="432">
        <v>0</v>
      </c>
      <c r="AB70" s="417">
        <v>0</v>
      </c>
      <c r="AC70" s="432">
        <v>0</v>
      </c>
      <c r="AD70" s="417">
        <v>0</v>
      </c>
      <c r="AE70" s="432">
        <v>0</v>
      </c>
      <c r="AF70" s="417">
        <v>0</v>
      </c>
      <c r="AG70" s="432">
        <v>0</v>
      </c>
      <c r="AH70" s="417">
        <v>0</v>
      </c>
      <c r="AI70" s="432">
        <v>0</v>
      </c>
      <c r="AJ70" s="417">
        <v>0</v>
      </c>
      <c r="AK70" s="432">
        <v>0</v>
      </c>
      <c r="AL70" s="417">
        <v>0</v>
      </c>
      <c r="AM70" s="999">
        <v>0</v>
      </c>
      <c r="AN70" s="468">
        <v>0</v>
      </c>
      <c r="AO70" s="432">
        <v>0</v>
      </c>
      <c r="AP70" s="468">
        <v>0</v>
      </c>
      <c r="AQ70" s="432">
        <v>0</v>
      </c>
      <c r="AR70" s="107" t="str">
        <f t="shared" si="60"/>
        <v/>
      </c>
      <c r="CB70" s="191" t="str">
        <f t="shared" si="50"/>
        <v/>
      </c>
      <c r="CC70" s="191" t="str">
        <f t="shared" si="51"/>
        <v/>
      </c>
      <c r="CD70" s="191" t="str">
        <f t="shared" si="52"/>
        <v/>
      </c>
      <c r="CE70" s="191" t="str">
        <f t="shared" si="58"/>
        <v/>
      </c>
      <c r="CN70" s="1048">
        <f t="shared" si="59"/>
        <v>0</v>
      </c>
      <c r="CO70" s="1048">
        <f t="shared" si="53"/>
        <v>0</v>
      </c>
      <c r="CP70" s="1048">
        <f t="shared" si="54"/>
        <v>0</v>
      </c>
      <c r="CQ70" s="1048">
        <f t="shared" si="55"/>
        <v>0</v>
      </c>
    </row>
    <row r="71" spans="1:95" ht="15" customHeight="1" x14ac:dyDescent="0.25">
      <c r="A71" s="1659"/>
      <c r="B71" s="98" t="s">
        <v>476</v>
      </c>
      <c r="C71" s="1144">
        <f t="shared" si="56"/>
        <v>0</v>
      </c>
      <c r="D71" s="391">
        <f t="shared" si="61"/>
        <v>0</v>
      </c>
      <c r="E71" s="386">
        <f t="shared" si="61"/>
        <v>0</v>
      </c>
      <c r="F71" s="439"/>
      <c r="G71" s="440"/>
      <c r="H71" s="439"/>
      <c r="I71" s="440"/>
      <c r="J71" s="439"/>
      <c r="K71" s="440"/>
      <c r="L71" s="439"/>
      <c r="M71" s="440"/>
      <c r="N71" s="439"/>
      <c r="O71" s="441"/>
      <c r="P71" s="439"/>
      <c r="Q71" s="441"/>
      <c r="R71" s="439"/>
      <c r="S71" s="441"/>
      <c r="T71" s="439"/>
      <c r="U71" s="441"/>
      <c r="V71" s="403">
        <v>0</v>
      </c>
      <c r="W71" s="442">
        <v>0</v>
      </c>
      <c r="X71" s="403">
        <v>0</v>
      </c>
      <c r="Y71" s="442">
        <v>0</v>
      </c>
      <c r="Z71" s="403">
        <v>0</v>
      </c>
      <c r="AA71" s="442">
        <v>0</v>
      </c>
      <c r="AB71" s="403">
        <v>0</v>
      </c>
      <c r="AC71" s="442">
        <v>0</v>
      </c>
      <c r="AD71" s="403">
        <v>0</v>
      </c>
      <c r="AE71" s="442">
        <v>0</v>
      </c>
      <c r="AF71" s="403">
        <v>0</v>
      </c>
      <c r="AG71" s="442">
        <v>0</v>
      </c>
      <c r="AH71" s="403">
        <v>0</v>
      </c>
      <c r="AI71" s="442">
        <v>0</v>
      </c>
      <c r="AJ71" s="403">
        <v>0</v>
      </c>
      <c r="AK71" s="442">
        <v>0</v>
      </c>
      <c r="AL71" s="403">
        <v>0</v>
      </c>
      <c r="AM71" s="1000">
        <v>0</v>
      </c>
      <c r="AN71" s="464">
        <v>0</v>
      </c>
      <c r="AO71" s="442">
        <v>0</v>
      </c>
      <c r="AP71" s="464">
        <v>0</v>
      </c>
      <c r="AQ71" s="442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50"/>
        <v/>
      </c>
      <c r="CC71" s="191" t="str">
        <f t="shared" si="51"/>
        <v/>
      </c>
      <c r="CD71" s="191" t="str">
        <f t="shared" si="52"/>
        <v/>
      </c>
      <c r="CE71" s="191" t="str">
        <f t="shared" si="58"/>
        <v/>
      </c>
      <c r="CM71" s="1048">
        <f>IF(SUM(C18:C19)&gt;=SUM(C69:C71),0,1)</f>
        <v>0</v>
      </c>
      <c r="CN71" s="1048">
        <f t="shared" si="59"/>
        <v>0</v>
      </c>
      <c r="CO71" s="1048">
        <f t="shared" si="53"/>
        <v>0</v>
      </c>
      <c r="CP71" s="1048">
        <f t="shared" si="54"/>
        <v>0</v>
      </c>
      <c r="CQ71" s="1048">
        <f t="shared" si="55"/>
        <v>0</v>
      </c>
    </row>
    <row r="72" spans="1:95" ht="17.100000000000001" customHeight="1" x14ac:dyDescent="0.25">
      <c r="A72" s="1252" t="s">
        <v>479</v>
      </c>
      <c r="B72" s="707"/>
      <c r="C72" s="607"/>
      <c r="D72" s="607"/>
      <c r="E72" s="607"/>
      <c r="F72" s="607"/>
      <c r="G72" s="607"/>
      <c r="H72" s="607"/>
      <c r="I72" s="607"/>
      <c r="J72" s="607"/>
      <c r="K72" s="607"/>
      <c r="L72" s="607"/>
      <c r="M72" s="607"/>
      <c r="N72" s="607"/>
      <c r="O72" s="607"/>
      <c r="P72" s="607"/>
      <c r="Q72" s="607"/>
      <c r="R72" s="607"/>
      <c r="S72" s="607"/>
      <c r="T72" s="607"/>
      <c r="U72" s="607"/>
      <c r="V72" s="607"/>
      <c r="W72" s="607"/>
      <c r="X72" s="607"/>
      <c r="Y72" s="607"/>
      <c r="Z72" s="607"/>
      <c r="AA72" s="607"/>
      <c r="AB72" s="607"/>
      <c r="AC72" s="607"/>
      <c r="AD72" s="607"/>
      <c r="AE72" s="607"/>
      <c r="AF72" s="607"/>
      <c r="AG72" s="607"/>
      <c r="AH72" s="607"/>
      <c r="AI72" s="607"/>
      <c r="AJ72" s="607"/>
      <c r="AK72" s="607"/>
      <c r="AL72" s="607"/>
    </row>
    <row r="73" spans="1:95" ht="16.5" customHeight="1" x14ac:dyDescent="0.25">
      <c r="A73" s="1938" t="s">
        <v>480</v>
      </c>
      <c r="B73" s="1942" t="s">
        <v>481</v>
      </c>
      <c r="C73" s="1943" t="s">
        <v>54</v>
      </c>
      <c r="D73" s="1943"/>
      <c r="E73" s="1943"/>
      <c r="F73" s="1927" t="s">
        <v>472</v>
      </c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1928"/>
      <c r="T73" s="1928"/>
      <c r="U73" s="1928"/>
      <c r="V73" s="1928"/>
      <c r="W73" s="1928"/>
      <c r="X73" s="1928"/>
      <c r="Y73" s="1928"/>
      <c r="Z73" s="1928"/>
      <c r="AA73" s="1928"/>
      <c r="AB73" s="1928"/>
      <c r="AC73" s="1928"/>
      <c r="AD73" s="1928"/>
      <c r="AE73" s="1928"/>
      <c r="AF73" s="1928"/>
      <c r="AG73" s="1928"/>
      <c r="AH73" s="1928"/>
      <c r="AI73" s="1928"/>
      <c r="AJ73" s="1928"/>
      <c r="AK73" s="1928"/>
      <c r="AL73" s="1928"/>
      <c r="AM73" s="1929"/>
      <c r="AN73" s="1873" t="s">
        <v>56</v>
      </c>
      <c r="AO73" s="1870"/>
      <c r="AP73" s="1873" t="s">
        <v>113</v>
      </c>
      <c r="AQ73" s="1870"/>
      <c r="AZ73" s="107"/>
      <c r="BA73" s="172"/>
      <c r="BP73" s="607"/>
      <c r="BQ73" s="172"/>
    </row>
    <row r="74" spans="1:95" ht="19.5" customHeight="1" x14ac:dyDescent="0.25">
      <c r="A74" s="1939"/>
      <c r="B74" s="1942"/>
      <c r="C74" s="1943"/>
      <c r="D74" s="1943"/>
      <c r="E74" s="1943"/>
      <c r="F74" s="1877" t="s">
        <v>410</v>
      </c>
      <c r="G74" s="1878"/>
      <c r="H74" s="1877" t="s">
        <v>482</v>
      </c>
      <c r="I74" s="1878"/>
      <c r="J74" s="1933" t="s">
        <v>483</v>
      </c>
      <c r="K74" s="1933"/>
      <c r="L74" s="1877" t="s">
        <v>484</v>
      </c>
      <c r="M74" s="1878"/>
      <c r="N74" s="1932" t="s">
        <v>485</v>
      </c>
      <c r="O74" s="1932"/>
      <c r="P74" s="1932" t="s">
        <v>64</v>
      </c>
      <c r="Q74" s="1932"/>
      <c r="R74" s="1932" t="s">
        <v>65</v>
      </c>
      <c r="S74" s="1932"/>
      <c r="T74" s="1932" t="s">
        <v>66</v>
      </c>
      <c r="U74" s="1932"/>
      <c r="V74" s="1930" t="s">
        <v>486</v>
      </c>
      <c r="W74" s="1934"/>
      <c r="X74" s="1932" t="s">
        <v>487</v>
      </c>
      <c r="Y74" s="1932"/>
      <c r="Z74" s="1930" t="s">
        <v>488</v>
      </c>
      <c r="AA74" s="1934"/>
      <c r="AB74" s="1932" t="s">
        <v>489</v>
      </c>
      <c r="AC74" s="1932"/>
      <c r="AD74" s="1930" t="s">
        <v>490</v>
      </c>
      <c r="AE74" s="1934"/>
      <c r="AF74" s="1932" t="s">
        <v>491</v>
      </c>
      <c r="AG74" s="1932"/>
      <c r="AH74" s="1930" t="s">
        <v>492</v>
      </c>
      <c r="AI74" s="1934"/>
      <c r="AJ74" s="1932" t="s">
        <v>493</v>
      </c>
      <c r="AK74" s="1932"/>
      <c r="AL74" s="1930" t="s">
        <v>494</v>
      </c>
      <c r="AM74" s="1931"/>
      <c r="AN74" s="1871"/>
      <c r="AO74" s="1872"/>
      <c r="AP74" s="1871"/>
      <c r="AQ74" s="1872"/>
      <c r="AZ74" s="107"/>
      <c r="BA74" s="172"/>
      <c r="BP74" s="607"/>
      <c r="BQ74" s="172"/>
    </row>
    <row r="75" spans="1:95" ht="18" customHeight="1" x14ac:dyDescent="0.25">
      <c r="A75" s="1940"/>
      <c r="B75" s="1942"/>
      <c r="C75" s="1476" t="s">
        <v>495</v>
      </c>
      <c r="D75" s="1477" t="s">
        <v>91</v>
      </c>
      <c r="E75" s="1214" t="s">
        <v>232</v>
      </c>
      <c r="F75" s="1465" t="s">
        <v>91</v>
      </c>
      <c r="G75" s="994" t="s">
        <v>232</v>
      </c>
      <c r="H75" s="1354" t="s">
        <v>91</v>
      </c>
      <c r="I75" s="994" t="s">
        <v>232</v>
      </c>
      <c r="J75" s="1354" t="s">
        <v>91</v>
      </c>
      <c r="K75" s="994" t="s">
        <v>232</v>
      </c>
      <c r="L75" s="1354" t="s">
        <v>91</v>
      </c>
      <c r="M75" s="994" t="s">
        <v>232</v>
      </c>
      <c r="N75" s="1354" t="s">
        <v>91</v>
      </c>
      <c r="O75" s="994" t="s">
        <v>232</v>
      </c>
      <c r="P75" s="1354" t="s">
        <v>91</v>
      </c>
      <c r="Q75" s="994" t="s">
        <v>232</v>
      </c>
      <c r="R75" s="1354" t="s">
        <v>91</v>
      </c>
      <c r="S75" s="994" t="s">
        <v>232</v>
      </c>
      <c r="T75" s="1354" t="s">
        <v>91</v>
      </c>
      <c r="U75" s="994" t="s">
        <v>232</v>
      </c>
      <c r="V75" s="1354" t="s">
        <v>91</v>
      </c>
      <c r="W75" s="994" t="s">
        <v>232</v>
      </c>
      <c r="X75" s="1354" t="s">
        <v>91</v>
      </c>
      <c r="Y75" s="994" t="s">
        <v>232</v>
      </c>
      <c r="Z75" s="1354" t="s">
        <v>91</v>
      </c>
      <c r="AA75" s="994" t="s">
        <v>232</v>
      </c>
      <c r="AB75" s="1354" t="s">
        <v>91</v>
      </c>
      <c r="AC75" s="994" t="s">
        <v>232</v>
      </c>
      <c r="AD75" s="1354" t="s">
        <v>91</v>
      </c>
      <c r="AE75" s="994" t="s">
        <v>232</v>
      </c>
      <c r="AF75" s="1354" t="s">
        <v>91</v>
      </c>
      <c r="AG75" s="994" t="s">
        <v>232</v>
      </c>
      <c r="AH75" s="1354" t="s">
        <v>91</v>
      </c>
      <c r="AI75" s="994" t="s">
        <v>232</v>
      </c>
      <c r="AJ75" s="1354" t="s">
        <v>91</v>
      </c>
      <c r="AK75" s="994" t="s">
        <v>232</v>
      </c>
      <c r="AL75" s="1354" t="s">
        <v>91</v>
      </c>
      <c r="AM75" s="1478" t="s">
        <v>232</v>
      </c>
      <c r="AN75" s="1467" t="s">
        <v>416</v>
      </c>
      <c r="AO75" s="875" t="s">
        <v>232</v>
      </c>
      <c r="AP75" s="1467" t="s">
        <v>416</v>
      </c>
      <c r="AQ75" s="875" t="s">
        <v>232</v>
      </c>
      <c r="AZ75" s="107"/>
      <c r="BA75" s="172"/>
      <c r="BP75" s="607"/>
      <c r="BQ75" s="172"/>
    </row>
    <row r="76" spans="1:95" ht="15" customHeight="1" x14ac:dyDescent="0.25">
      <c r="A76" s="1658" t="s">
        <v>420</v>
      </c>
      <c r="B76" s="725" t="s">
        <v>496</v>
      </c>
      <c r="C76" s="1173">
        <f>SUM(D76:E76)</f>
        <v>0</v>
      </c>
      <c r="D76" s="1169">
        <f>+V76+X76+Z76+AB76+AD76+AF76+AH76+AJ76+AL76</f>
        <v>0</v>
      </c>
      <c r="E76" s="898">
        <f>+W76+Y76+AA76+AC76+AE76+AG76+AI76+AK76+AM76</f>
        <v>0</v>
      </c>
      <c r="F76" s="995"/>
      <c r="G76" s="932"/>
      <c r="H76" s="931"/>
      <c r="I76" s="932"/>
      <c r="J76" s="931"/>
      <c r="K76" s="932"/>
      <c r="L76" s="931"/>
      <c r="M76" s="932"/>
      <c r="N76" s="931"/>
      <c r="O76" s="932"/>
      <c r="P76" s="931"/>
      <c r="Q76" s="932"/>
      <c r="R76" s="931"/>
      <c r="S76" s="932"/>
      <c r="T76" s="931"/>
      <c r="U76" s="932"/>
      <c r="V76" s="262">
        <v>0</v>
      </c>
      <c r="W76" s="688">
        <v>0</v>
      </c>
      <c r="X76" s="262">
        <v>0</v>
      </c>
      <c r="Y76" s="688">
        <v>0</v>
      </c>
      <c r="Z76" s="262">
        <v>0</v>
      </c>
      <c r="AA76" s="688">
        <v>0</v>
      </c>
      <c r="AB76" s="262">
        <v>0</v>
      </c>
      <c r="AC76" s="688">
        <v>0</v>
      </c>
      <c r="AD76" s="262">
        <v>0</v>
      </c>
      <c r="AE76" s="688">
        <v>0</v>
      </c>
      <c r="AF76" s="262">
        <v>0</v>
      </c>
      <c r="AG76" s="688">
        <v>0</v>
      </c>
      <c r="AH76" s="262">
        <v>0</v>
      </c>
      <c r="AI76" s="688">
        <v>0</v>
      </c>
      <c r="AJ76" s="262">
        <v>0</v>
      </c>
      <c r="AK76" s="688">
        <v>0</v>
      </c>
      <c r="AL76" s="274">
        <v>0</v>
      </c>
      <c r="AM76" s="747">
        <v>0</v>
      </c>
      <c r="AN76" s="274">
        <v>0</v>
      </c>
      <c r="AO76" s="688">
        <v>0</v>
      </c>
      <c r="AP76" s="274">
        <v>0</v>
      </c>
      <c r="AQ76" s="688">
        <v>0</v>
      </c>
      <c r="AR76" s="107" t="str">
        <f>$CA76&amp;CB76&amp;CC76&amp;CD76&amp;CE76</f>
        <v/>
      </c>
      <c r="AZ76" s="107"/>
      <c r="BA76" s="172"/>
      <c r="BP76" s="607"/>
      <c r="BQ76" s="172"/>
      <c r="CA76" s="191" t="str">
        <f>IF(SUM(C15:C17)&gt;=SUM(C79:C81),"","* El total de Asma Bronquial en ambos sexo no puede ser mayor al total de Asma Bronquial de ambos sexo de la Sección A. ")</f>
        <v/>
      </c>
      <c r="CB76" s="191" t="str">
        <f t="shared" ref="CB76:CB82" si="62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3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4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48">
        <f>IF(SUM(C15:C17)&gt;=SUM(C79:C81),0,1)</f>
        <v>0</v>
      </c>
      <c r="CN76" s="1048">
        <f t="shared" ref="CN76:CN82" si="65">IF(AND($D76&gt;0,OR(AN76="")),1,IF(AN76&gt;$D76,1,0))</f>
        <v>0</v>
      </c>
      <c r="CO76" s="1048">
        <f>IF(AND($E76&gt;0,OR(AO76="")),1,IF(AO76&gt;$E76,1,0))</f>
        <v>0</v>
      </c>
      <c r="CP76" s="1048">
        <f t="shared" ref="CP76:CP82" si="66">IF(AND($D76&gt;0,OR(AP76="")),1,IF(AP76&gt;$D76,1,0))</f>
        <v>0</v>
      </c>
      <c r="CQ76" s="1048">
        <f>IF(AND($E76&gt;0,OR(AQ76="")),1,IF(AQ76&gt;$E76,1,0))</f>
        <v>0</v>
      </c>
    </row>
    <row r="77" spans="1:95" ht="15" customHeight="1" x14ac:dyDescent="0.25">
      <c r="A77" s="1935"/>
      <c r="B77" s="1058" t="s">
        <v>497</v>
      </c>
      <c r="C77" s="1174">
        <f>SUM(D77:E77)</f>
        <v>0</v>
      </c>
      <c r="D77" s="1170">
        <f>+V77+X77+Z77+AB77+AD77+AF77+AH77+AJ77+AL77</f>
        <v>0</v>
      </c>
      <c r="E77" s="899">
        <f t="shared" ref="E77" si="67">+W77+Y77+AA77+AC77+AE77+AG77+AI77+AK77+AM77</f>
        <v>0</v>
      </c>
      <c r="F77" s="996"/>
      <c r="G77" s="934"/>
      <c r="H77" s="933"/>
      <c r="I77" s="934"/>
      <c r="J77" s="933"/>
      <c r="K77" s="934"/>
      <c r="L77" s="933"/>
      <c r="M77" s="934"/>
      <c r="N77" s="933"/>
      <c r="O77" s="934"/>
      <c r="P77" s="933"/>
      <c r="Q77" s="934"/>
      <c r="R77" s="933"/>
      <c r="S77" s="934"/>
      <c r="T77" s="933"/>
      <c r="U77" s="934"/>
      <c r="V77" s="277">
        <v>0</v>
      </c>
      <c r="W77" s="311">
        <v>0</v>
      </c>
      <c r="X77" s="277">
        <v>0</v>
      </c>
      <c r="Y77" s="311">
        <v>0</v>
      </c>
      <c r="Z77" s="277">
        <v>0</v>
      </c>
      <c r="AA77" s="311">
        <v>0</v>
      </c>
      <c r="AB77" s="277">
        <v>0</v>
      </c>
      <c r="AC77" s="311">
        <v>0</v>
      </c>
      <c r="AD77" s="277">
        <v>0</v>
      </c>
      <c r="AE77" s="311">
        <v>0</v>
      </c>
      <c r="AF77" s="277">
        <v>0</v>
      </c>
      <c r="AG77" s="311">
        <v>0</v>
      </c>
      <c r="AH77" s="277">
        <v>0</v>
      </c>
      <c r="AI77" s="311">
        <v>0</v>
      </c>
      <c r="AJ77" s="277">
        <v>0</v>
      </c>
      <c r="AK77" s="311">
        <v>0</v>
      </c>
      <c r="AL77" s="277">
        <v>0</v>
      </c>
      <c r="AM77" s="733">
        <v>0</v>
      </c>
      <c r="AN77" s="277">
        <v>0</v>
      </c>
      <c r="AO77" s="311">
        <v>0</v>
      </c>
      <c r="AP77" s="277">
        <v>0</v>
      </c>
      <c r="AQ77" s="311">
        <v>0</v>
      </c>
      <c r="AR77" s="107" t="str">
        <f>$CB77&amp;CC77&amp;CD77&amp;CE77</f>
        <v/>
      </c>
      <c r="AZ77" s="107"/>
      <c r="BA77" s="172"/>
      <c r="BP77" s="607"/>
      <c r="BQ77" s="172"/>
      <c r="CB77" s="191" t="str">
        <f t="shared" si="62"/>
        <v/>
      </c>
      <c r="CC77" s="191" t="str">
        <f t="shared" si="63"/>
        <v/>
      </c>
      <c r="CD77" s="191" t="str">
        <f t="shared" si="64"/>
        <v/>
      </c>
      <c r="CE77" s="191" t="str">
        <f t="shared" ref="CE77:CE82" si="68">IF(AND($E77&gt;0,OR(AQ77=""))," * No olvide digitar la variable Migrantes Mujeres. Digite Cero si no tiene.",IF(AQ77&gt;$E77," * La variable Migrantes Mujeres no puede ser Mayor al Total Mujeres.",""))</f>
        <v/>
      </c>
      <c r="CN77" s="1048">
        <f t="shared" si="65"/>
        <v>0</v>
      </c>
      <c r="CO77" s="1048">
        <f t="shared" ref="CO77:CO82" si="69">IF(AND($E77&gt;0,OR(AO77="")),1,IF(AO77&gt;$E77,1,0))</f>
        <v>0</v>
      </c>
      <c r="CP77" s="1048">
        <f t="shared" si="66"/>
        <v>0</v>
      </c>
      <c r="CQ77" s="1048">
        <f t="shared" ref="CQ77:CQ82" si="70">IF(AND($E77&gt;0,OR(AQ77="")),1,IF(AQ77&gt;$E77,1,0))</f>
        <v>0</v>
      </c>
    </row>
    <row r="78" spans="1:95" ht="15" customHeight="1" x14ac:dyDescent="0.25">
      <c r="A78" s="1659"/>
      <c r="B78" s="1059" t="s">
        <v>498</v>
      </c>
      <c r="C78" s="1175">
        <f t="shared" ref="C78:C84" si="71">SUM(D78:E78)</f>
        <v>0</v>
      </c>
      <c r="D78" s="1171">
        <f t="shared" ref="D78" si="72">+V78+X78+Z78+AB78+AD78+AF78+AH78+AJ78+AL78</f>
        <v>0</v>
      </c>
      <c r="E78" s="894">
        <f>+W78+Y78+AA78+AC78+AE78+AG78+AI78+AK78+AM78</f>
        <v>0</v>
      </c>
      <c r="F78" s="997"/>
      <c r="G78" s="936"/>
      <c r="H78" s="935"/>
      <c r="I78" s="936"/>
      <c r="J78" s="935"/>
      <c r="K78" s="936"/>
      <c r="L78" s="935"/>
      <c r="M78" s="936"/>
      <c r="N78" s="935"/>
      <c r="O78" s="936"/>
      <c r="P78" s="935"/>
      <c r="Q78" s="936"/>
      <c r="R78" s="935"/>
      <c r="S78" s="936"/>
      <c r="T78" s="935"/>
      <c r="U78" s="936"/>
      <c r="V78" s="267">
        <v>0</v>
      </c>
      <c r="W78" s="687">
        <v>0</v>
      </c>
      <c r="X78" s="267">
        <v>0</v>
      </c>
      <c r="Y78" s="687">
        <v>0</v>
      </c>
      <c r="Z78" s="267">
        <v>0</v>
      </c>
      <c r="AA78" s="687">
        <v>0</v>
      </c>
      <c r="AB78" s="267">
        <v>0</v>
      </c>
      <c r="AC78" s="687">
        <v>0</v>
      </c>
      <c r="AD78" s="267">
        <v>0</v>
      </c>
      <c r="AE78" s="687">
        <v>0</v>
      </c>
      <c r="AF78" s="267">
        <v>0</v>
      </c>
      <c r="AG78" s="687">
        <v>0</v>
      </c>
      <c r="AH78" s="267">
        <v>0</v>
      </c>
      <c r="AI78" s="687">
        <v>0</v>
      </c>
      <c r="AJ78" s="267">
        <v>0</v>
      </c>
      <c r="AK78" s="687">
        <v>0</v>
      </c>
      <c r="AL78" s="267">
        <v>0</v>
      </c>
      <c r="AM78" s="581">
        <v>0</v>
      </c>
      <c r="AN78" s="267">
        <v>0</v>
      </c>
      <c r="AO78" s="687">
        <v>0</v>
      </c>
      <c r="AP78" s="267">
        <v>0</v>
      </c>
      <c r="AQ78" s="687">
        <v>0</v>
      </c>
      <c r="AR78" s="107" t="str">
        <f t="shared" ref="AR78:AR83" si="73">$CB78&amp;CC78&amp;CD78&amp;CE78</f>
        <v/>
      </c>
      <c r="AZ78" s="107"/>
      <c r="BA78" s="172"/>
      <c r="BP78" s="607"/>
      <c r="BQ78" s="172"/>
      <c r="CB78" s="191" t="str">
        <f t="shared" si="62"/>
        <v/>
      </c>
      <c r="CC78" s="191" t="str">
        <f t="shared" si="63"/>
        <v/>
      </c>
      <c r="CD78" s="191" t="str">
        <f t="shared" si="64"/>
        <v/>
      </c>
      <c r="CE78" s="191" t="str">
        <f t="shared" si="68"/>
        <v/>
      </c>
      <c r="CN78" s="1048">
        <f t="shared" si="65"/>
        <v>0</v>
      </c>
      <c r="CO78" s="1048">
        <f t="shared" si="69"/>
        <v>0</v>
      </c>
      <c r="CP78" s="1048">
        <f t="shared" si="66"/>
        <v>0</v>
      </c>
      <c r="CQ78" s="1048">
        <f t="shared" si="70"/>
        <v>0</v>
      </c>
    </row>
    <row r="79" spans="1:95" ht="15" customHeight="1" x14ac:dyDescent="0.25">
      <c r="A79" s="1658" t="s">
        <v>419</v>
      </c>
      <c r="B79" s="725" t="s">
        <v>496</v>
      </c>
      <c r="C79" s="1173">
        <f t="shared" si="71"/>
        <v>0</v>
      </c>
      <c r="D79" s="1169">
        <f>+F79+H79+J79+L79+N79+P79+R79+T79+V79+X79+Z79+AB79+AD79+AF79+AH79+AJ79+AL79</f>
        <v>0</v>
      </c>
      <c r="E79" s="898">
        <f>+G79+I79+K79+M79+O79+Q79+S79+U79+W79+Y79+AA79+AC79+AE79+AG79+AI79+AK79+AM79</f>
        <v>0</v>
      </c>
      <c r="F79" s="261">
        <v>0</v>
      </c>
      <c r="G79" s="309">
        <v>0</v>
      </c>
      <c r="H79" s="262">
        <v>0</v>
      </c>
      <c r="I79" s="309">
        <v>0</v>
      </c>
      <c r="J79" s="262">
        <v>0</v>
      </c>
      <c r="K79" s="309">
        <v>0</v>
      </c>
      <c r="L79" s="262">
        <v>0</v>
      </c>
      <c r="M79" s="309">
        <v>0</v>
      </c>
      <c r="N79" s="262">
        <v>0</v>
      </c>
      <c r="O79" s="309">
        <v>0</v>
      </c>
      <c r="P79" s="262">
        <v>0</v>
      </c>
      <c r="Q79" s="309">
        <v>0</v>
      </c>
      <c r="R79" s="262">
        <v>0</v>
      </c>
      <c r="S79" s="309">
        <v>0</v>
      </c>
      <c r="T79" s="262">
        <v>0</v>
      </c>
      <c r="U79" s="309">
        <v>0</v>
      </c>
      <c r="V79" s="262">
        <v>0</v>
      </c>
      <c r="W79" s="309">
        <v>0</v>
      </c>
      <c r="X79" s="262">
        <v>0</v>
      </c>
      <c r="Y79" s="309">
        <v>0</v>
      </c>
      <c r="Z79" s="262">
        <v>0</v>
      </c>
      <c r="AA79" s="309">
        <v>0</v>
      </c>
      <c r="AB79" s="262">
        <v>0</v>
      </c>
      <c r="AC79" s="309">
        <v>0</v>
      </c>
      <c r="AD79" s="262">
        <v>0</v>
      </c>
      <c r="AE79" s="309">
        <v>0</v>
      </c>
      <c r="AF79" s="262">
        <v>0</v>
      </c>
      <c r="AG79" s="309">
        <v>0</v>
      </c>
      <c r="AH79" s="262">
        <v>0</v>
      </c>
      <c r="AI79" s="309">
        <v>0</v>
      </c>
      <c r="AJ79" s="262">
        <v>0</v>
      </c>
      <c r="AK79" s="309">
        <v>0</v>
      </c>
      <c r="AL79" s="262">
        <v>0</v>
      </c>
      <c r="AM79" s="579">
        <v>0</v>
      </c>
      <c r="AN79" s="262">
        <v>0</v>
      </c>
      <c r="AO79" s="309">
        <v>0</v>
      </c>
      <c r="AP79" s="262">
        <v>0</v>
      </c>
      <c r="AQ79" s="309">
        <v>0</v>
      </c>
      <c r="AR79" s="107" t="str">
        <f t="shared" si="73"/>
        <v/>
      </c>
      <c r="AZ79" s="107"/>
      <c r="BA79" s="172"/>
      <c r="BP79" s="607"/>
      <c r="BQ79" s="172"/>
      <c r="CB79" s="191" t="str">
        <f t="shared" si="62"/>
        <v/>
      </c>
      <c r="CC79" s="191" t="str">
        <f t="shared" si="63"/>
        <v/>
      </c>
      <c r="CD79" s="191" t="str">
        <f t="shared" si="64"/>
        <v/>
      </c>
      <c r="CE79" s="191" t="str">
        <f t="shared" si="68"/>
        <v/>
      </c>
      <c r="CN79" s="1048">
        <f t="shared" si="65"/>
        <v>0</v>
      </c>
      <c r="CO79" s="1048">
        <f t="shared" si="69"/>
        <v>0</v>
      </c>
      <c r="CP79" s="1048">
        <f t="shared" si="66"/>
        <v>0</v>
      </c>
      <c r="CQ79" s="1048">
        <f t="shared" si="70"/>
        <v>0</v>
      </c>
    </row>
    <row r="80" spans="1:95" ht="15" customHeight="1" x14ac:dyDescent="0.25">
      <c r="A80" s="1935"/>
      <c r="B80" s="1058" t="s">
        <v>497</v>
      </c>
      <c r="C80" s="1176">
        <f t="shared" si="71"/>
        <v>0</v>
      </c>
      <c r="D80" s="1172">
        <f t="shared" ref="D80:D81" si="74">+F80+H80+J80+L80+N80+P80+R80+T80+V80+X80+Z80+AB80+AD80+AF80+AH80+AJ80+AL80</f>
        <v>0</v>
      </c>
      <c r="E80" s="900">
        <f t="shared" ref="E80:E81" si="75">+G80+I80+K80+M80+O80+Q80+S80+U80+W80+Y80+AA80+AC80+AE80+AG80+AI80+AK80+AM80</f>
        <v>0</v>
      </c>
      <c r="F80" s="310">
        <v>0</v>
      </c>
      <c r="G80" s="311">
        <v>0</v>
      </c>
      <c r="H80" s="277">
        <v>0</v>
      </c>
      <c r="I80" s="311">
        <v>0</v>
      </c>
      <c r="J80" s="277">
        <v>0</v>
      </c>
      <c r="K80" s="311">
        <v>0</v>
      </c>
      <c r="L80" s="277">
        <v>0</v>
      </c>
      <c r="M80" s="311">
        <v>0</v>
      </c>
      <c r="N80" s="277">
        <v>0</v>
      </c>
      <c r="O80" s="311">
        <v>0</v>
      </c>
      <c r="P80" s="277">
        <v>0</v>
      </c>
      <c r="Q80" s="311">
        <v>0</v>
      </c>
      <c r="R80" s="277">
        <v>0</v>
      </c>
      <c r="S80" s="311">
        <v>0</v>
      </c>
      <c r="T80" s="277">
        <v>0</v>
      </c>
      <c r="U80" s="311">
        <v>0</v>
      </c>
      <c r="V80" s="277">
        <v>0</v>
      </c>
      <c r="W80" s="311">
        <v>0</v>
      </c>
      <c r="X80" s="277">
        <v>0</v>
      </c>
      <c r="Y80" s="311">
        <v>0</v>
      </c>
      <c r="Z80" s="277">
        <v>0</v>
      </c>
      <c r="AA80" s="311">
        <v>0</v>
      </c>
      <c r="AB80" s="277">
        <v>0</v>
      </c>
      <c r="AC80" s="311">
        <v>0</v>
      </c>
      <c r="AD80" s="277">
        <v>0</v>
      </c>
      <c r="AE80" s="311">
        <v>0</v>
      </c>
      <c r="AF80" s="277">
        <v>0</v>
      </c>
      <c r="AG80" s="311">
        <v>0</v>
      </c>
      <c r="AH80" s="277">
        <v>0</v>
      </c>
      <c r="AI80" s="311">
        <v>0</v>
      </c>
      <c r="AJ80" s="277">
        <v>0</v>
      </c>
      <c r="AK80" s="311">
        <v>0</v>
      </c>
      <c r="AL80" s="277">
        <v>0</v>
      </c>
      <c r="AM80" s="733">
        <v>0</v>
      </c>
      <c r="AN80" s="277">
        <v>0</v>
      </c>
      <c r="AO80" s="311">
        <v>0</v>
      </c>
      <c r="AP80" s="277">
        <v>0</v>
      </c>
      <c r="AQ80" s="311">
        <v>0</v>
      </c>
      <c r="AR80" s="107" t="str">
        <f t="shared" si="73"/>
        <v/>
      </c>
      <c r="AZ80" s="107"/>
      <c r="BA80" s="172"/>
      <c r="BP80" s="607"/>
      <c r="BQ80" s="172"/>
      <c r="CB80" s="191" t="str">
        <f t="shared" si="62"/>
        <v/>
      </c>
      <c r="CC80" s="191" t="str">
        <f t="shared" si="63"/>
        <v/>
      </c>
      <c r="CD80" s="191" t="str">
        <f t="shared" si="64"/>
        <v/>
      </c>
      <c r="CE80" s="191" t="str">
        <f t="shared" si="68"/>
        <v/>
      </c>
      <c r="CN80" s="1048">
        <f t="shared" si="65"/>
        <v>0</v>
      </c>
      <c r="CO80" s="1048">
        <f t="shared" si="69"/>
        <v>0</v>
      </c>
      <c r="CP80" s="1048">
        <f t="shared" si="66"/>
        <v>0</v>
      </c>
      <c r="CQ80" s="1048">
        <f t="shared" si="70"/>
        <v>0</v>
      </c>
    </row>
    <row r="81" spans="1:95" ht="15" customHeight="1" x14ac:dyDescent="0.25">
      <c r="A81" s="1659"/>
      <c r="B81" s="1059" t="s">
        <v>498</v>
      </c>
      <c r="C81" s="1175">
        <f t="shared" si="71"/>
        <v>0</v>
      </c>
      <c r="D81" s="1171">
        <f t="shared" si="74"/>
        <v>0</v>
      </c>
      <c r="E81" s="894">
        <f t="shared" si="75"/>
        <v>0</v>
      </c>
      <c r="F81" s="749">
        <v>0</v>
      </c>
      <c r="G81" s="687">
        <v>0</v>
      </c>
      <c r="H81" s="267">
        <v>0</v>
      </c>
      <c r="I81" s="687">
        <v>0</v>
      </c>
      <c r="J81" s="267">
        <v>0</v>
      </c>
      <c r="K81" s="687">
        <v>0</v>
      </c>
      <c r="L81" s="267">
        <v>0</v>
      </c>
      <c r="M81" s="687">
        <v>0</v>
      </c>
      <c r="N81" s="267">
        <v>0</v>
      </c>
      <c r="O81" s="687">
        <v>0</v>
      </c>
      <c r="P81" s="267">
        <v>0</v>
      </c>
      <c r="Q81" s="687">
        <v>0</v>
      </c>
      <c r="R81" s="267">
        <v>0</v>
      </c>
      <c r="S81" s="687">
        <v>0</v>
      </c>
      <c r="T81" s="267">
        <v>0</v>
      </c>
      <c r="U81" s="687">
        <v>0</v>
      </c>
      <c r="V81" s="267">
        <v>0</v>
      </c>
      <c r="W81" s="687">
        <v>0</v>
      </c>
      <c r="X81" s="267">
        <v>0</v>
      </c>
      <c r="Y81" s="687">
        <v>0</v>
      </c>
      <c r="Z81" s="267">
        <v>0</v>
      </c>
      <c r="AA81" s="687">
        <v>0</v>
      </c>
      <c r="AB81" s="267">
        <v>0</v>
      </c>
      <c r="AC81" s="687">
        <v>0</v>
      </c>
      <c r="AD81" s="267">
        <v>0</v>
      </c>
      <c r="AE81" s="687">
        <v>0</v>
      </c>
      <c r="AF81" s="267">
        <v>0</v>
      </c>
      <c r="AG81" s="687">
        <v>0</v>
      </c>
      <c r="AH81" s="267">
        <v>0</v>
      </c>
      <c r="AI81" s="687">
        <v>0</v>
      </c>
      <c r="AJ81" s="267">
        <v>0</v>
      </c>
      <c r="AK81" s="687">
        <v>0</v>
      </c>
      <c r="AL81" s="267">
        <v>0</v>
      </c>
      <c r="AM81" s="581">
        <v>0</v>
      </c>
      <c r="AN81" s="267">
        <v>0</v>
      </c>
      <c r="AO81" s="687">
        <v>0</v>
      </c>
      <c r="AP81" s="267">
        <v>0</v>
      </c>
      <c r="AQ81" s="687">
        <v>0</v>
      </c>
      <c r="AR81" s="107" t="str">
        <f t="shared" si="73"/>
        <v/>
      </c>
      <c r="AZ81" s="107"/>
      <c r="BA81" s="172"/>
      <c r="BP81" s="607"/>
      <c r="BQ81" s="172"/>
      <c r="CB81" s="191" t="str">
        <f t="shared" si="62"/>
        <v/>
      </c>
      <c r="CC81" s="191" t="str">
        <f t="shared" si="63"/>
        <v/>
      </c>
      <c r="CD81" s="191" t="str">
        <f t="shared" si="64"/>
        <v/>
      </c>
      <c r="CE81" s="191" t="str">
        <f t="shared" si="68"/>
        <v/>
      </c>
      <c r="CN81" s="1048">
        <f t="shared" si="65"/>
        <v>0</v>
      </c>
      <c r="CO81" s="1048">
        <f t="shared" si="69"/>
        <v>0</v>
      </c>
      <c r="CP81" s="1048">
        <f t="shared" si="66"/>
        <v>0</v>
      </c>
      <c r="CQ81" s="1048">
        <f t="shared" si="70"/>
        <v>0</v>
      </c>
    </row>
    <row r="82" spans="1:95" ht="15" customHeight="1" x14ac:dyDescent="0.25">
      <c r="A82" s="1917" t="s">
        <v>499</v>
      </c>
      <c r="B82" s="725" t="s">
        <v>496</v>
      </c>
      <c r="C82" s="1173">
        <f t="shared" si="71"/>
        <v>0</v>
      </c>
      <c r="D82" s="1169">
        <f t="shared" ref="D82:D84" si="76">+F82+H82+J82+L82+N82+P82+R82+T82+V82+X82+Z82+AB82+AD82+AF82+AH82+AJ82+AL82</f>
        <v>0</v>
      </c>
      <c r="E82" s="898">
        <f t="shared" ref="E82:E84" si="77">+G82+I82+K82+M82+O82+Q82+S82+U82+W82+Y82+AA82+AC82+AE82+AG82+AI82+AK82+AM82</f>
        <v>0</v>
      </c>
      <c r="F82" s="261">
        <v>0</v>
      </c>
      <c r="G82" s="688">
        <v>0</v>
      </c>
      <c r="H82" s="262">
        <v>0</v>
      </c>
      <c r="I82" s="688">
        <v>0</v>
      </c>
      <c r="J82" s="262">
        <v>0</v>
      </c>
      <c r="K82" s="688">
        <v>0</v>
      </c>
      <c r="L82" s="262">
        <v>0</v>
      </c>
      <c r="M82" s="688">
        <v>0</v>
      </c>
      <c r="N82" s="262">
        <v>0</v>
      </c>
      <c r="O82" s="688">
        <v>0</v>
      </c>
      <c r="P82" s="262">
        <v>0</v>
      </c>
      <c r="Q82" s="688">
        <v>0</v>
      </c>
      <c r="R82" s="262">
        <v>0</v>
      </c>
      <c r="S82" s="688">
        <v>0</v>
      </c>
      <c r="T82" s="262">
        <v>0</v>
      </c>
      <c r="U82" s="688">
        <v>0</v>
      </c>
      <c r="V82" s="262">
        <v>0</v>
      </c>
      <c r="W82" s="688">
        <v>0</v>
      </c>
      <c r="X82" s="262">
        <v>0</v>
      </c>
      <c r="Y82" s="688">
        <v>0</v>
      </c>
      <c r="Z82" s="262">
        <v>0</v>
      </c>
      <c r="AA82" s="688">
        <v>0</v>
      </c>
      <c r="AB82" s="262">
        <v>0</v>
      </c>
      <c r="AC82" s="688">
        <v>0</v>
      </c>
      <c r="AD82" s="262">
        <v>0</v>
      </c>
      <c r="AE82" s="688">
        <v>0</v>
      </c>
      <c r="AF82" s="262">
        <v>0</v>
      </c>
      <c r="AG82" s="688">
        <v>0</v>
      </c>
      <c r="AH82" s="262">
        <v>0</v>
      </c>
      <c r="AI82" s="688">
        <v>0</v>
      </c>
      <c r="AJ82" s="262">
        <v>0</v>
      </c>
      <c r="AK82" s="688">
        <v>0</v>
      </c>
      <c r="AL82" s="274">
        <v>0</v>
      </c>
      <c r="AM82" s="747">
        <v>0</v>
      </c>
      <c r="AN82" s="274">
        <v>0</v>
      </c>
      <c r="AO82" s="688">
        <v>0</v>
      </c>
      <c r="AP82" s="274">
        <v>0</v>
      </c>
      <c r="AQ82" s="688">
        <v>0</v>
      </c>
      <c r="AR82" s="107" t="str">
        <f t="shared" si="73"/>
        <v/>
      </c>
      <c r="AZ82" s="107"/>
      <c r="BA82" s="172"/>
      <c r="BP82" s="607"/>
      <c r="BQ82" s="172"/>
      <c r="CA82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82" s="191" t="str">
        <f t="shared" si="62"/>
        <v/>
      </c>
      <c r="CC82" s="191" t="str">
        <f t="shared" si="63"/>
        <v/>
      </c>
      <c r="CD82" s="191" t="str">
        <f t="shared" si="64"/>
        <v/>
      </c>
      <c r="CE82" s="191" t="str">
        <f t="shared" si="68"/>
        <v/>
      </c>
      <c r="CM82" s="1048">
        <f>IF(SUM(C18:C19)&gt;=SUM(C76:C78),0,1)</f>
        <v>0</v>
      </c>
      <c r="CN82" s="1048">
        <f t="shared" si="65"/>
        <v>0</v>
      </c>
      <c r="CO82" s="1048">
        <f t="shared" si="69"/>
        <v>0</v>
      </c>
      <c r="CP82" s="1048">
        <f t="shared" si="66"/>
        <v>0</v>
      </c>
      <c r="CQ82" s="1048">
        <f t="shared" si="70"/>
        <v>0</v>
      </c>
    </row>
    <row r="83" spans="1:95" ht="15" customHeight="1" x14ac:dyDescent="0.25">
      <c r="A83" s="1918"/>
      <c r="B83" s="1058" t="s">
        <v>500</v>
      </c>
      <c r="C83" s="1174">
        <f t="shared" si="71"/>
        <v>0</v>
      </c>
      <c r="D83" s="1170">
        <f t="shared" si="76"/>
        <v>0</v>
      </c>
      <c r="E83" s="899">
        <f>+G83+I83+K83+M83+O83+Q83+S83+U83+W83+Y83+AA83+AC83+AE83+AG83+AI83+AK83+AM83</f>
        <v>0</v>
      </c>
      <c r="F83" s="373">
        <v>0</v>
      </c>
      <c r="G83" s="374">
        <v>0</v>
      </c>
      <c r="H83" s="281">
        <v>0</v>
      </c>
      <c r="I83" s="374">
        <v>0</v>
      </c>
      <c r="J83" s="281">
        <v>0</v>
      </c>
      <c r="K83" s="374">
        <v>0</v>
      </c>
      <c r="L83" s="281">
        <v>0</v>
      </c>
      <c r="M83" s="374">
        <v>0</v>
      </c>
      <c r="N83" s="281">
        <v>0</v>
      </c>
      <c r="O83" s="374">
        <v>0</v>
      </c>
      <c r="P83" s="281">
        <v>0</v>
      </c>
      <c r="Q83" s="374">
        <v>0</v>
      </c>
      <c r="R83" s="281">
        <v>0</v>
      </c>
      <c r="S83" s="374">
        <v>0</v>
      </c>
      <c r="T83" s="281">
        <v>0</v>
      </c>
      <c r="U83" s="374">
        <v>0</v>
      </c>
      <c r="V83" s="281">
        <v>0</v>
      </c>
      <c r="W83" s="374">
        <v>0</v>
      </c>
      <c r="X83" s="281">
        <v>0</v>
      </c>
      <c r="Y83" s="374">
        <v>0</v>
      </c>
      <c r="Z83" s="281">
        <v>0</v>
      </c>
      <c r="AA83" s="374">
        <v>0</v>
      </c>
      <c r="AB83" s="281">
        <v>0</v>
      </c>
      <c r="AC83" s="374">
        <v>0</v>
      </c>
      <c r="AD83" s="281">
        <v>0</v>
      </c>
      <c r="AE83" s="374">
        <v>0</v>
      </c>
      <c r="AF83" s="281">
        <v>0</v>
      </c>
      <c r="AG83" s="374">
        <v>0</v>
      </c>
      <c r="AH83" s="281">
        <v>0</v>
      </c>
      <c r="AI83" s="374">
        <v>0</v>
      </c>
      <c r="AJ83" s="281">
        <v>0</v>
      </c>
      <c r="AK83" s="374">
        <v>0</v>
      </c>
      <c r="AL83" s="281">
        <v>0</v>
      </c>
      <c r="AM83" s="734">
        <v>0</v>
      </c>
      <c r="AN83" s="281">
        <v>0</v>
      </c>
      <c r="AO83" s="374">
        <v>0</v>
      </c>
      <c r="AP83" s="281">
        <v>0</v>
      </c>
      <c r="AQ83" s="374">
        <v>0</v>
      </c>
      <c r="AR83" s="107" t="str">
        <f t="shared" si="73"/>
        <v/>
      </c>
      <c r="AZ83" s="107"/>
      <c r="BA83" s="172"/>
      <c r="BP83" s="607"/>
      <c r="BQ83" s="172"/>
      <c r="CB83" s="191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1048">
        <f t="shared" ref="CN83:CN84" si="82">IF(AND($D83&gt;0,OR(AN83="")),1,IF(AN83&gt;$D83,1,0))</f>
        <v>0</v>
      </c>
      <c r="CO83" s="1048">
        <f t="shared" ref="CO83:CO84" si="83">IF(AND($E83&gt;0,OR(AO83="")),1,IF(AO83&gt;$E83,1,0))</f>
        <v>0</v>
      </c>
      <c r="CP83" s="1048">
        <f t="shared" ref="CP83:CP84" si="84">IF(AND($D83&gt;0,OR(AP83="")),1,IF(AP83&gt;$D83,1,0))</f>
        <v>0</v>
      </c>
      <c r="CQ83" s="1048">
        <f t="shared" ref="CQ83:CQ84" si="85">IF(AND($E83&gt;0,OR(AQ83="")),1,IF(AQ83&gt;$E83,1,0))</f>
        <v>0</v>
      </c>
    </row>
    <row r="84" spans="1:95" ht="15" customHeight="1" x14ac:dyDescent="0.25">
      <c r="A84" s="1919"/>
      <c r="B84" s="1059" t="s">
        <v>498</v>
      </c>
      <c r="C84" s="1175">
        <f t="shared" si="71"/>
        <v>0</v>
      </c>
      <c r="D84" s="1171">
        <f t="shared" si="76"/>
        <v>0</v>
      </c>
      <c r="E84" s="894">
        <f t="shared" si="77"/>
        <v>0</v>
      </c>
      <c r="F84" s="290">
        <v>0</v>
      </c>
      <c r="G84" s="312">
        <v>0</v>
      </c>
      <c r="H84" s="268">
        <v>0</v>
      </c>
      <c r="I84" s="312">
        <v>0</v>
      </c>
      <c r="J84" s="268">
        <v>0</v>
      </c>
      <c r="K84" s="312">
        <v>0</v>
      </c>
      <c r="L84" s="268">
        <v>0</v>
      </c>
      <c r="M84" s="312">
        <v>0</v>
      </c>
      <c r="N84" s="268">
        <v>0</v>
      </c>
      <c r="O84" s="312">
        <v>0</v>
      </c>
      <c r="P84" s="268">
        <v>0</v>
      </c>
      <c r="Q84" s="312">
        <v>0</v>
      </c>
      <c r="R84" s="268">
        <v>0</v>
      </c>
      <c r="S84" s="312">
        <v>0</v>
      </c>
      <c r="T84" s="268">
        <v>0</v>
      </c>
      <c r="U84" s="312">
        <v>0</v>
      </c>
      <c r="V84" s="268">
        <v>0</v>
      </c>
      <c r="W84" s="312">
        <v>0</v>
      </c>
      <c r="X84" s="268">
        <v>0</v>
      </c>
      <c r="Y84" s="312">
        <v>0</v>
      </c>
      <c r="Z84" s="268">
        <v>0</v>
      </c>
      <c r="AA84" s="312">
        <v>0</v>
      </c>
      <c r="AB84" s="268">
        <v>0</v>
      </c>
      <c r="AC84" s="312">
        <v>0</v>
      </c>
      <c r="AD84" s="268">
        <v>0</v>
      </c>
      <c r="AE84" s="312">
        <v>0</v>
      </c>
      <c r="AF84" s="268">
        <v>0</v>
      </c>
      <c r="AG84" s="312">
        <v>0</v>
      </c>
      <c r="AH84" s="268">
        <v>0</v>
      </c>
      <c r="AI84" s="312">
        <v>0</v>
      </c>
      <c r="AJ84" s="268">
        <v>0</v>
      </c>
      <c r="AK84" s="312">
        <v>0</v>
      </c>
      <c r="AL84" s="268">
        <v>0</v>
      </c>
      <c r="AM84" s="735">
        <v>0</v>
      </c>
      <c r="AN84" s="268">
        <v>0</v>
      </c>
      <c r="AO84" s="312">
        <v>0</v>
      </c>
      <c r="AP84" s="268">
        <v>0</v>
      </c>
      <c r="AQ84" s="312">
        <v>0</v>
      </c>
      <c r="AR84" s="107" t="str">
        <f t="shared" ref="AR84" si="86">$CA84&amp;CB84&amp;CC84&amp;CD84&amp;CE84</f>
        <v/>
      </c>
      <c r="AZ84" s="107"/>
      <c r="BA84" s="172"/>
      <c r="BP84" s="607"/>
      <c r="BQ84" s="172"/>
      <c r="CB84" s="191" t="str">
        <f t="shared" si="78"/>
        <v/>
      </c>
      <c r="CC84" s="191" t="str">
        <f t="shared" si="79"/>
        <v/>
      </c>
      <c r="CD84" s="191" t="str">
        <f t="shared" si="80"/>
        <v/>
      </c>
      <c r="CE84" s="191" t="str">
        <f t="shared" si="81"/>
        <v/>
      </c>
      <c r="CN84" s="1048">
        <f t="shared" si="82"/>
        <v>0</v>
      </c>
      <c r="CO84" s="1048">
        <f t="shared" si="83"/>
        <v>0</v>
      </c>
      <c r="CP84" s="1048">
        <f t="shared" si="84"/>
        <v>0</v>
      </c>
      <c r="CQ84" s="1048">
        <f t="shared" si="85"/>
        <v>0</v>
      </c>
    </row>
    <row r="93" spans="1:95" ht="14.45" hidden="1" customHeight="1" x14ac:dyDescent="0.15">
      <c r="A93" s="1479">
        <f>SUM(C12:C47,B52,C57:C60,C65:C71,C76:C84)</f>
        <v>25</v>
      </c>
      <c r="B93" s="189" t="s">
        <v>211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79">
        <f>SUM(CM12:CV82)</f>
        <v>0</v>
      </c>
      <c r="B94" s="189" t="s">
        <v>212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HTqn9+ElEBT5+ma9S8A/rSxUEgfduPrSTD9bzmCmv47nRdf4PkIseny5aRk1YTmPiVRdxWuc0OrI0c8PR5FPVg==" saltValue="+XMmTNxR4P+L+uxIRIJ5UQ==" spinCount="100000" sheet="1" objects="1" scenarios="1"/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</mergeCells>
  <phoneticPr fontId="25" type="noConversion"/>
  <dataValidations count="3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CA76:CA82 F72:CD75 AS76:BY82 CE53:CL1048576 AS83:CA1048576 CQ53:XFD1048576 CM82:CM1048576 CN85:CP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Y12:AR47 X12:X25 X27:X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1"/>
  <sheetViews>
    <sheetView showGridLines="0" topLeftCell="A15" zoomScaleNormal="100" workbookViewId="0">
      <selection activeCell="B41" sqref="B41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50" width="11.42578125" style="107" hidden="1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89" t="s">
        <v>501</v>
      </c>
      <c r="B7" s="1989"/>
      <c r="C7" s="1989"/>
      <c r="D7" s="1989"/>
      <c r="E7" s="1989"/>
      <c r="F7" s="1989"/>
      <c r="G7" s="1989"/>
      <c r="H7" s="1989"/>
      <c r="I7" s="1989"/>
      <c r="J7" s="1989"/>
      <c r="K7" s="1989"/>
      <c r="L7" s="1989"/>
      <c r="M7" s="1989"/>
      <c r="N7" s="1989"/>
      <c r="O7" s="1989"/>
      <c r="P7" s="1989"/>
      <c r="Q7" s="1989"/>
      <c r="R7" s="1989"/>
      <c r="S7" s="1989"/>
      <c r="T7" s="1989"/>
      <c r="U7" s="1989"/>
    </row>
    <row r="8" spans="1:118" ht="17.100000000000001" customHeight="1" x14ac:dyDescent="0.15">
      <c r="A8" s="1992" t="s">
        <v>502</v>
      </c>
      <c r="B8" s="1992"/>
      <c r="C8" s="1992"/>
      <c r="D8" s="1992"/>
      <c r="E8" s="1992"/>
      <c r="F8" s="1992"/>
      <c r="G8" s="1992"/>
      <c r="H8" s="1992"/>
      <c r="I8" s="1992"/>
      <c r="J8" s="1992"/>
      <c r="K8" s="1992"/>
      <c r="L8" s="1992"/>
      <c r="M8" s="1992"/>
      <c r="N8" s="1992"/>
      <c r="O8" s="1992"/>
      <c r="P8" s="1992"/>
      <c r="Q8" s="1992"/>
      <c r="R8" s="1992"/>
      <c r="S8" s="1992"/>
      <c r="T8" s="1992"/>
      <c r="U8" s="1992"/>
      <c r="V8" s="1992"/>
      <c r="W8" s="1992"/>
      <c r="X8" s="1992"/>
      <c r="Y8" s="1992"/>
      <c r="Z8" s="1992"/>
      <c r="AA8" s="1992"/>
      <c r="AB8" s="1992"/>
      <c r="AC8" s="1992"/>
      <c r="AD8" s="1992"/>
      <c r="AE8" s="1992"/>
      <c r="AF8" s="1992"/>
      <c r="AG8" s="1992"/>
    </row>
    <row r="9" spans="1:118" ht="13.5" customHeight="1" x14ac:dyDescent="0.15">
      <c r="A9" s="1955" t="s">
        <v>451</v>
      </c>
      <c r="B9" s="1957"/>
      <c r="C9" s="1955" t="s">
        <v>503</v>
      </c>
      <c r="D9" s="1956"/>
      <c r="E9" s="1957"/>
      <c r="F9" s="1961" t="s">
        <v>382</v>
      </c>
      <c r="G9" s="1950"/>
      <c r="H9" s="1950"/>
      <c r="I9" s="1950"/>
      <c r="J9" s="1950"/>
      <c r="K9" s="1950"/>
      <c r="L9" s="1950"/>
      <c r="M9" s="1950"/>
      <c r="N9" s="1950"/>
      <c r="O9" s="1950"/>
      <c r="P9" s="1950"/>
      <c r="Q9" s="1950"/>
      <c r="R9" s="1950"/>
      <c r="S9" s="1950"/>
      <c r="T9" s="1950"/>
      <c r="U9" s="1950"/>
      <c r="V9" s="1950"/>
      <c r="W9" s="1950"/>
      <c r="X9" s="1950"/>
      <c r="Y9" s="1950"/>
      <c r="Z9" s="1950"/>
      <c r="AA9" s="1950"/>
      <c r="AB9" s="1950"/>
      <c r="AC9" s="1950"/>
      <c r="AD9" s="1950"/>
      <c r="AE9" s="1950"/>
      <c r="AF9" s="1950"/>
      <c r="AG9" s="1950"/>
      <c r="AH9" s="1629" t="s">
        <v>56</v>
      </c>
      <c r="AI9" s="1658"/>
      <c r="AJ9" s="1658" t="s">
        <v>57</v>
      </c>
      <c r="AK9" s="1658"/>
      <c r="AL9" s="1303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97"/>
      <c r="CB9" s="1997"/>
      <c r="CC9" s="1997"/>
      <c r="CD9" s="1997"/>
      <c r="CG9" s="1997"/>
      <c r="CH9" s="1997"/>
      <c r="CI9" s="1997"/>
    </row>
    <row r="10" spans="1:118" ht="18.75" customHeight="1" x14ac:dyDescent="0.15">
      <c r="A10" s="1990"/>
      <c r="B10" s="1991"/>
      <c r="C10" s="1958"/>
      <c r="D10" s="1959"/>
      <c r="E10" s="1960"/>
      <c r="F10" s="1977" t="s">
        <v>62</v>
      </c>
      <c r="G10" s="1978"/>
      <c r="H10" s="1977" t="s">
        <v>63</v>
      </c>
      <c r="I10" s="1978"/>
      <c r="J10" s="1879" t="s">
        <v>64</v>
      </c>
      <c r="K10" s="1879"/>
      <c r="L10" s="1885" t="s">
        <v>65</v>
      </c>
      <c r="M10" s="1803"/>
      <c r="N10" s="1879" t="s">
        <v>66</v>
      </c>
      <c r="O10" s="1879"/>
      <c r="P10" s="1885" t="s">
        <v>67</v>
      </c>
      <c r="Q10" s="1803"/>
      <c r="R10" s="1879" t="s">
        <v>68</v>
      </c>
      <c r="S10" s="1879"/>
      <c r="T10" s="1885" t="s">
        <v>69</v>
      </c>
      <c r="U10" s="1803"/>
      <c r="V10" s="1879" t="s">
        <v>70</v>
      </c>
      <c r="W10" s="1879"/>
      <c r="X10" s="1885" t="s">
        <v>71</v>
      </c>
      <c r="Y10" s="1803"/>
      <c r="Z10" s="1880" t="s">
        <v>72</v>
      </c>
      <c r="AA10" s="1881"/>
      <c r="AB10" s="1880" t="s">
        <v>412</v>
      </c>
      <c r="AC10" s="1881"/>
      <c r="AD10" s="1880" t="s">
        <v>413</v>
      </c>
      <c r="AE10" s="1881"/>
      <c r="AF10" s="1880" t="s">
        <v>414</v>
      </c>
      <c r="AG10" s="1886"/>
      <c r="AH10" s="1630"/>
      <c r="AI10" s="1659"/>
      <c r="AJ10" s="1659"/>
      <c r="AK10" s="1659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97"/>
      <c r="CB10" s="1997"/>
      <c r="CC10" s="1997"/>
      <c r="CD10" s="1997"/>
      <c r="CG10" s="1997"/>
      <c r="CH10" s="1997"/>
      <c r="CI10" s="1997"/>
    </row>
    <row r="11" spans="1:118" ht="23.25" customHeight="1" x14ac:dyDescent="0.15">
      <c r="A11" s="1958"/>
      <c r="B11" s="1960"/>
      <c r="C11" s="1445" t="s">
        <v>231</v>
      </c>
      <c r="D11" s="1480" t="s">
        <v>91</v>
      </c>
      <c r="E11" s="1481" t="s">
        <v>232</v>
      </c>
      <c r="F11" s="1474" t="s">
        <v>91</v>
      </c>
      <c r="G11" s="1481" t="s">
        <v>232</v>
      </c>
      <c r="H11" s="1474" t="s">
        <v>91</v>
      </c>
      <c r="I11" s="1481" t="s">
        <v>232</v>
      </c>
      <c r="J11" s="1474" t="s">
        <v>91</v>
      </c>
      <c r="K11" s="1481" t="s">
        <v>232</v>
      </c>
      <c r="L11" s="1474" t="s">
        <v>91</v>
      </c>
      <c r="M11" s="1481" t="s">
        <v>232</v>
      </c>
      <c r="N11" s="1474" t="s">
        <v>91</v>
      </c>
      <c r="O11" s="1481" t="s">
        <v>232</v>
      </c>
      <c r="P11" s="1474" t="s">
        <v>91</v>
      </c>
      <c r="Q11" s="1481" t="s">
        <v>232</v>
      </c>
      <c r="R11" s="1474" t="s">
        <v>91</v>
      </c>
      <c r="S11" s="1481" t="s">
        <v>232</v>
      </c>
      <c r="T11" s="1474" t="s">
        <v>91</v>
      </c>
      <c r="U11" s="1481" t="s">
        <v>232</v>
      </c>
      <c r="V11" s="1474" t="s">
        <v>91</v>
      </c>
      <c r="W11" s="1481" t="s">
        <v>232</v>
      </c>
      <c r="X11" s="1474" t="s">
        <v>91</v>
      </c>
      <c r="Y11" s="1481" t="s">
        <v>232</v>
      </c>
      <c r="Z11" s="1474" t="s">
        <v>416</v>
      </c>
      <c r="AA11" s="1481" t="s">
        <v>232</v>
      </c>
      <c r="AB11" s="1474" t="s">
        <v>416</v>
      </c>
      <c r="AC11" s="1481" t="s">
        <v>232</v>
      </c>
      <c r="AD11" s="1474" t="s">
        <v>416</v>
      </c>
      <c r="AE11" s="1481" t="s">
        <v>232</v>
      </c>
      <c r="AF11" s="1466" t="s">
        <v>416</v>
      </c>
      <c r="AG11" s="86" t="s">
        <v>232</v>
      </c>
      <c r="AH11" s="1035" t="s">
        <v>91</v>
      </c>
      <c r="AI11" s="1481" t="s">
        <v>232</v>
      </c>
      <c r="AJ11" s="1474" t="s">
        <v>91</v>
      </c>
      <c r="AK11" s="1481" t="s">
        <v>232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97"/>
      <c r="CH11" s="1065"/>
      <c r="CI11" s="1065"/>
    </row>
    <row r="12" spans="1:118" ht="15" customHeight="1" x14ac:dyDescent="0.15">
      <c r="A12" s="1993" t="s">
        <v>504</v>
      </c>
      <c r="B12" s="1994"/>
      <c r="C12" s="1482">
        <f>SUM(D12:E12)</f>
        <v>101</v>
      </c>
      <c r="D12" s="1483">
        <f>+F12+H12+J12+L12+N12+P12+R12+T12+V12+X12+Z12+AB12+AD12+AF12</f>
        <v>47</v>
      </c>
      <c r="E12" s="1484">
        <f>+G12+I12+K12+M12+O12+Q12+S12+U12+W12+Y12+AA12+AC12+AE12+AG12</f>
        <v>54</v>
      </c>
      <c r="F12" s="1485">
        <f>SUM(F13:F15)</f>
        <v>0</v>
      </c>
      <c r="G12" s="1484">
        <f t="shared" ref="G12:AJ12" si="0">SUM(G13:G15)</f>
        <v>0</v>
      </c>
      <c r="H12" s="1485">
        <f t="shared" si="0"/>
        <v>0</v>
      </c>
      <c r="I12" s="1484">
        <f t="shared" si="0"/>
        <v>0</v>
      </c>
      <c r="J12" s="1485">
        <f t="shared" si="0"/>
        <v>0</v>
      </c>
      <c r="K12" s="1484">
        <f t="shared" si="0"/>
        <v>0</v>
      </c>
      <c r="L12" s="1485">
        <f t="shared" si="0"/>
        <v>0</v>
      </c>
      <c r="M12" s="1484">
        <f t="shared" si="0"/>
        <v>1</v>
      </c>
      <c r="N12" s="1485">
        <f t="shared" si="0"/>
        <v>0</v>
      </c>
      <c r="O12" s="1484">
        <f t="shared" si="0"/>
        <v>3</v>
      </c>
      <c r="P12" s="1485">
        <f t="shared" si="0"/>
        <v>2</v>
      </c>
      <c r="Q12" s="1484">
        <f t="shared" si="0"/>
        <v>1</v>
      </c>
      <c r="R12" s="1485">
        <f t="shared" si="0"/>
        <v>1</v>
      </c>
      <c r="S12" s="1484">
        <f t="shared" si="0"/>
        <v>4</v>
      </c>
      <c r="T12" s="1485">
        <f t="shared" si="0"/>
        <v>10</v>
      </c>
      <c r="U12" s="1484">
        <f t="shared" si="0"/>
        <v>2</v>
      </c>
      <c r="V12" s="1485">
        <f t="shared" si="0"/>
        <v>2</v>
      </c>
      <c r="W12" s="1484">
        <f t="shared" si="0"/>
        <v>8</v>
      </c>
      <c r="X12" s="1485">
        <f t="shared" si="0"/>
        <v>6</v>
      </c>
      <c r="Y12" s="1484">
        <f t="shared" si="0"/>
        <v>7</v>
      </c>
      <c r="Z12" s="1485">
        <f t="shared" si="0"/>
        <v>8</v>
      </c>
      <c r="AA12" s="1484">
        <f t="shared" si="0"/>
        <v>7</v>
      </c>
      <c r="AB12" s="1485">
        <f t="shared" si="0"/>
        <v>6</v>
      </c>
      <c r="AC12" s="1484">
        <f t="shared" si="0"/>
        <v>4</v>
      </c>
      <c r="AD12" s="1485">
        <f t="shared" si="0"/>
        <v>5</v>
      </c>
      <c r="AE12" s="1484">
        <f t="shared" si="0"/>
        <v>4</v>
      </c>
      <c r="AF12" s="1485">
        <f t="shared" si="0"/>
        <v>7</v>
      </c>
      <c r="AG12" s="1486">
        <f t="shared" si="0"/>
        <v>13</v>
      </c>
      <c r="AH12" s="1034">
        <f>SUM(AH13:AH15)</f>
        <v>36</v>
      </c>
      <c r="AI12" s="1484">
        <f>SUM(AI13:AI15)</f>
        <v>42</v>
      </c>
      <c r="AJ12" s="1485">
        <f t="shared" si="0"/>
        <v>0</v>
      </c>
      <c r="AK12" s="1484">
        <f>SUM(AK13:AK15)</f>
        <v>0</v>
      </c>
      <c r="AL12" s="35"/>
      <c r="AM12" s="85"/>
    </row>
    <row r="13" spans="1:118" ht="15" customHeight="1" x14ac:dyDescent="0.15">
      <c r="A13" s="1947" t="s">
        <v>505</v>
      </c>
      <c r="B13" s="101" t="s">
        <v>506</v>
      </c>
      <c r="C13" s="1143">
        <f t="shared" ref="C13:C19" si="1">SUM(D13:E13)</f>
        <v>58</v>
      </c>
      <c r="D13" s="387">
        <f>+F13+H13+J13+L13+N13+P13+R13+T13+V13+X13+Z13+AB13+AD13+AF13</f>
        <v>23</v>
      </c>
      <c r="E13" s="443">
        <f>+G13+I13+K13+M13+O13+Q13+S13+U13+W13+Y13+AA13+AC13+AE13+AG13</f>
        <v>35</v>
      </c>
      <c r="F13" s="394">
        <v>0</v>
      </c>
      <c r="G13" s="395">
        <v>0</v>
      </c>
      <c r="H13" s="394">
        <v>0</v>
      </c>
      <c r="I13" s="395">
        <v>0</v>
      </c>
      <c r="J13" s="394">
        <v>0</v>
      </c>
      <c r="K13" s="395">
        <v>0</v>
      </c>
      <c r="L13" s="394">
        <v>0</v>
      </c>
      <c r="M13" s="395">
        <v>0</v>
      </c>
      <c r="N13" s="394">
        <v>0</v>
      </c>
      <c r="O13" s="395">
        <v>1</v>
      </c>
      <c r="P13" s="394">
        <v>2</v>
      </c>
      <c r="Q13" s="395">
        <v>1</v>
      </c>
      <c r="R13" s="394">
        <v>0</v>
      </c>
      <c r="S13" s="395">
        <v>2</v>
      </c>
      <c r="T13" s="394">
        <v>6</v>
      </c>
      <c r="U13" s="395">
        <v>2</v>
      </c>
      <c r="V13" s="394">
        <v>2</v>
      </c>
      <c r="W13" s="395">
        <v>6</v>
      </c>
      <c r="X13" s="394">
        <v>2</v>
      </c>
      <c r="Y13" s="395">
        <v>3</v>
      </c>
      <c r="Z13" s="394">
        <v>3</v>
      </c>
      <c r="AA13" s="395">
        <v>6</v>
      </c>
      <c r="AB13" s="394">
        <v>3</v>
      </c>
      <c r="AC13" s="395">
        <v>2</v>
      </c>
      <c r="AD13" s="394">
        <v>3</v>
      </c>
      <c r="AE13" s="395">
        <v>2</v>
      </c>
      <c r="AF13" s="394">
        <v>2</v>
      </c>
      <c r="AG13" s="406">
        <v>10</v>
      </c>
      <c r="AH13" s="412">
        <v>18</v>
      </c>
      <c r="AI13" s="461">
        <v>28</v>
      </c>
      <c r="AJ13" s="394">
        <v>0</v>
      </c>
      <c r="AK13" s="461">
        <v>0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48">
        <f t="shared" ref="DK13:DK23" si="2">IF(AND(D13&gt;0,OR(AH13="")),1,IF(AH13&gt;D13,1,0))</f>
        <v>0</v>
      </c>
      <c r="DL13" s="1048">
        <f t="shared" ref="DL13:DL23" si="3">IF(AND(E13&gt;0,OR(AI13="")),1,IF(AI13&gt;E13,1,0))</f>
        <v>0</v>
      </c>
      <c r="DM13" s="1048">
        <f t="shared" ref="DM13:DM23" si="4">IF(AND(D13&gt;0,OR(AJ13="")),1,IF(AJ13&gt;D13,1,0))</f>
        <v>0</v>
      </c>
      <c r="DN13" s="1048">
        <f t="shared" ref="DN13:DN23" si="5">IF(AND(E13&gt;0,OR(AK13="")),1,IF(AK13&gt;E13,1,0))</f>
        <v>0</v>
      </c>
    </row>
    <row r="14" spans="1:118" ht="15" customHeight="1" x14ac:dyDescent="0.15">
      <c r="A14" s="1948"/>
      <c r="B14" s="102" t="s">
        <v>288</v>
      </c>
      <c r="C14" s="1148">
        <f t="shared" si="1"/>
        <v>5</v>
      </c>
      <c r="D14" s="397">
        <f t="shared" ref="D14:E16" si="6">+F14+H14+J14+L14+N14+P14+R14+T14+V14+X14+Z14+AB14+AD14+AF14</f>
        <v>5</v>
      </c>
      <c r="E14" s="444">
        <f t="shared" si="6"/>
        <v>0</v>
      </c>
      <c r="F14" s="417">
        <v>0</v>
      </c>
      <c r="G14" s="418">
        <v>0</v>
      </c>
      <c r="H14" s="417">
        <v>0</v>
      </c>
      <c r="I14" s="418">
        <v>0</v>
      </c>
      <c r="J14" s="417">
        <v>0</v>
      </c>
      <c r="K14" s="418">
        <v>0</v>
      </c>
      <c r="L14" s="417">
        <v>0</v>
      </c>
      <c r="M14" s="418">
        <v>0</v>
      </c>
      <c r="N14" s="417">
        <v>0</v>
      </c>
      <c r="O14" s="418">
        <v>0</v>
      </c>
      <c r="P14" s="417">
        <v>0</v>
      </c>
      <c r="Q14" s="418">
        <v>0</v>
      </c>
      <c r="R14" s="417">
        <v>0</v>
      </c>
      <c r="S14" s="418">
        <v>0</v>
      </c>
      <c r="T14" s="417">
        <v>1</v>
      </c>
      <c r="U14" s="418">
        <v>0</v>
      </c>
      <c r="V14" s="417">
        <v>0</v>
      </c>
      <c r="W14" s="418">
        <v>0</v>
      </c>
      <c r="X14" s="417">
        <v>0</v>
      </c>
      <c r="Y14" s="418">
        <v>0</v>
      </c>
      <c r="Z14" s="417">
        <v>2</v>
      </c>
      <c r="AA14" s="418">
        <v>0</v>
      </c>
      <c r="AB14" s="417">
        <v>2</v>
      </c>
      <c r="AC14" s="418">
        <v>0</v>
      </c>
      <c r="AD14" s="417">
        <v>0</v>
      </c>
      <c r="AE14" s="418">
        <v>0</v>
      </c>
      <c r="AF14" s="417">
        <v>0</v>
      </c>
      <c r="AG14" s="419">
        <v>0</v>
      </c>
      <c r="AH14" s="445">
        <v>4</v>
      </c>
      <c r="AI14" s="533">
        <v>0</v>
      </c>
      <c r="AJ14" s="398">
        <v>0</v>
      </c>
      <c r="AK14" s="533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48">
        <f t="shared" si="2"/>
        <v>0</v>
      </c>
      <c r="DL14" s="1048">
        <f t="shared" si="3"/>
        <v>0</v>
      </c>
      <c r="DM14" s="1048">
        <f t="shared" si="4"/>
        <v>0</v>
      </c>
      <c r="DN14" s="1048">
        <f t="shared" si="5"/>
        <v>0</v>
      </c>
    </row>
    <row r="15" spans="1:118" ht="15" customHeight="1" x14ac:dyDescent="0.15">
      <c r="A15" s="1949"/>
      <c r="B15" s="729" t="s">
        <v>507</v>
      </c>
      <c r="C15" s="1144">
        <f t="shared" si="1"/>
        <v>38</v>
      </c>
      <c r="D15" s="391">
        <f t="shared" si="6"/>
        <v>19</v>
      </c>
      <c r="E15" s="446">
        <f t="shared" si="6"/>
        <v>19</v>
      </c>
      <c r="F15" s="413">
        <v>0</v>
      </c>
      <c r="G15" s="414">
        <v>0</v>
      </c>
      <c r="H15" s="413">
        <v>0</v>
      </c>
      <c r="I15" s="414">
        <v>0</v>
      </c>
      <c r="J15" s="413">
        <v>0</v>
      </c>
      <c r="K15" s="414">
        <v>0</v>
      </c>
      <c r="L15" s="413">
        <v>0</v>
      </c>
      <c r="M15" s="414">
        <v>1</v>
      </c>
      <c r="N15" s="413">
        <v>0</v>
      </c>
      <c r="O15" s="414">
        <v>2</v>
      </c>
      <c r="P15" s="413">
        <v>0</v>
      </c>
      <c r="Q15" s="414">
        <v>0</v>
      </c>
      <c r="R15" s="413">
        <v>1</v>
      </c>
      <c r="S15" s="414">
        <v>2</v>
      </c>
      <c r="T15" s="413">
        <v>3</v>
      </c>
      <c r="U15" s="414">
        <v>0</v>
      </c>
      <c r="V15" s="413">
        <v>0</v>
      </c>
      <c r="W15" s="414">
        <v>2</v>
      </c>
      <c r="X15" s="413">
        <v>4</v>
      </c>
      <c r="Y15" s="414">
        <v>4</v>
      </c>
      <c r="Z15" s="413">
        <v>3</v>
      </c>
      <c r="AA15" s="414">
        <v>1</v>
      </c>
      <c r="AB15" s="413">
        <v>1</v>
      </c>
      <c r="AC15" s="414">
        <v>2</v>
      </c>
      <c r="AD15" s="413">
        <v>2</v>
      </c>
      <c r="AE15" s="414">
        <v>2</v>
      </c>
      <c r="AF15" s="413">
        <v>5</v>
      </c>
      <c r="AG15" s="415">
        <v>3</v>
      </c>
      <c r="AH15" s="416">
        <v>14</v>
      </c>
      <c r="AI15" s="442">
        <v>14</v>
      </c>
      <c r="AJ15" s="403">
        <v>0</v>
      </c>
      <c r="AK15" s="442">
        <v>0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48">
        <f t="shared" si="2"/>
        <v>0</v>
      </c>
      <c r="DL15" s="1048">
        <f t="shared" si="3"/>
        <v>0</v>
      </c>
      <c r="DM15" s="1048">
        <f t="shared" si="4"/>
        <v>0</v>
      </c>
      <c r="DN15" s="1048">
        <f t="shared" si="5"/>
        <v>0</v>
      </c>
    </row>
    <row r="16" spans="1:118" ht="15" customHeight="1" x14ac:dyDescent="0.15">
      <c r="A16" s="1947" t="s">
        <v>508</v>
      </c>
      <c r="B16" s="1304" t="s">
        <v>331</v>
      </c>
      <c r="C16" s="1146">
        <f t="shared" si="1"/>
        <v>77</v>
      </c>
      <c r="D16" s="392">
        <f t="shared" si="6"/>
        <v>33</v>
      </c>
      <c r="E16" s="447">
        <f t="shared" si="6"/>
        <v>44</v>
      </c>
      <c r="F16" s="394">
        <v>0</v>
      </c>
      <c r="G16" s="395">
        <v>0</v>
      </c>
      <c r="H16" s="394">
        <v>0</v>
      </c>
      <c r="I16" s="395">
        <v>0</v>
      </c>
      <c r="J16" s="394">
        <v>0</v>
      </c>
      <c r="K16" s="395">
        <v>0</v>
      </c>
      <c r="L16" s="394">
        <v>0</v>
      </c>
      <c r="M16" s="395">
        <v>0</v>
      </c>
      <c r="N16" s="394">
        <v>0</v>
      </c>
      <c r="O16" s="395">
        <v>1</v>
      </c>
      <c r="P16" s="394">
        <v>1</v>
      </c>
      <c r="Q16" s="395">
        <v>1</v>
      </c>
      <c r="R16" s="394">
        <v>0</v>
      </c>
      <c r="S16" s="395">
        <v>4</v>
      </c>
      <c r="T16" s="394">
        <v>6</v>
      </c>
      <c r="U16" s="395">
        <v>1</v>
      </c>
      <c r="V16" s="394">
        <v>2</v>
      </c>
      <c r="W16" s="395">
        <v>7</v>
      </c>
      <c r="X16" s="394">
        <v>4</v>
      </c>
      <c r="Y16" s="395">
        <v>6</v>
      </c>
      <c r="Z16" s="394">
        <v>5</v>
      </c>
      <c r="AA16" s="395">
        <v>5</v>
      </c>
      <c r="AB16" s="394">
        <v>4</v>
      </c>
      <c r="AC16" s="395">
        <v>2</v>
      </c>
      <c r="AD16" s="394">
        <v>4</v>
      </c>
      <c r="AE16" s="395">
        <v>4</v>
      </c>
      <c r="AF16" s="394">
        <v>7</v>
      </c>
      <c r="AG16" s="406">
        <v>13</v>
      </c>
      <c r="AH16" s="412">
        <v>24</v>
      </c>
      <c r="AI16" s="461">
        <v>35</v>
      </c>
      <c r="AJ16" s="394">
        <v>0</v>
      </c>
      <c r="AK16" s="461">
        <v>0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48">
        <f t="shared" si="2"/>
        <v>0</v>
      </c>
      <c r="DL16" s="1048">
        <f t="shared" si="3"/>
        <v>0</v>
      </c>
      <c r="DM16" s="1048">
        <f t="shared" si="4"/>
        <v>0</v>
      </c>
      <c r="DN16" s="1048">
        <f t="shared" si="5"/>
        <v>0</v>
      </c>
    </row>
    <row r="17" spans="1:148" ht="15" customHeight="1" x14ac:dyDescent="0.15">
      <c r="A17" s="1948"/>
      <c r="B17" s="104" t="s">
        <v>509</v>
      </c>
      <c r="C17" s="1148">
        <f t="shared" si="1"/>
        <v>26</v>
      </c>
      <c r="D17" s="397">
        <f t="shared" ref="D17:E18" si="12">+F17+H17+J17+L17+N17+P17+R17+T17+V17+X17+Z17+AB17+AD17+AF17</f>
        <v>13</v>
      </c>
      <c r="E17" s="448">
        <f t="shared" si="12"/>
        <v>13</v>
      </c>
      <c r="F17" s="398">
        <v>0</v>
      </c>
      <c r="G17" s="399">
        <v>0</v>
      </c>
      <c r="H17" s="398">
        <v>0</v>
      </c>
      <c r="I17" s="399">
        <v>0</v>
      </c>
      <c r="J17" s="398">
        <v>0</v>
      </c>
      <c r="K17" s="399">
        <v>0</v>
      </c>
      <c r="L17" s="398">
        <v>0</v>
      </c>
      <c r="M17" s="399">
        <v>1</v>
      </c>
      <c r="N17" s="398">
        <v>0</v>
      </c>
      <c r="O17" s="399">
        <v>2</v>
      </c>
      <c r="P17" s="398">
        <v>0</v>
      </c>
      <c r="Q17" s="399">
        <v>0</v>
      </c>
      <c r="R17" s="398">
        <v>1</v>
      </c>
      <c r="S17" s="399">
        <v>1</v>
      </c>
      <c r="T17" s="398">
        <v>3</v>
      </c>
      <c r="U17" s="399">
        <v>0</v>
      </c>
      <c r="V17" s="398">
        <v>0</v>
      </c>
      <c r="W17" s="399">
        <v>2</v>
      </c>
      <c r="X17" s="398">
        <v>3</v>
      </c>
      <c r="Y17" s="399">
        <v>3</v>
      </c>
      <c r="Z17" s="398">
        <v>1</v>
      </c>
      <c r="AA17" s="399">
        <v>1</v>
      </c>
      <c r="AB17" s="398">
        <v>1</v>
      </c>
      <c r="AC17" s="399">
        <v>1</v>
      </c>
      <c r="AD17" s="398">
        <v>1</v>
      </c>
      <c r="AE17" s="399">
        <v>2</v>
      </c>
      <c r="AF17" s="398">
        <v>3</v>
      </c>
      <c r="AG17" s="407">
        <v>0</v>
      </c>
      <c r="AH17" s="445">
        <v>9</v>
      </c>
      <c r="AI17" s="533">
        <v>9</v>
      </c>
      <c r="AJ17" s="408">
        <v>0</v>
      </c>
      <c r="AK17" s="533">
        <v>0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48">
        <f t="shared" si="2"/>
        <v>0</v>
      </c>
      <c r="DL17" s="1048">
        <f t="shared" si="3"/>
        <v>0</v>
      </c>
      <c r="DM17" s="1048">
        <f t="shared" si="4"/>
        <v>0</v>
      </c>
      <c r="DN17" s="1048">
        <f t="shared" si="5"/>
        <v>0</v>
      </c>
    </row>
    <row r="18" spans="1:148" ht="15" customHeight="1" x14ac:dyDescent="0.15">
      <c r="A18" s="1948"/>
      <c r="B18" s="104" t="s">
        <v>510</v>
      </c>
      <c r="C18" s="1148">
        <f t="shared" si="1"/>
        <v>66</v>
      </c>
      <c r="D18" s="397">
        <f t="shared" si="12"/>
        <v>33</v>
      </c>
      <c r="E18" s="448">
        <f t="shared" si="12"/>
        <v>33</v>
      </c>
      <c r="F18" s="398">
        <v>0</v>
      </c>
      <c r="G18" s="399">
        <v>0</v>
      </c>
      <c r="H18" s="398">
        <v>0</v>
      </c>
      <c r="I18" s="399">
        <v>0</v>
      </c>
      <c r="J18" s="398">
        <v>0</v>
      </c>
      <c r="K18" s="399">
        <v>0</v>
      </c>
      <c r="L18" s="398">
        <v>0</v>
      </c>
      <c r="M18" s="399">
        <v>0</v>
      </c>
      <c r="N18" s="398">
        <v>0</v>
      </c>
      <c r="O18" s="399">
        <v>1</v>
      </c>
      <c r="P18" s="398">
        <v>1</v>
      </c>
      <c r="Q18" s="399">
        <v>1</v>
      </c>
      <c r="R18" s="398">
        <v>0</v>
      </c>
      <c r="S18" s="399">
        <v>0</v>
      </c>
      <c r="T18" s="398">
        <v>6</v>
      </c>
      <c r="U18" s="399">
        <v>1</v>
      </c>
      <c r="V18" s="398">
        <v>1</v>
      </c>
      <c r="W18" s="399">
        <v>6</v>
      </c>
      <c r="X18" s="398">
        <v>6</v>
      </c>
      <c r="Y18" s="399">
        <v>2</v>
      </c>
      <c r="Z18" s="398">
        <v>5</v>
      </c>
      <c r="AA18" s="399">
        <v>5</v>
      </c>
      <c r="AB18" s="398">
        <v>5</v>
      </c>
      <c r="AC18" s="399">
        <v>4</v>
      </c>
      <c r="AD18" s="398">
        <v>4</v>
      </c>
      <c r="AE18" s="399">
        <v>3</v>
      </c>
      <c r="AF18" s="398">
        <v>5</v>
      </c>
      <c r="AG18" s="407">
        <v>10</v>
      </c>
      <c r="AH18" s="445">
        <v>26</v>
      </c>
      <c r="AI18" s="533">
        <v>25</v>
      </c>
      <c r="AJ18" s="398">
        <v>0</v>
      </c>
      <c r="AK18" s="533">
        <v>0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48">
        <f t="shared" si="2"/>
        <v>0</v>
      </c>
      <c r="DL18" s="1048">
        <f t="shared" si="3"/>
        <v>0</v>
      </c>
      <c r="DM18" s="1048">
        <f t="shared" si="4"/>
        <v>0</v>
      </c>
      <c r="DN18" s="1048">
        <f t="shared" si="5"/>
        <v>0</v>
      </c>
    </row>
    <row r="19" spans="1:148" ht="15" customHeight="1" x14ac:dyDescent="0.15">
      <c r="A19" s="1948"/>
      <c r="B19" s="104" t="s">
        <v>511</v>
      </c>
      <c r="C19" s="1148">
        <f t="shared" si="1"/>
        <v>1</v>
      </c>
      <c r="D19" s="397">
        <f>+V19+X19+Z19+AB19+AD19+AF19</f>
        <v>1</v>
      </c>
      <c r="E19" s="448">
        <f>+W19+Y19+AA19+AC19+AE19+AG19</f>
        <v>0</v>
      </c>
      <c r="F19" s="436"/>
      <c r="G19" s="547"/>
      <c r="H19" s="436"/>
      <c r="I19" s="547"/>
      <c r="J19" s="436"/>
      <c r="K19" s="547"/>
      <c r="L19" s="436"/>
      <c r="M19" s="547"/>
      <c r="N19" s="436"/>
      <c r="O19" s="547"/>
      <c r="P19" s="436"/>
      <c r="Q19" s="547"/>
      <c r="R19" s="436"/>
      <c r="S19" s="547"/>
      <c r="T19" s="436"/>
      <c r="U19" s="547"/>
      <c r="V19" s="417">
        <v>0</v>
      </c>
      <c r="W19" s="418">
        <v>0</v>
      </c>
      <c r="X19" s="417">
        <v>0</v>
      </c>
      <c r="Y19" s="418">
        <v>0</v>
      </c>
      <c r="Z19" s="417">
        <v>1</v>
      </c>
      <c r="AA19" s="418">
        <v>0</v>
      </c>
      <c r="AB19" s="417">
        <v>0</v>
      </c>
      <c r="AC19" s="418">
        <v>0</v>
      </c>
      <c r="AD19" s="417">
        <v>0</v>
      </c>
      <c r="AE19" s="418">
        <v>0</v>
      </c>
      <c r="AF19" s="417">
        <v>0</v>
      </c>
      <c r="AG19" s="419">
        <v>0</v>
      </c>
      <c r="AH19" s="445">
        <v>1</v>
      </c>
      <c r="AI19" s="533">
        <v>0</v>
      </c>
      <c r="AJ19" s="408">
        <v>0</v>
      </c>
      <c r="AK19" s="533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48">
        <f t="shared" si="2"/>
        <v>0</v>
      </c>
      <c r="DL19" s="1048">
        <f t="shared" si="3"/>
        <v>0</v>
      </c>
      <c r="DM19" s="1048">
        <f t="shared" si="4"/>
        <v>0</v>
      </c>
      <c r="DN19" s="1048">
        <f t="shared" si="5"/>
        <v>0</v>
      </c>
    </row>
    <row r="20" spans="1:148" ht="15" customHeight="1" x14ac:dyDescent="0.15">
      <c r="A20" s="1948"/>
      <c r="B20" s="1113" t="s">
        <v>512</v>
      </c>
      <c r="C20" s="1147">
        <f>SUM(D20:E20)</f>
        <v>1</v>
      </c>
      <c r="D20" s="401">
        <f t="shared" ref="D20:E22" si="13">+F20+H20+J20+L20+N20+P20+R20+T20+V20+X20+Z20+AB20+AD20+AF20</f>
        <v>1</v>
      </c>
      <c r="E20" s="1032">
        <f t="shared" si="13"/>
        <v>0</v>
      </c>
      <c r="F20" s="398">
        <v>0</v>
      </c>
      <c r="G20" s="399">
        <v>0</v>
      </c>
      <c r="H20" s="398">
        <v>0</v>
      </c>
      <c r="I20" s="399">
        <v>0</v>
      </c>
      <c r="J20" s="398">
        <v>0</v>
      </c>
      <c r="K20" s="399">
        <v>0</v>
      </c>
      <c r="L20" s="398">
        <v>0</v>
      </c>
      <c r="M20" s="399">
        <v>0</v>
      </c>
      <c r="N20" s="398">
        <v>0</v>
      </c>
      <c r="O20" s="399">
        <v>0</v>
      </c>
      <c r="P20" s="398">
        <v>0</v>
      </c>
      <c r="Q20" s="399">
        <v>0</v>
      </c>
      <c r="R20" s="398">
        <v>0</v>
      </c>
      <c r="S20" s="399">
        <v>0</v>
      </c>
      <c r="T20" s="398">
        <v>0</v>
      </c>
      <c r="U20" s="399">
        <v>0</v>
      </c>
      <c r="V20" s="398">
        <v>0</v>
      </c>
      <c r="W20" s="399">
        <v>0</v>
      </c>
      <c r="X20" s="398">
        <v>0</v>
      </c>
      <c r="Y20" s="399">
        <v>0</v>
      </c>
      <c r="Z20" s="398">
        <v>0</v>
      </c>
      <c r="AA20" s="399">
        <v>0</v>
      </c>
      <c r="AB20" s="398">
        <v>0</v>
      </c>
      <c r="AC20" s="399">
        <v>0</v>
      </c>
      <c r="AD20" s="398">
        <v>1</v>
      </c>
      <c r="AE20" s="399">
        <v>0</v>
      </c>
      <c r="AF20" s="398">
        <v>0</v>
      </c>
      <c r="AG20" s="407">
        <v>0</v>
      </c>
      <c r="AH20" s="445">
        <v>1</v>
      </c>
      <c r="AI20" s="533">
        <v>0</v>
      </c>
      <c r="AJ20" s="398">
        <v>0</v>
      </c>
      <c r="AK20" s="533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48">
        <f t="shared" ref="DK20:DL22" si="14">IF(AND(D20&gt;0,OR(AH20="")),1,IF(AH20&gt;D20,1,0))</f>
        <v>0</v>
      </c>
      <c r="DL20" s="1048">
        <f t="shared" si="14"/>
        <v>0</v>
      </c>
      <c r="DM20" s="1048">
        <f t="shared" ref="DM20:DN22" si="15">IF(AND(D20&gt;0,OR(AJ20="")),1,IF(AJ20&gt;D20,1,0))</f>
        <v>0</v>
      </c>
      <c r="DN20" s="1048">
        <f t="shared" si="15"/>
        <v>0</v>
      </c>
    </row>
    <row r="21" spans="1:148" ht="15" customHeight="1" x14ac:dyDescent="0.15">
      <c r="A21" s="1948"/>
      <c r="B21" s="104" t="s">
        <v>513</v>
      </c>
      <c r="C21" s="1148">
        <f>SUM(D21:E21)</f>
        <v>3</v>
      </c>
      <c r="D21" s="397">
        <f t="shared" si="13"/>
        <v>2</v>
      </c>
      <c r="E21" s="448">
        <f t="shared" si="13"/>
        <v>1</v>
      </c>
      <c r="F21" s="398">
        <v>0</v>
      </c>
      <c r="G21" s="399">
        <v>0</v>
      </c>
      <c r="H21" s="398">
        <v>0</v>
      </c>
      <c r="I21" s="399">
        <v>0</v>
      </c>
      <c r="J21" s="398">
        <v>0</v>
      </c>
      <c r="K21" s="399">
        <v>0</v>
      </c>
      <c r="L21" s="398">
        <v>0</v>
      </c>
      <c r="M21" s="399">
        <v>0</v>
      </c>
      <c r="N21" s="398">
        <v>0</v>
      </c>
      <c r="O21" s="399">
        <v>0</v>
      </c>
      <c r="P21" s="398">
        <v>0</v>
      </c>
      <c r="Q21" s="399">
        <v>0</v>
      </c>
      <c r="R21" s="398">
        <v>0</v>
      </c>
      <c r="S21" s="399">
        <v>0</v>
      </c>
      <c r="T21" s="398">
        <v>0</v>
      </c>
      <c r="U21" s="399">
        <v>0</v>
      </c>
      <c r="V21" s="398">
        <v>0</v>
      </c>
      <c r="W21" s="399">
        <v>0</v>
      </c>
      <c r="X21" s="398">
        <v>1</v>
      </c>
      <c r="Y21" s="399">
        <v>0</v>
      </c>
      <c r="Z21" s="398">
        <v>0</v>
      </c>
      <c r="AA21" s="399">
        <v>0</v>
      </c>
      <c r="AB21" s="398">
        <v>0</v>
      </c>
      <c r="AC21" s="399">
        <v>0</v>
      </c>
      <c r="AD21" s="398">
        <v>0</v>
      </c>
      <c r="AE21" s="399">
        <v>0</v>
      </c>
      <c r="AF21" s="398">
        <v>1</v>
      </c>
      <c r="AG21" s="407">
        <v>1</v>
      </c>
      <c r="AH21" s="445">
        <v>1</v>
      </c>
      <c r="AI21" s="533">
        <v>1</v>
      </c>
      <c r="AJ21" s="398">
        <v>0</v>
      </c>
      <c r="AK21" s="533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48">
        <f t="shared" si="14"/>
        <v>0</v>
      </c>
      <c r="DL21" s="1048">
        <f t="shared" si="14"/>
        <v>0</v>
      </c>
      <c r="DM21" s="1048">
        <f t="shared" si="15"/>
        <v>0</v>
      </c>
      <c r="DN21" s="1048">
        <f t="shared" si="15"/>
        <v>0</v>
      </c>
    </row>
    <row r="22" spans="1:148" ht="22.5" customHeight="1" x14ac:dyDescent="0.15">
      <c r="A22" s="1948"/>
      <c r="B22" s="1253" t="s">
        <v>514</v>
      </c>
      <c r="C22" s="1147">
        <f>SUM(D22:E22)</f>
        <v>0</v>
      </c>
      <c r="D22" s="401">
        <f t="shared" si="13"/>
        <v>0</v>
      </c>
      <c r="E22" s="1032">
        <f t="shared" si="13"/>
        <v>0</v>
      </c>
      <c r="F22" s="450">
        <v>0</v>
      </c>
      <c r="G22" s="451">
        <v>0</v>
      </c>
      <c r="H22" s="450">
        <v>0</v>
      </c>
      <c r="I22" s="451">
        <v>0</v>
      </c>
      <c r="J22" s="450">
        <v>0</v>
      </c>
      <c r="K22" s="451">
        <v>0</v>
      </c>
      <c r="L22" s="450">
        <v>0</v>
      </c>
      <c r="M22" s="451">
        <v>0</v>
      </c>
      <c r="N22" s="450">
        <v>0</v>
      </c>
      <c r="O22" s="451">
        <v>0</v>
      </c>
      <c r="P22" s="450">
        <v>0</v>
      </c>
      <c r="Q22" s="451">
        <v>0</v>
      </c>
      <c r="R22" s="450">
        <v>0</v>
      </c>
      <c r="S22" s="451">
        <v>0</v>
      </c>
      <c r="T22" s="450">
        <v>0</v>
      </c>
      <c r="U22" s="451">
        <v>0</v>
      </c>
      <c r="V22" s="450">
        <v>0</v>
      </c>
      <c r="W22" s="451">
        <v>0</v>
      </c>
      <c r="X22" s="450">
        <v>0</v>
      </c>
      <c r="Y22" s="451">
        <v>0</v>
      </c>
      <c r="Z22" s="450">
        <v>0</v>
      </c>
      <c r="AA22" s="451">
        <v>0</v>
      </c>
      <c r="AB22" s="450">
        <v>0</v>
      </c>
      <c r="AC22" s="451">
        <v>0</v>
      </c>
      <c r="AD22" s="450">
        <v>0</v>
      </c>
      <c r="AE22" s="451">
        <v>0</v>
      </c>
      <c r="AF22" s="450">
        <v>0</v>
      </c>
      <c r="AG22" s="452">
        <v>0</v>
      </c>
      <c r="AH22" s="881">
        <v>0</v>
      </c>
      <c r="AI22" s="669">
        <v>0</v>
      </c>
      <c r="AJ22" s="450">
        <v>0</v>
      </c>
      <c r="AK22" s="669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48">
        <f t="shared" si="14"/>
        <v>0</v>
      </c>
      <c r="DL22" s="1048">
        <f t="shared" si="14"/>
        <v>0</v>
      </c>
      <c r="DM22" s="1048">
        <f t="shared" si="15"/>
        <v>0</v>
      </c>
      <c r="DN22" s="1048">
        <f t="shared" si="15"/>
        <v>0</v>
      </c>
    </row>
    <row r="23" spans="1:148" ht="15" customHeight="1" x14ac:dyDescent="0.15">
      <c r="A23" s="1949"/>
      <c r="B23" s="1254" t="s">
        <v>515</v>
      </c>
      <c r="C23" s="1144">
        <f t="shared" ref="C23" si="16">SUM(D23:E23)</f>
        <v>59</v>
      </c>
      <c r="D23" s="391">
        <f t="shared" ref="D23" si="17">+F23+H23+J23+L23+N23+P23+R23+T23+V23+X23+Z23+AB23+AD23+AF23</f>
        <v>28</v>
      </c>
      <c r="E23" s="446">
        <f t="shared" ref="E23" si="18">+G23+I23+K23+M23+O23+Q23+S23+U23+W23+Y23+AA23+AC23+AE23+AG23</f>
        <v>31</v>
      </c>
      <c r="F23" s="403">
        <v>0</v>
      </c>
      <c r="G23" s="404">
        <v>0</v>
      </c>
      <c r="H23" s="403">
        <v>0</v>
      </c>
      <c r="I23" s="404">
        <v>0</v>
      </c>
      <c r="J23" s="403">
        <v>0</v>
      </c>
      <c r="K23" s="404">
        <v>0</v>
      </c>
      <c r="L23" s="403">
        <v>0</v>
      </c>
      <c r="M23" s="404">
        <v>0</v>
      </c>
      <c r="N23" s="403">
        <v>0</v>
      </c>
      <c r="O23" s="404">
        <v>0</v>
      </c>
      <c r="P23" s="403">
        <v>0</v>
      </c>
      <c r="Q23" s="404">
        <v>0</v>
      </c>
      <c r="R23" s="403">
        <v>0</v>
      </c>
      <c r="S23" s="404">
        <v>3</v>
      </c>
      <c r="T23" s="403">
        <v>6</v>
      </c>
      <c r="U23" s="404">
        <v>1</v>
      </c>
      <c r="V23" s="403">
        <v>0</v>
      </c>
      <c r="W23" s="404">
        <v>5</v>
      </c>
      <c r="X23" s="403">
        <v>5</v>
      </c>
      <c r="Y23" s="404">
        <v>4</v>
      </c>
      <c r="Z23" s="403">
        <v>6</v>
      </c>
      <c r="AA23" s="404">
        <v>4</v>
      </c>
      <c r="AB23" s="403">
        <v>4</v>
      </c>
      <c r="AC23" s="404">
        <v>4</v>
      </c>
      <c r="AD23" s="403">
        <v>2</v>
      </c>
      <c r="AE23" s="404">
        <v>3</v>
      </c>
      <c r="AF23" s="403">
        <v>5</v>
      </c>
      <c r="AG23" s="431">
        <v>7</v>
      </c>
      <c r="AH23" s="416">
        <v>22</v>
      </c>
      <c r="AI23" s="442">
        <v>25</v>
      </c>
      <c r="AJ23" s="403">
        <v>0</v>
      </c>
      <c r="AK23" s="442">
        <v>0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48">
        <f t="shared" si="2"/>
        <v>0</v>
      </c>
      <c r="DL23" s="1048">
        <f t="shared" si="3"/>
        <v>0</v>
      </c>
      <c r="DM23" s="1048">
        <f t="shared" si="4"/>
        <v>0</v>
      </c>
      <c r="DN23" s="1048">
        <f t="shared" si="5"/>
        <v>0</v>
      </c>
    </row>
    <row r="24" spans="1:148" ht="17.100000000000001" customHeight="1" x14ac:dyDescent="0.15">
      <c r="A24" s="1982" t="s">
        <v>516</v>
      </c>
      <c r="B24" s="1982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47" t="s">
        <v>451</v>
      </c>
      <c r="B25" s="1947"/>
      <c r="C25" s="1955" t="s">
        <v>503</v>
      </c>
      <c r="D25" s="1956"/>
      <c r="E25" s="1957"/>
      <c r="F25" s="1961" t="s">
        <v>382</v>
      </c>
      <c r="G25" s="1950"/>
      <c r="H25" s="1950"/>
      <c r="I25" s="1950"/>
      <c r="J25" s="1950"/>
      <c r="K25" s="1950"/>
      <c r="L25" s="1950"/>
      <c r="M25" s="1950"/>
      <c r="N25" s="1950"/>
      <c r="O25" s="1950"/>
      <c r="P25" s="1950"/>
      <c r="Q25" s="1950"/>
      <c r="R25" s="1950"/>
      <c r="S25" s="1950"/>
      <c r="T25" s="1950"/>
      <c r="U25" s="1950"/>
      <c r="V25" s="1950"/>
      <c r="W25" s="1950"/>
      <c r="X25" s="1950"/>
      <c r="Y25" s="1950"/>
      <c r="Z25" s="1950"/>
      <c r="AA25" s="1950"/>
      <c r="AB25" s="1950"/>
      <c r="AC25" s="1950"/>
      <c r="AD25" s="1950"/>
      <c r="AE25" s="1950"/>
      <c r="AF25" s="1950"/>
      <c r="AG25" s="1998"/>
      <c r="AH25" s="1699" t="s">
        <v>56</v>
      </c>
      <c r="AI25" s="1656"/>
      <c r="AJ25" s="1703" t="s">
        <v>57</v>
      </c>
      <c r="AK25" s="1656"/>
    </row>
    <row r="26" spans="1:148" ht="18" customHeight="1" x14ac:dyDescent="0.15">
      <c r="A26" s="1948"/>
      <c r="B26" s="1948"/>
      <c r="C26" s="1958"/>
      <c r="D26" s="1959"/>
      <c r="E26" s="1960"/>
      <c r="F26" s="1977" t="s">
        <v>62</v>
      </c>
      <c r="G26" s="1978"/>
      <c r="H26" s="2014" t="s">
        <v>63</v>
      </c>
      <c r="I26" s="2015"/>
      <c r="J26" s="1879" t="s">
        <v>64</v>
      </c>
      <c r="K26" s="1879"/>
      <c r="L26" s="1885" t="s">
        <v>65</v>
      </c>
      <c r="M26" s="1803"/>
      <c r="N26" s="1879" t="s">
        <v>66</v>
      </c>
      <c r="O26" s="1879"/>
      <c r="P26" s="1885" t="s">
        <v>67</v>
      </c>
      <c r="Q26" s="1803"/>
      <c r="R26" s="1879" t="s">
        <v>68</v>
      </c>
      <c r="S26" s="1879"/>
      <c r="T26" s="1885" t="s">
        <v>69</v>
      </c>
      <c r="U26" s="1803"/>
      <c r="V26" s="1879" t="s">
        <v>70</v>
      </c>
      <c r="W26" s="1879"/>
      <c r="X26" s="1885" t="s">
        <v>71</v>
      </c>
      <c r="Y26" s="1803"/>
      <c r="Z26" s="1880" t="s">
        <v>72</v>
      </c>
      <c r="AA26" s="1881"/>
      <c r="AB26" s="1880" t="s">
        <v>412</v>
      </c>
      <c r="AC26" s="1881"/>
      <c r="AD26" s="1880" t="s">
        <v>413</v>
      </c>
      <c r="AE26" s="1881"/>
      <c r="AF26" s="1880" t="s">
        <v>414</v>
      </c>
      <c r="AG26" s="1888"/>
      <c r="AH26" s="1701"/>
      <c r="AI26" s="1657"/>
      <c r="AJ26" s="1704"/>
      <c r="AK26" s="1657"/>
      <c r="CE26" s="1063"/>
      <c r="CF26" s="1063"/>
      <c r="CG26" s="1064"/>
      <c r="CH26" s="1064"/>
      <c r="CI26" s="1063"/>
      <c r="CJ26" s="1063"/>
      <c r="CK26" s="184"/>
      <c r="CL26" s="184"/>
      <c r="CM26" s="1063"/>
      <c r="CN26" s="1063"/>
      <c r="CO26" s="184"/>
      <c r="CP26" s="184"/>
      <c r="CQ26" s="1063"/>
      <c r="CR26" s="1063"/>
      <c r="CS26" s="184"/>
      <c r="CT26" s="184"/>
      <c r="CU26" s="1063"/>
      <c r="CV26" s="1063"/>
      <c r="CW26" s="184"/>
      <c r="CX26" s="184"/>
      <c r="CY26" s="968"/>
      <c r="CZ26" s="968"/>
      <c r="DA26" s="968"/>
      <c r="DB26" s="968"/>
      <c r="DC26" s="968"/>
      <c r="DD26" s="968"/>
      <c r="DE26" s="968"/>
      <c r="DF26" s="968"/>
      <c r="DO26" s="1063"/>
      <c r="DP26" s="1063"/>
      <c r="DQ26" s="1064"/>
      <c r="DR26" s="1064"/>
      <c r="DS26" s="1063"/>
      <c r="DT26" s="1063"/>
      <c r="DU26" s="184"/>
      <c r="DV26" s="184"/>
      <c r="DW26" s="1063"/>
      <c r="DX26" s="1063"/>
      <c r="DY26" s="184"/>
      <c r="DZ26" s="184"/>
      <c r="EA26" s="1063"/>
      <c r="EB26" s="1063"/>
      <c r="EC26" s="184"/>
      <c r="ED26" s="184"/>
      <c r="EE26" s="1063"/>
      <c r="EF26" s="1063"/>
      <c r="EG26" s="184"/>
      <c r="EH26" s="184"/>
      <c r="EI26" s="968"/>
      <c r="EJ26" s="968"/>
      <c r="EK26" s="968"/>
      <c r="EL26" s="968"/>
      <c r="EM26" s="968"/>
      <c r="EN26" s="968"/>
      <c r="EO26" s="968"/>
      <c r="EP26" s="968"/>
    </row>
    <row r="27" spans="1:148" ht="21.75" customHeight="1" x14ac:dyDescent="0.15">
      <c r="A27" s="1948"/>
      <c r="B27" s="1949"/>
      <c r="C27" s="1445" t="s">
        <v>231</v>
      </c>
      <c r="D27" s="1480" t="s">
        <v>91</v>
      </c>
      <c r="E27" s="1481" t="s">
        <v>232</v>
      </c>
      <c r="F27" s="1474" t="s">
        <v>91</v>
      </c>
      <c r="G27" s="1481" t="s">
        <v>232</v>
      </c>
      <c r="H27" s="1474" t="s">
        <v>91</v>
      </c>
      <c r="I27" s="1481" t="s">
        <v>232</v>
      </c>
      <c r="J27" s="1474" t="s">
        <v>91</v>
      </c>
      <c r="K27" s="1481" t="s">
        <v>232</v>
      </c>
      <c r="L27" s="1474" t="s">
        <v>91</v>
      </c>
      <c r="M27" s="1481" t="s">
        <v>232</v>
      </c>
      <c r="N27" s="1474" t="s">
        <v>91</v>
      </c>
      <c r="O27" s="1481" t="s">
        <v>232</v>
      </c>
      <c r="P27" s="1474" t="s">
        <v>91</v>
      </c>
      <c r="Q27" s="1481" t="s">
        <v>232</v>
      </c>
      <c r="R27" s="1474" t="s">
        <v>91</v>
      </c>
      <c r="S27" s="1481" t="s">
        <v>232</v>
      </c>
      <c r="T27" s="1474" t="s">
        <v>91</v>
      </c>
      <c r="U27" s="1481" t="s">
        <v>232</v>
      </c>
      <c r="V27" s="1474" t="s">
        <v>91</v>
      </c>
      <c r="W27" s="1481" t="s">
        <v>232</v>
      </c>
      <c r="X27" s="1474" t="s">
        <v>91</v>
      </c>
      <c r="Y27" s="1481" t="s">
        <v>232</v>
      </c>
      <c r="Z27" s="1474" t="s">
        <v>416</v>
      </c>
      <c r="AA27" s="1481" t="s">
        <v>232</v>
      </c>
      <c r="AB27" s="1474" t="s">
        <v>416</v>
      </c>
      <c r="AC27" s="1481" t="s">
        <v>232</v>
      </c>
      <c r="AD27" s="1474" t="s">
        <v>416</v>
      </c>
      <c r="AE27" s="1481" t="s">
        <v>232</v>
      </c>
      <c r="AF27" s="1466" t="s">
        <v>416</v>
      </c>
      <c r="AG27" s="86" t="s">
        <v>232</v>
      </c>
      <c r="AH27" s="877" t="s">
        <v>91</v>
      </c>
      <c r="AI27" s="876" t="s">
        <v>232</v>
      </c>
      <c r="AJ27" s="1487" t="s">
        <v>91</v>
      </c>
      <c r="AK27" s="876" t="s">
        <v>232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58" t="s">
        <v>517</v>
      </c>
      <c r="B28" s="103" t="s">
        <v>518</v>
      </c>
      <c r="C28" s="1146">
        <f>SUM(D28:E28)</f>
        <v>31</v>
      </c>
      <c r="D28" s="392">
        <f>+F28+H28+J28+L28+N28+P28+R28+T28+V28+X28+Z28+AB28+AD28</f>
        <v>12</v>
      </c>
      <c r="E28" s="878">
        <f>+G28+I28+K28+M28+O28+Q28+S28+U28+W28+Y28+AA28+AC28+AE28</f>
        <v>19</v>
      </c>
      <c r="F28" s="394">
        <v>0</v>
      </c>
      <c r="G28" s="395">
        <v>0</v>
      </c>
      <c r="H28" s="394">
        <v>0</v>
      </c>
      <c r="I28" s="395">
        <v>0</v>
      </c>
      <c r="J28" s="394">
        <v>0</v>
      </c>
      <c r="K28" s="461">
        <v>0</v>
      </c>
      <c r="L28" s="394">
        <v>0</v>
      </c>
      <c r="M28" s="395">
        <v>0</v>
      </c>
      <c r="N28" s="394">
        <v>0</v>
      </c>
      <c r="O28" s="395">
        <v>1</v>
      </c>
      <c r="P28" s="394">
        <v>0</v>
      </c>
      <c r="Q28" s="461">
        <v>0</v>
      </c>
      <c r="R28" s="394">
        <v>0</v>
      </c>
      <c r="S28" s="395">
        <v>1</v>
      </c>
      <c r="T28" s="394">
        <v>1</v>
      </c>
      <c r="U28" s="395">
        <v>1</v>
      </c>
      <c r="V28" s="394">
        <v>2</v>
      </c>
      <c r="W28" s="395">
        <v>7</v>
      </c>
      <c r="X28" s="394">
        <v>0</v>
      </c>
      <c r="Y28" s="395">
        <v>4</v>
      </c>
      <c r="Z28" s="394">
        <v>5</v>
      </c>
      <c r="AA28" s="395">
        <v>2</v>
      </c>
      <c r="AB28" s="394">
        <v>2</v>
      </c>
      <c r="AC28" s="395">
        <v>2</v>
      </c>
      <c r="AD28" s="394">
        <v>2</v>
      </c>
      <c r="AE28" s="395">
        <v>1</v>
      </c>
      <c r="AF28" s="885"/>
      <c r="AG28" s="886"/>
      <c r="AH28" s="412">
        <v>10</v>
      </c>
      <c r="AI28" s="395">
        <v>17</v>
      </c>
      <c r="AJ28" s="462">
        <v>0</v>
      </c>
      <c r="AK28" s="395">
        <v>0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48">
        <f>IF(AND(D28&lt;&gt;0,AH28=""),1,IF(AND(E28&lt;&gt;0,AI28=""),1,0))</f>
        <v>0</v>
      </c>
      <c r="DL28" s="1048">
        <f>IF(AND(D28&lt;&gt;0,AJ28=""),1,IF(AND(E28&lt;&gt;0,AK28=""),1,0))</f>
        <v>0</v>
      </c>
      <c r="DM28" s="1048">
        <f>IF($D$28&gt;=$AH$28,0,1)</f>
        <v>0</v>
      </c>
      <c r="DN28" s="1048">
        <f>IF(E$28&gt;=AI28,0,1)</f>
        <v>0</v>
      </c>
      <c r="DO28" s="1048">
        <f t="shared" ref="DO28:DO42" si="19">IF($D28&gt;=$AJ28,0,1)</f>
        <v>0</v>
      </c>
      <c r="DP28" s="1048">
        <f t="shared" ref="DP28:DP42" si="20">IF(E28&gt;=AK28,0,1)</f>
        <v>0</v>
      </c>
      <c r="DQ28" s="1048">
        <f t="shared" ref="DQ28:EP28" si="21">IF(F$28&lt;=F$16,0,1)</f>
        <v>0</v>
      </c>
      <c r="DR28" s="1048">
        <f t="shared" si="21"/>
        <v>0</v>
      </c>
      <c r="DS28" s="1048">
        <f t="shared" si="21"/>
        <v>0</v>
      </c>
      <c r="DT28" s="1048">
        <f t="shared" si="21"/>
        <v>0</v>
      </c>
      <c r="DU28" s="1048">
        <f t="shared" si="21"/>
        <v>0</v>
      </c>
      <c r="DV28" s="1048">
        <f t="shared" si="21"/>
        <v>0</v>
      </c>
      <c r="DW28" s="1048">
        <f t="shared" si="21"/>
        <v>0</v>
      </c>
      <c r="DX28" s="1048">
        <f t="shared" si="21"/>
        <v>0</v>
      </c>
      <c r="DY28" s="1048">
        <f t="shared" si="21"/>
        <v>0</v>
      </c>
      <c r="DZ28" s="1048">
        <f t="shared" si="21"/>
        <v>0</v>
      </c>
      <c r="EA28" s="1048">
        <f t="shared" si="21"/>
        <v>0</v>
      </c>
      <c r="EB28" s="1048">
        <f t="shared" si="21"/>
        <v>0</v>
      </c>
      <c r="EC28" s="1048">
        <f t="shared" si="21"/>
        <v>0</v>
      </c>
      <c r="ED28" s="1048">
        <f t="shared" si="21"/>
        <v>0</v>
      </c>
      <c r="EE28" s="1048">
        <f t="shared" si="21"/>
        <v>0</v>
      </c>
      <c r="EF28" s="1048">
        <f t="shared" si="21"/>
        <v>0</v>
      </c>
      <c r="EG28" s="1048">
        <f t="shared" si="21"/>
        <v>0</v>
      </c>
      <c r="EH28" s="1048">
        <f t="shared" si="21"/>
        <v>0</v>
      </c>
      <c r="EI28" s="1048">
        <f t="shared" si="21"/>
        <v>0</v>
      </c>
      <c r="EJ28" s="1048">
        <f t="shared" si="21"/>
        <v>0</v>
      </c>
      <c r="EK28" s="1048">
        <f t="shared" si="21"/>
        <v>0</v>
      </c>
      <c r="EL28" s="1048">
        <f t="shared" si="21"/>
        <v>0</v>
      </c>
      <c r="EM28" s="1048">
        <f t="shared" si="21"/>
        <v>0</v>
      </c>
      <c r="EN28" s="1048">
        <f t="shared" si="21"/>
        <v>0</v>
      </c>
      <c r="EO28" s="1048">
        <f t="shared" si="21"/>
        <v>0</v>
      </c>
      <c r="EP28" s="1048">
        <f t="shared" si="21"/>
        <v>0</v>
      </c>
    </row>
    <row r="29" spans="1:148" ht="15" customHeight="1" x14ac:dyDescent="0.15">
      <c r="A29" s="1659"/>
      <c r="B29" s="132" t="s">
        <v>519</v>
      </c>
      <c r="C29" s="1145">
        <f t="shared" ref="C29:C34" si="22">SUM(D29:E29)</f>
        <v>10</v>
      </c>
      <c r="D29" s="540">
        <f>+AF29</f>
        <v>4</v>
      </c>
      <c r="E29" s="879">
        <f>+AG29</f>
        <v>6</v>
      </c>
      <c r="F29" s="439"/>
      <c r="G29" s="887"/>
      <c r="H29" s="439"/>
      <c r="I29" s="441"/>
      <c r="J29" s="439"/>
      <c r="K29" s="441"/>
      <c r="L29" s="439"/>
      <c r="M29" s="440"/>
      <c r="N29" s="439"/>
      <c r="O29" s="440"/>
      <c r="P29" s="439"/>
      <c r="Q29" s="441"/>
      <c r="R29" s="439"/>
      <c r="S29" s="440"/>
      <c r="T29" s="439"/>
      <c r="U29" s="440"/>
      <c r="V29" s="439"/>
      <c r="W29" s="440"/>
      <c r="X29" s="439"/>
      <c r="Y29" s="440"/>
      <c r="Z29" s="439"/>
      <c r="AA29" s="440"/>
      <c r="AB29" s="439"/>
      <c r="AC29" s="440"/>
      <c r="AD29" s="439"/>
      <c r="AE29" s="440"/>
      <c r="AF29" s="463">
        <v>4</v>
      </c>
      <c r="AG29" s="415">
        <v>6</v>
      </c>
      <c r="AH29" s="416">
        <v>4</v>
      </c>
      <c r="AI29" s="404">
        <v>4</v>
      </c>
      <c r="AJ29" s="464">
        <v>0</v>
      </c>
      <c r="AK29" s="404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48">
        <f t="shared" ref="DK29:DK42" si="28">IF(AND(D29&lt;&gt;0,AH29=""),1,IF(AND(E29&lt;&gt;0,AI29=""),1,0))</f>
        <v>0</v>
      </c>
      <c r="DL29" s="1048">
        <f t="shared" ref="DL29:DL42" si="29">IF(AND(D29&lt;&gt;0,AJ29=""),1,IF(AND(E29&lt;&gt;0,AK29=""),1,0))</f>
        <v>0</v>
      </c>
      <c r="DM29" s="1048">
        <f>IF($D$29&gt;=$AH$29,0,1)</f>
        <v>0</v>
      </c>
      <c r="DN29" s="1048">
        <f t="shared" ref="DN29:DN42" si="30">IF(E$28&gt;=AI29,0,1)</f>
        <v>0</v>
      </c>
      <c r="DO29" s="1048">
        <f t="shared" si="19"/>
        <v>0</v>
      </c>
      <c r="DP29" s="1048">
        <f t="shared" si="20"/>
        <v>0</v>
      </c>
    </row>
    <row r="30" spans="1:148" ht="15" customHeight="1" x14ac:dyDescent="0.15">
      <c r="A30" s="1947" t="s">
        <v>520</v>
      </c>
      <c r="B30" s="105" t="s">
        <v>521</v>
      </c>
      <c r="C30" s="1146">
        <f t="shared" si="22"/>
        <v>12</v>
      </c>
      <c r="D30" s="392">
        <f>+F30+H30+J30+L30+N30+P30+R30+T30+V30+X30+Z30+AB30+AD30</f>
        <v>5</v>
      </c>
      <c r="E30" s="447">
        <f>+G30+I30+K30+M30+O30+Q30+S30+U30+W30+Y30+AA30+AC30+AE30</f>
        <v>7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0</v>
      </c>
      <c r="L30" s="394">
        <v>0</v>
      </c>
      <c r="M30" s="395">
        <v>1</v>
      </c>
      <c r="N30" s="394">
        <v>0</v>
      </c>
      <c r="O30" s="395">
        <v>1</v>
      </c>
      <c r="P30" s="394">
        <v>0</v>
      </c>
      <c r="Q30" s="395">
        <v>0</v>
      </c>
      <c r="R30" s="394">
        <v>1</v>
      </c>
      <c r="S30" s="395">
        <v>1</v>
      </c>
      <c r="T30" s="394">
        <v>1</v>
      </c>
      <c r="U30" s="395">
        <v>0</v>
      </c>
      <c r="V30" s="394">
        <v>0</v>
      </c>
      <c r="W30" s="395">
        <v>1</v>
      </c>
      <c r="X30" s="394">
        <v>0</v>
      </c>
      <c r="Y30" s="395">
        <v>1</v>
      </c>
      <c r="Z30" s="394">
        <v>1</v>
      </c>
      <c r="AA30" s="395">
        <v>1</v>
      </c>
      <c r="AB30" s="394">
        <v>1</v>
      </c>
      <c r="AC30" s="395">
        <v>0</v>
      </c>
      <c r="AD30" s="394">
        <v>1</v>
      </c>
      <c r="AE30" s="395">
        <v>1</v>
      </c>
      <c r="AF30" s="885"/>
      <c r="AG30" s="885"/>
      <c r="AH30" s="412">
        <v>4</v>
      </c>
      <c r="AI30" s="395">
        <v>6</v>
      </c>
      <c r="AJ30" s="462">
        <v>0</v>
      </c>
      <c r="AK30" s="395">
        <v>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48">
        <f t="shared" si="28"/>
        <v>0</v>
      </c>
      <c r="DL30" s="1048">
        <f t="shared" si="29"/>
        <v>0</v>
      </c>
      <c r="DM30" s="1048">
        <f>IF($D$30&gt;=$AH$30,0,1)</f>
        <v>0</v>
      </c>
      <c r="DN30" s="1048">
        <f t="shared" si="30"/>
        <v>0</v>
      </c>
      <c r="DO30" s="1048">
        <f t="shared" si="19"/>
        <v>0</v>
      </c>
      <c r="DP30" s="1048">
        <f t="shared" si="20"/>
        <v>0</v>
      </c>
      <c r="DQ30" s="1048">
        <f t="shared" ref="DQ30:ER30" si="31">IF(F$30&lt;=F$17,0,1)</f>
        <v>0</v>
      </c>
      <c r="DR30" s="1048">
        <f t="shared" si="31"/>
        <v>0</v>
      </c>
      <c r="DS30" s="1048">
        <f t="shared" si="31"/>
        <v>0</v>
      </c>
      <c r="DT30" s="1048">
        <f t="shared" si="31"/>
        <v>0</v>
      </c>
      <c r="DU30" s="1048">
        <f t="shared" si="31"/>
        <v>0</v>
      </c>
      <c r="DV30" s="1048">
        <f t="shared" si="31"/>
        <v>0</v>
      </c>
      <c r="DW30" s="1048">
        <f t="shared" si="31"/>
        <v>0</v>
      </c>
      <c r="DX30" s="1048">
        <f t="shared" si="31"/>
        <v>0</v>
      </c>
      <c r="DY30" s="1048">
        <f t="shared" si="31"/>
        <v>0</v>
      </c>
      <c r="DZ30" s="1048">
        <f t="shared" si="31"/>
        <v>0</v>
      </c>
      <c r="EA30" s="1048">
        <f t="shared" si="31"/>
        <v>0</v>
      </c>
      <c r="EB30" s="1048">
        <f t="shared" si="31"/>
        <v>0</v>
      </c>
      <c r="EC30" s="1048">
        <f t="shared" si="31"/>
        <v>0</v>
      </c>
      <c r="ED30" s="1048">
        <f t="shared" si="31"/>
        <v>0</v>
      </c>
      <c r="EE30" s="1048">
        <f t="shared" si="31"/>
        <v>0</v>
      </c>
      <c r="EF30" s="1048">
        <f t="shared" si="31"/>
        <v>0</v>
      </c>
      <c r="EG30" s="1048">
        <f t="shared" si="31"/>
        <v>0</v>
      </c>
      <c r="EH30" s="1048">
        <f t="shared" si="31"/>
        <v>0</v>
      </c>
      <c r="EI30" s="1048">
        <f t="shared" si="31"/>
        <v>0</v>
      </c>
      <c r="EJ30" s="1048">
        <f t="shared" si="31"/>
        <v>0</v>
      </c>
      <c r="EK30" s="1048">
        <f t="shared" si="31"/>
        <v>0</v>
      </c>
      <c r="EL30" s="1048">
        <f t="shared" si="31"/>
        <v>0</v>
      </c>
      <c r="EM30" s="1048">
        <f t="shared" si="31"/>
        <v>0</v>
      </c>
      <c r="EN30" s="1048">
        <f t="shared" si="31"/>
        <v>0</v>
      </c>
      <c r="EO30" s="1048">
        <f t="shared" si="31"/>
        <v>0</v>
      </c>
      <c r="EP30" s="1048">
        <f t="shared" si="31"/>
        <v>0</v>
      </c>
      <c r="EQ30" s="1048">
        <f t="shared" si="31"/>
        <v>0</v>
      </c>
      <c r="ER30" s="1048">
        <f t="shared" si="31"/>
        <v>0</v>
      </c>
    </row>
    <row r="31" spans="1:148" ht="14.45" customHeight="1" x14ac:dyDescent="0.15">
      <c r="A31" s="1948"/>
      <c r="B31" s="133" t="s">
        <v>522</v>
      </c>
      <c r="C31" s="1302">
        <f t="shared" si="22"/>
        <v>2</v>
      </c>
      <c r="D31" s="389">
        <f>+AF31</f>
        <v>2</v>
      </c>
      <c r="E31" s="870">
        <f>+AG31</f>
        <v>0</v>
      </c>
      <c r="F31" s="436"/>
      <c r="G31" s="534"/>
      <c r="H31" s="436"/>
      <c r="I31" s="438"/>
      <c r="J31" s="436"/>
      <c r="K31" s="438"/>
      <c r="L31" s="436"/>
      <c r="M31" s="437"/>
      <c r="N31" s="436"/>
      <c r="O31" s="437"/>
      <c r="P31" s="436"/>
      <c r="Q31" s="438"/>
      <c r="R31" s="436"/>
      <c r="S31" s="437"/>
      <c r="T31" s="436"/>
      <c r="U31" s="437"/>
      <c r="V31" s="436"/>
      <c r="W31" s="437"/>
      <c r="X31" s="436"/>
      <c r="Y31" s="437"/>
      <c r="Z31" s="436"/>
      <c r="AA31" s="437"/>
      <c r="AB31" s="436"/>
      <c r="AC31" s="437"/>
      <c r="AD31" s="436"/>
      <c r="AE31" s="437"/>
      <c r="AF31" s="465">
        <v>2</v>
      </c>
      <c r="AG31" s="407">
        <v>0</v>
      </c>
      <c r="AH31" s="445">
        <v>1</v>
      </c>
      <c r="AI31" s="399">
        <v>0</v>
      </c>
      <c r="AJ31" s="465">
        <v>0</v>
      </c>
      <c r="AK31" s="399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48">
        <f t="shared" si="28"/>
        <v>0</v>
      </c>
      <c r="DL31" s="1048">
        <f t="shared" si="29"/>
        <v>0</v>
      </c>
      <c r="DM31" s="1048">
        <f>IF($D$31&gt;=$AH$31,0,1)</f>
        <v>0</v>
      </c>
      <c r="DN31" s="1048">
        <f t="shared" si="30"/>
        <v>0</v>
      </c>
      <c r="DO31" s="1048">
        <f>IF($D31&gt;=$AJ31,0,1)</f>
        <v>0</v>
      </c>
      <c r="DP31" s="1048">
        <f t="shared" si="20"/>
        <v>0</v>
      </c>
    </row>
    <row r="32" spans="1:148" ht="15" customHeight="1" x14ac:dyDescent="0.15">
      <c r="A32" s="1949"/>
      <c r="B32" s="1334" t="s">
        <v>523</v>
      </c>
      <c r="C32" s="1144">
        <f t="shared" si="22"/>
        <v>2</v>
      </c>
      <c r="D32" s="391">
        <f>+F32+H32+J32+L32+N32+P32+R32+T32+V32+X32+Z32+AB32+AD32+AF32</f>
        <v>1</v>
      </c>
      <c r="E32" s="458">
        <f>+G32+I32+K32+M32+O32+Q32+S32+U32+W32+Y32+AA32+AC32+AE32+AG32</f>
        <v>1</v>
      </c>
      <c r="F32" s="403">
        <v>0</v>
      </c>
      <c r="G32" s="404">
        <v>0</v>
      </c>
      <c r="H32" s="403">
        <v>0</v>
      </c>
      <c r="I32" s="404">
        <v>0</v>
      </c>
      <c r="J32" s="403">
        <v>0</v>
      </c>
      <c r="K32" s="404">
        <v>0</v>
      </c>
      <c r="L32" s="403">
        <v>0</v>
      </c>
      <c r="M32" s="404">
        <v>1</v>
      </c>
      <c r="N32" s="403">
        <v>0</v>
      </c>
      <c r="O32" s="404">
        <v>0</v>
      </c>
      <c r="P32" s="403">
        <v>0</v>
      </c>
      <c r="Q32" s="404">
        <v>0</v>
      </c>
      <c r="R32" s="403">
        <v>0</v>
      </c>
      <c r="S32" s="404">
        <v>0</v>
      </c>
      <c r="T32" s="403">
        <v>0</v>
      </c>
      <c r="U32" s="404">
        <v>0</v>
      </c>
      <c r="V32" s="403">
        <v>0</v>
      </c>
      <c r="W32" s="404">
        <v>0</v>
      </c>
      <c r="X32" s="403">
        <v>0</v>
      </c>
      <c r="Y32" s="404">
        <v>0</v>
      </c>
      <c r="Z32" s="403">
        <v>0</v>
      </c>
      <c r="AA32" s="404">
        <v>0</v>
      </c>
      <c r="AB32" s="403">
        <v>1</v>
      </c>
      <c r="AC32" s="404">
        <v>0</v>
      </c>
      <c r="AD32" s="403">
        <v>0</v>
      </c>
      <c r="AE32" s="404">
        <v>0</v>
      </c>
      <c r="AF32" s="464">
        <v>0</v>
      </c>
      <c r="AG32" s="470">
        <v>0</v>
      </c>
      <c r="AH32" s="416">
        <v>0</v>
      </c>
      <c r="AI32" s="404">
        <v>0</v>
      </c>
      <c r="AJ32" s="464">
        <v>0</v>
      </c>
      <c r="AK32" s="404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48">
        <f t="shared" si="28"/>
        <v>0</v>
      </c>
      <c r="DL32" s="1048">
        <f t="shared" si="29"/>
        <v>0</v>
      </c>
      <c r="DM32" s="1048">
        <f>IF($D$32&gt;=$AH$32,0,1)</f>
        <v>0</v>
      </c>
      <c r="DN32" s="1048">
        <f t="shared" si="30"/>
        <v>0</v>
      </c>
      <c r="DO32" s="1048">
        <f t="shared" si="19"/>
        <v>0</v>
      </c>
      <c r="DP32" s="1048">
        <f t="shared" si="20"/>
        <v>0</v>
      </c>
      <c r="DQ32" s="1048">
        <f t="shared" ref="DQ32:EP32" si="32">IF(F$32&lt;=F$30,0,1)</f>
        <v>0</v>
      </c>
      <c r="DR32" s="1048">
        <f t="shared" si="32"/>
        <v>0</v>
      </c>
      <c r="DS32" s="1048">
        <f t="shared" si="32"/>
        <v>0</v>
      </c>
      <c r="DT32" s="1048">
        <f t="shared" si="32"/>
        <v>0</v>
      </c>
      <c r="DU32" s="1048">
        <f t="shared" si="32"/>
        <v>0</v>
      </c>
      <c r="DV32" s="1048">
        <f t="shared" si="32"/>
        <v>0</v>
      </c>
      <c r="DW32" s="1048">
        <f t="shared" si="32"/>
        <v>0</v>
      </c>
      <c r="DX32" s="1048">
        <f t="shared" si="32"/>
        <v>0</v>
      </c>
      <c r="DY32" s="1048">
        <f t="shared" si="32"/>
        <v>0</v>
      </c>
      <c r="DZ32" s="1048">
        <f t="shared" si="32"/>
        <v>0</v>
      </c>
      <c r="EA32" s="1048">
        <f t="shared" si="32"/>
        <v>0</v>
      </c>
      <c r="EB32" s="1048">
        <f t="shared" si="32"/>
        <v>0</v>
      </c>
      <c r="EC32" s="1048">
        <f t="shared" si="32"/>
        <v>0</v>
      </c>
      <c r="ED32" s="1048">
        <f t="shared" si="32"/>
        <v>0</v>
      </c>
      <c r="EE32" s="1048">
        <f t="shared" si="32"/>
        <v>0</v>
      </c>
      <c r="EF32" s="1048">
        <f t="shared" si="32"/>
        <v>0</v>
      </c>
      <c r="EG32" s="1048">
        <f t="shared" si="32"/>
        <v>0</v>
      </c>
      <c r="EH32" s="1048">
        <f t="shared" si="32"/>
        <v>0</v>
      </c>
      <c r="EI32" s="1048">
        <f t="shared" si="32"/>
        <v>0</v>
      </c>
      <c r="EJ32" s="1048">
        <f t="shared" si="32"/>
        <v>0</v>
      </c>
      <c r="EK32" s="1048">
        <f t="shared" si="32"/>
        <v>0</v>
      </c>
      <c r="EL32" s="1048">
        <f t="shared" si="32"/>
        <v>0</v>
      </c>
      <c r="EM32" s="1048">
        <f t="shared" si="32"/>
        <v>0</v>
      </c>
      <c r="EN32" s="1048">
        <f t="shared" si="32"/>
        <v>0</v>
      </c>
      <c r="EO32" s="1048">
        <f t="shared" si="32"/>
        <v>0</v>
      </c>
      <c r="EP32" s="1048">
        <f t="shared" si="32"/>
        <v>0</v>
      </c>
    </row>
    <row r="33" spans="1:148" ht="15" customHeight="1" x14ac:dyDescent="0.15">
      <c r="A33" s="1488" t="s">
        <v>524</v>
      </c>
      <c r="B33" s="1255" t="s">
        <v>525</v>
      </c>
      <c r="C33" s="1145">
        <f t="shared" si="22"/>
        <v>7</v>
      </c>
      <c r="D33" s="540">
        <f t="shared" ref="D33:E34" si="33">+F33+H33+J33+L33+N33+P33+R33+T33+V33+X33+Z33+AB33+AD33+AF33</f>
        <v>5</v>
      </c>
      <c r="E33" s="880">
        <f t="shared" si="33"/>
        <v>2</v>
      </c>
      <c r="F33" s="413">
        <v>0</v>
      </c>
      <c r="G33" s="414">
        <v>0</v>
      </c>
      <c r="H33" s="413">
        <v>0</v>
      </c>
      <c r="I33" s="414">
        <v>0</v>
      </c>
      <c r="J33" s="413">
        <v>0</v>
      </c>
      <c r="K33" s="414">
        <v>0</v>
      </c>
      <c r="L33" s="413">
        <v>0</v>
      </c>
      <c r="M33" s="414">
        <v>1</v>
      </c>
      <c r="N33" s="413">
        <v>0</v>
      </c>
      <c r="O33" s="414">
        <v>0</v>
      </c>
      <c r="P33" s="413">
        <v>0</v>
      </c>
      <c r="Q33" s="414">
        <v>0</v>
      </c>
      <c r="R33" s="413">
        <v>0</v>
      </c>
      <c r="S33" s="414">
        <v>1</v>
      </c>
      <c r="T33" s="413">
        <v>0</v>
      </c>
      <c r="U33" s="414">
        <v>0</v>
      </c>
      <c r="V33" s="413">
        <v>0</v>
      </c>
      <c r="W33" s="414">
        <v>0</v>
      </c>
      <c r="X33" s="413">
        <v>2</v>
      </c>
      <c r="Y33" s="414">
        <v>0</v>
      </c>
      <c r="Z33" s="413">
        <v>0</v>
      </c>
      <c r="AA33" s="414">
        <v>0</v>
      </c>
      <c r="AB33" s="413">
        <v>1</v>
      </c>
      <c r="AC33" s="414">
        <v>0</v>
      </c>
      <c r="AD33" s="413">
        <v>0</v>
      </c>
      <c r="AE33" s="414">
        <v>0</v>
      </c>
      <c r="AF33" s="463">
        <v>2</v>
      </c>
      <c r="AG33" s="415">
        <v>0</v>
      </c>
      <c r="AH33" s="467">
        <v>3</v>
      </c>
      <c r="AI33" s="414">
        <v>1</v>
      </c>
      <c r="AJ33" s="463">
        <v>0</v>
      </c>
      <c r="AK33" s="414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48">
        <f t="shared" si="28"/>
        <v>0</v>
      </c>
      <c r="DL33" s="1048">
        <f t="shared" si="29"/>
        <v>0</v>
      </c>
      <c r="DM33" s="1048">
        <f>IF($D$33&gt;=$AH$33,0,1)</f>
        <v>0</v>
      </c>
      <c r="DN33" s="1048">
        <f t="shared" si="30"/>
        <v>0</v>
      </c>
      <c r="DO33" s="1048">
        <f t="shared" si="19"/>
        <v>0</v>
      </c>
      <c r="DP33" s="1048">
        <f t="shared" si="20"/>
        <v>0</v>
      </c>
      <c r="DQ33" s="1048">
        <f t="shared" ref="DQ33:ER33" si="34">IF(F$33&lt;=+F$15,0,1)</f>
        <v>0</v>
      </c>
      <c r="DR33" s="1048">
        <f t="shared" si="34"/>
        <v>0</v>
      </c>
      <c r="DS33" s="1048">
        <f t="shared" si="34"/>
        <v>0</v>
      </c>
      <c r="DT33" s="1048">
        <f t="shared" si="34"/>
        <v>0</v>
      </c>
      <c r="DU33" s="1048">
        <f t="shared" si="34"/>
        <v>0</v>
      </c>
      <c r="DV33" s="1048">
        <f t="shared" si="34"/>
        <v>0</v>
      </c>
      <c r="DW33" s="1048">
        <f t="shared" si="34"/>
        <v>0</v>
      </c>
      <c r="DX33" s="1048">
        <f t="shared" si="34"/>
        <v>0</v>
      </c>
      <c r="DY33" s="1048">
        <f t="shared" si="34"/>
        <v>0</v>
      </c>
      <c r="DZ33" s="1048">
        <f t="shared" si="34"/>
        <v>0</v>
      </c>
      <c r="EA33" s="1048">
        <f t="shared" si="34"/>
        <v>0</v>
      </c>
      <c r="EB33" s="1048">
        <f t="shared" si="34"/>
        <v>0</v>
      </c>
      <c r="EC33" s="1048">
        <f t="shared" si="34"/>
        <v>0</v>
      </c>
      <c r="ED33" s="1048">
        <f t="shared" si="34"/>
        <v>0</v>
      </c>
      <c r="EE33" s="1048">
        <f t="shared" si="34"/>
        <v>0</v>
      </c>
      <c r="EF33" s="1048">
        <f t="shared" si="34"/>
        <v>0</v>
      </c>
      <c r="EG33" s="1048">
        <f t="shared" si="34"/>
        <v>0</v>
      </c>
      <c r="EH33" s="1048">
        <f t="shared" si="34"/>
        <v>0</v>
      </c>
      <c r="EI33" s="1048">
        <f t="shared" si="34"/>
        <v>0</v>
      </c>
      <c r="EJ33" s="1048">
        <f t="shared" si="34"/>
        <v>0</v>
      </c>
      <c r="EK33" s="1048">
        <f t="shared" si="34"/>
        <v>0</v>
      </c>
      <c r="EL33" s="1048">
        <f t="shared" si="34"/>
        <v>0</v>
      </c>
      <c r="EM33" s="1048">
        <f t="shared" si="34"/>
        <v>0</v>
      </c>
      <c r="EN33" s="1048">
        <f t="shared" si="34"/>
        <v>0</v>
      </c>
      <c r="EO33" s="1048">
        <f t="shared" si="34"/>
        <v>0</v>
      </c>
      <c r="EP33" s="1048">
        <f t="shared" si="34"/>
        <v>0</v>
      </c>
      <c r="EQ33" s="1048">
        <f t="shared" si="34"/>
        <v>0</v>
      </c>
      <c r="ER33" s="1048">
        <f t="shared" si="34"/>
        <v>0</v>
      </c>
    </row>
    <row r="34" spans="1:148" ht="15" customHeight="1" x14ac:dyDescent="0.15">
      <c r="A34" s="1979" t="s">
        <v>526</v>
      </c>
      <c r="B34" s="708" t="s">
        <v>527</v>
      </c>
      <c r="C34" s="1143">
        <f t="shared" si="22"/>
        <v>0</v>
      </c>
      <c r="D34" s="387">
        <f t="shared" si="33"/>
        <v>0</v>
      </c>
      <c r="E34" s="454">
        <f t="shared" si="33"/>
        <v>0</v>
      </c>
      <c r="F34" s="417">
        <v>0</v>
      </c>
      <c r="G34" s="418">
        <v>0</v>
      </c>
      <c r="H34" s="417">
        <v>0</v>
      </c>
      <c r="I34" s="418">
        <v>0</v>
      </c>
      <c r="J34" s="417">
        <v>0</v>
      </c>
      <c r="K34" s="418">
        <v>0</v>
      </c>
      <c r="L34" s="417">
        <v>0</v>
      </c>
      <c r="M34" s="418">
        <v>0</v>
      </c>
      <c r="N34" s="417">
        <v>0</v>
      </c>
      <c r="O34" s="418">
        <v>0</v>
      </c>
      <c r="P34" s="417">
        <v>0</v>
      </c>
      <c r="Q34" s="418">
        <v>0</v>
      </c>
      <c r="R34" s="417">
        <v>0</v>
      </c>
      <c r="S34" s="418">
        <v>0</v>
      </c>
      <c r="T34" s="417">
        <v>0</v>
      </c>
      <c r="U34" s="418">
        <v>0</v>
      </c>
      <c r="V34" s="417">
        <v>0</v>
      </c>
      <c r="W34" s="418">
        <v>0</v>
      </c>
      <c r="X34" s="417">
        <v>0</v>
      </c>
      <c r="Y34" s="418">
        <v>0</v>
      </c>
      <c r="Z34" s="417">
        <v>0</v>
      </c>
      <c r="AA34" s="418">
        <v>0</v>
      </c>
      <c r="AB34" s="417">
        <v>0</v>
      </c>
      <c r="AC34" s="418">
        <v>0</v>
      </c>
      <c r="AD34" s="417">
        <v>0</v>
      </c>
      <c r="AE34" s="418">
        <v>0</v>
      </c>
      <c r="AF34" s="468">
        <v>0</v>
      </c>
      <c r="AG34" s="469">
        <v>0</v>
      </c>
      <c r="AH34" s="412">
        <v>0</v>
      </c>
      <c r="AI34" s="395">
        <v>0</v>
      </c>
      <c r="AJ34" s="462">
        <v>0</v>
      </c>
      <c r="AK34" s="395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IF($F$34&lt;=$F$20+F21+$F$22,"","* Pacientes 15 a 19 años (Hombres) con antecedentes de ECV en Tratamiento con Antiagregante plaquetario no debe ser mayor a la suma de Personas con Antecedentes de IAM, ACV y ECV de Sección A. ")</f>
        <v/>
      </c>
      <c r="CF34" s="191" t="str">
        <f>IF($G$34&lt;=$G$20+$G$21+$G$22,"","* Pacientes 15 a 19 años (Mujeres) con antecedentes ECV en Tratamiento con Antiagregante plaquetario no debe ser mayor a la suma de Personas con Antecedentes de IAM, ACV y ECV de Sección A. ")</f>
        <v/>
      </c>
      <c r="CG34" s="191" t="str">
        <f>IF($H$34&lt;=$H$20+$H$21+$H$22,"","* Pacientes 20 a 24 años (Hombres) con antecedentes ECV en Tratamiento con Antiagregante plaquetario no debe ser mayor a la suma de Personas con Antecedentes de IAM, ACV y ECV de Sección A. ")</f>
        <v/>
      </c>
      <c r="CH34" s="191" t="str">
        <f>IF($I$34&lt;=$I$20+$I$21+$I$22,"","* Pacientes 20 a 24 años (Mujeres) con antecedentes ECV en Tratamiento con Antiagregante plaquetario no debe ser mayor a la suma de Personas con Antecedentes de IAM, ACV y ECV de Sección A. ")</f>
        <v/>
      </c>
      <c r="CI34" s="191" t="str">
        <f>IF($J$34&lt;=$J$20+J21+$J$22,"","* Pacientes 25 a 29 años (Hombres) con antecedentes ECV en Tratamiento con Antiagregante plaquetario no debe ser mayor a la suma de Personas con Antecedentes de IAM, ACV y ECV de Sección A. ")</f>
        <v/>
      </c>
      <c r="CJ34" s="191" t="str">
        <f>IF($K$34&lt;=$K$20+K21+$K$22,"","* Pacientes 25 a 29 años (Mujeres) con antecedentes ECV en Tratamiento con Antiagregante plaquetario no debe ser mayor a la suma de Personas con Antecedentes de IAM, ACV y ECV de Sección A. ")</f>
        <v/>
      </c>
      <c r="CK34" s="191" t="str">
        <f>IF($L$34&lt;=$L$20+L21+$L$22,"","* Pacientes 30 a 34 años (Hombres) con antecedentes ECV en Tratamiento con Antiagregante plaquetario no debe ser mayor a la suma de Personas con Antecedentes de IAM, ACV y ECV de Sección A. ")</f>
        <v/>
      </c>
      <c r="CL34" s="191" t="str">
        <f>IF($M$34&lt;=$M$20+$M$21+$M$22,"","* Pacientes 30 a 34 años (Mujeres) con antecedentes ECV en Tratamiento con Antiagregante plaquetario no debe ser mayor a la suma de Personas con Antecedentes de IAM, ACV y ECV de Sección A. ")</f>
        <v/>
      </c>
      <c r="CM34" s="191" t="str">
        <f>IF($N$34&lt;=$N$20+$N$21+$N$22,"","* Pacientes 35 a 39 años (Hombres) con antecedentes ECV en Tratamiento con Antiagregante plaquetario no debe ser mayor a la suma de Personas con Antecedentes de IAM, ACV y ECV de Sección A. ")</f>
        <v/>
      </c>
      <c r="CN34" s="191" t="str">
        <f>IF($O$34&lt;=$O$20+$O$21+$O$22,"","* Pacientes 35 a 39 años (Mujeres) con antecedentes ECV en Tratamiento con Antiagregante plaquetario no debe ser mayor a la suma de Personas con Antecedentes de IAM, ACV y ECV de Sección A. ")</f>
        <v/>
      </c>
      <c r="CO34" s="191" t="str">
        <f>IF($P$34&lt;=$P$20+$P$21+$P$22,"","* Pacientes 40 a 44 años (Hombres) con antecedentes ECV en Tratamiento conAntiagregante plaquetario no debe ser mayor a la suma de Personas con Antecedentes de IAM, ACV y ECV de Sección A. ")</f>
        <v/>
      </c>
      <c r="CP34" s="191" t="str">
        <f>IF($Q$34&lt;=$Q$20+$Q$21+$Q$22,"","* Pacientes 40 a 44 años (Mujeres) con antecedentes ECV en Tratamiento con Antiagregante plaquetario no debe ser mayor a la suma de Personas con Antecedentes de IAM, ACV y ECV de Sección A. ")</f>
        <v/>
      </c>
      <c r="CQ34" s="191" t="str">
        <f>IF($R$34&lt;=$R$20+$R$21+$R$22,"","* Pacientes 45 a 49 años (Hombres) con antecedentes ECV en Tratamiento conAntiagregante plaquetario no debe ser mayor a la suma de Personas con Antecedentes de IAM, ACV y ECV de Sección A. ")</f>
        <v/>
      </c>
      <c r="CR34" s="191" t="str">
        <f>IF($S$34&lt;=$S$20+$S$21+$S$22,"","* Pacientes 45 a 49 años (Mujeres) con antecedentes ECV en Tratamiento con Antiagregante plaquetario no debe ser mayor a la suma de Personas con Antecedentes de IAM, ACV y ECV de Sección A. ")</f>
        <v/>
      </c>
      <c r="CS34" s="191" t="str">
        <f>IF($T$34&lt;=$T$20+$T$21+$T$22,"","* Pacientes 50 a 54 años (Hombres) con antecedentes ECV en Tratamiento con Antiagregante plaquetario no debe ser mayor a la suma de Personas con Antecedentes de IAM, ACV y ECV de Sección A. ")</f>
        <v/>
      </c>
      <c r="CT34" s="191" t="str">
        <f>IF($U$34&lt;=$U$20+$U$21+$U$22,"","* Pacientes 50 a 54 años (Mujeres) con antecedentes ECV en Tratamiento con Antiagregante plaquetario no debe ser mayor a la suma de Personas con Antecedentes de IAM, ACV y ECV de Sección A. ")</f>
        <v/>
      </c>
      <c r="CU34" s="191" t="str">
        <f>IF($V$34&lt;=$V$20+$V$21+$V$22,"","* Pacientes 55 a 59 años (Hombres) con antecedentes ECV en Tratamiento con Antiagregante plaquetario no debe ser mayor a la suma de Personas con Antecedentes de IAM, ACV y ECV de Sección A. ")</f>
        <v/>
      </c>
      <c r="CV34" s="191" t="str">
        <f>IF($W$34&lt;=$W$20+$W$21+$W$22,"","* Pacientes 55 a 59 años (Mujeres) con antecedentes ECV en Tratamiento con Antiagregante plaquetario no debe ser mayor a la suma de Personas con Antecedentes de IAM, ACV y ECV de Sección A. ")</f>
        <v/>
      </c>
      <c r="CW34" s="191" t="str">
        <f>IF($X$34&lt;=$X$20+$X$21+$X$22,"","* Pacientes 60 a 64 años (Hombres) con antecedentes ECV en Tratamiento con Antiagregante plaquetario no debe ser mayor a la suma de Personas con Antecedentes de IAM, ACV y ECV de Sección A. ")</f>
        <v/>
      </c>
      <c r="CX34" s="191" t="str">
        <f>IF($Y$34&lt;=$Y$20+$Y$21+$Y$22,"","* Pacientes 60 a 64 años (Mujeres) con antecedentes ECV en Tratamiento con Antiagregante plaquetario no debe ser mayor a la suma de Personas con Antecedentes de IAM, ACV y ECV de Sección A. ")</f>
        <v/>
      </c>
      <c r="CY34" s="191" t="str">
        <f>IF($Z$34&lt;=$Z$20+$Z$21+$Z$22,"","* Pacientes 65 a 69 años (Hombres) con antecedentes ECV en Tratamiento con Antiagregante plaquetario no debe ser mayor a la suma de Personas con Antecedentes de IAM, ACV y ECV de Sección A. ")</f>
        <v/>
      </c>
      <c r="CZ34" s="191" t="str">
        <f>IF($AA$34&lt;=$AA$20+$AA$21+$AA$22,"","* Pacientes 65 a 69 años (Mujeres) con antecedentes ECV en Tratamiento con Antiagregante plaquetario no debe ser mayor a la suma de Personas con Antecedentes de IAM, ACV y ECV de Sección A. ")</f>
        <v/>
      </c>
      <c r="DA34" s="191" t="str">
        <f>IF($AB$34&lt;=$AB$20+$AB$21+$AB$22,"","* Pacientes 70 a 74 años (Hombres) con antecedentes ECV en Tratamiento con Antiagregante plaquetario no debe ser mayor a la suma de Personas con Antecedentes de IAM, ACV y ECV de Sección A. ")</f>
        <v/>
      </c>
      <c r="DB34" s="191" t="str">
        <f>IF($AC$34&lt;=$AC$20+$AC$21+$AC$22,"","* Pacientes 70 a 74 años (Mujeres) con antecedentes ECV en Tratamiento con Antiagregante plaquetario no debe ser mayor a la suma de Personas con Antecedentes de IAM, ACV y ECV de Sección A. ")</f>
        <v/>
      </c>
      <c r="DC34" s="191" t="str">
        <f>IF($AD$34&lt;=$AD$20+$AD$21+$AD$22,"","* Pacientes 75 a 79 años (Hombres) con antecedentes ECV en Tratamiento con Antiagregante plaquetario no debe ser mayor a la suma de Personas con Antecedentes de IAM, ACV y ECV de Sección A. ")</f>
        <v/>
      </c>
      <c r="DD34" s="191" t="str">
        <f>IF($AE$34&lt;=$AE$20+$AE$21+$AE$22,"","* Pacientes 75 a 79 años (Mujeres) con antecedentes ECV en Tratamiento con Antiagregante plaquetario no debe ser mayor a la suma de Personas con Antecedentes de IAM, ACV y ECV de Sección A. ")</f>
        <v/>
      </c>
      <c r="DE34" s="191" t="str">
        <f>IF($AF$34&lt;=$AF$20+$AF$21+$AF$22,"","* Pacientes 80 y más años (Hombres) con antecedentes ECV en Tratamiento con Antiagregante plaquetario no debe ser mayor a la suma de Personas con Antecedentes de IAM, ACV y ECV de Sección A. ")</f>
        <v/>
      </c>
      <c r="DF34" s="191" t="str">
        <f>IF($AG$34&lt;=$AG$20+$AG$21+$AG$22,"","* Pacientes 80 y más años (Mujeres) con antecedentes ECV en Tratamiento con Antiagregante plaquetario no debe ser mayor a la suma de Personas con Antecedentes de IAM, ACV y ECV de Sección A. ")</f>
        <v/>
      </c>
      <c r="DK34" s="1048">
        <f t="shared" si="28"/>
        <v>0</v>
      </c>
      <c r="DL34" s="1048">
        <f t="shared" si="29"/>
        <v>0</v>
      </c>
      <c r="DM34" s="1048">
        <f>IF($D$34&gt;=$AH$34,0,1)</f>
        <v>0</v>
      </c>
      <c r="DN34" s="1048">
        <f t="shared" si="30"/>
        <v>0</v>
      </c>
      <c r="DO34" s="1048">
        <f t="shared" si="19"/>
        <v>0</v>
      </c>
      <c r="DP34" s="1048">
        <f t="shared" si="20"/>
        <v>0</v>
      </c>
      <c r="DQ34" s="1048">
        <f>IF(F34&lt;=F$21+F22+F$23,0,1)</f>
        <v>0</v>
      </c>
      <c r="DR34" s="1048">
        <f t="shared" ref="DR34:ER34" si="35">IF(G34&lt;=G$21+G22+G$23,0,1)</f>
        <v>0</v>
      </c>
      <c r="DS34" s="1048">
        <f t="shared" si="35"/>
        <v>0</v>
      </c>
      <c r="DT34" s="1048">
        <f t="shared" si="35"/>
        <v>0</v>
      </c>
      <c r="DU34" s="1048">
        <f t="shared" si="35"/>
        <v>0</v>
      </c>
      <c r="DV34" s="1048">
        <f t="shared" si="35"/>
        <v>0</v>
      </c>
      <c r="DW34" s="1048">
        <f t="shared" si="35"/>
        <v>0</v>
      </c>
      <c r="DX34" s="1048">
        <f t="shared" si="35"/>
        <v>0</v>
      </c>
      <c r="DY34" s="1048">
        <f t="shared" si="35"/>
        <v>0</v>
      </c>
      <c r="DZ34" s="1048">
        <f t="shared" si="35"/>
        <v>0</v>
      </c>
      <c r="EA34" s="1048">
        <f t="shared" si="35"/>
        <v>0</v>
      </c>
      <c r="EB34" s="1048">
        <f t="shared" si="35"/>
        <v>0</v>
      </c>
      <c r="EC34" s="1048">
        <f t="shared" si="35"/>
        <v>0</v>
      </c>
      <c r="ED34" s="1048">
        <f t="shared" si="35"/>
        <v>0</v>
      </c>
      <c r="EE34" s="1048">
        <f t="shared" si="35"/>
        <v>0</v>
      </c>
      <c r="EF34" s="1048">
        <f t="shared" si="35"/>
        <v>0</v>
      </c>
      <c r="EG34" s="1048">
        <f t="shared" si="35"/>
        <v>0</v>
      </c>
      <c r="EH34" s="1048">
        <f t="shared" si="35"/>
        <v>0</v>
      </c>
      <c r="EI34" s="1048">
        <f t="shared" si="35"/>
        <v>0</v>
      </c>
      <c r="EJ34" s="1048">
        <f t="shared" si="35"/>
        <v>0</v>
      </c>
      <c r="EK34" s="1048">
        <f t="shared" si="35"/>
        <v>0</v>
      </c>
      <c r="EL34" s="1048">
        <f t="shared" si="35"/>
        <v>0</v>
      </c>
      <c r="EM34" s="1048">
        <f t="shared" si="35"/>
        <v>0</v>
      </c>
      <c r="EN34" s="1048">
        <f t="shared" si="35"/>
        <v>0</v>
      </c>
      <c r="EO34" s="1048">
        <f t="shared" si="35"/>
        <v>0</v>
      </c>
      <c r="EP34" s="1048">
        <f t="shared" si="35"/>
        <v>0</v>
      </c>
      <c r="EQ34" s="1048">
        <f t="shared" si="35"/>
        <v>0</v>
      </c>
      <c r="ER34" s="1048">
        <f t="shared" si="35"/>
        <v>0</v>
      </c>
    </row>
    <row r="35" spans="1:148" ht="15" customHeight="1" x14ac:dyDescent="0.15">
      <c r="A35" s="1980"/>
      <c r="B35" s="708" t="s">
        <v>528</v>
      </c>
      <c r="C35" s="1302">
        <f>SUM(D35:E35)</f>
        <v>0</v>
      </c>
      <c r="D35" s="389">
        <f t="shared" ref="D35" si="36">+F35+H35+J35+L35+N35+P35+R35+T35+V35+X35+Z35+AB35+AD35+AF35</f>
        <v>0</v>
      </c>
      <c r="E35" s="870">
        <f t="shared" ref="E35" si="37">+G35+I35+K35+M35+O35+Q35+S35+U35+W35+Y35+AA35+AC35+AE35+AG35</f>
        <v>0</v>
      </c>
      <c r="F35" s="450">
        <v>0</v>
      </c>
      <c r="G35" s="451">
        <v>0</v>
      </c>
      <c r="H35" s="450">
        <v>0</v>
      </c>
      <c r="I35" s="451">
        <v>0</v>
      </c>
      <c r="J35" s="450">
        <v>0</v>
      </c>
      <c r="K35" s="451">
        <v>0</v>
      </c>
      <c r="L35" s="450">
        <v>0</v>
      </c>
      <c r="M35" s="451">
        <v>0</v>
      </c>
      <c r="N35" s="450">
        <v>0</v>
      </c>
      <c r="O35" s="451">
        <v>0</v>
      </c>
      <c r="P35" s="450">
        <v>0</v>
      </c>
      <c r="Q35" s="451">
        <v>0</v>
      </c>
      <c r="R35" s="450">
        <v>0</v>
      </c>
      <c r="S35" s="451">
        <v>0</v>
      </c>
      <c r="T35" s="450">
        <v>0</v>
      </c>
      <c r="U35" s="451">
        <v>0</v>
      </c>
      <c r="V35" s="450">
        <v>0</v>
      </c>
      <c r="W35" s="451">
        <v>0</v>
      </c>
      <c r="X35" s="450">
        <v>0</v>
      </c>
      <c r="Y35" s="451">
        <v>0</v>
      </c>
      <c r="Z35" s="450">
        <v>0</v>
      </c>
      <c r="AA35" s="451">
        <v>0</v>
      </c>
      <c r="AB35" s="450">
        <v>0</v>
      </c>
      <c r="AC35" s="451">
        <v>0</v>
      </c>
      <c r="AD35" s="450">
        <v>0</v>
      </c>
      <c r="AE35" s="451">
        <v>0</v>
      </c>
      <c r="AF35" s="667">
        <v>0</v>
      </c>
      <c r="AG35" s="582">
        <v>0</v>
      </c>
      <c r="AH35" s="881">
        <v>0</v>
      </c>
      <c r="AI35" s="451">
        <v>0</v>
      </c>
      <c r="AJ35" s="667">
        <v>0</v>
      </c>
      <c r="AK35" s="451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IF($F35&lt;=$F$20+$F$21+$F$22,"","* Pacientes 15 a 19 años (Hombres) con con antecedentes ECV con Estatina no debe ser mayor a la suma de Personas con Antecedentes de IAM , ACV y ECV de Sección A. ")</f>
        <v/>
      </c>
      <c r="CF35" s="191" t="str">
        <f>IF($G35&lt;=$G$20+$G$21+$G$22,"","* Pacientes 15 a 19 años (Mujeres) con  antecedentes ECV en Tratamiento con Estatina no debe ser mayor a la suma de Personas con Antecedentes de IAM , ACV , ECV de Sección A. ")</f>
        <v/>
      </c>
      <c r="CG35" s="191" t="str">
        <f>IF($H35&lt;=$H$20+$H$21+$H$21,"","* Pacientes 20 a 24 años (Hombres) con  antecedentes ECV con Estatina no debe ser mayor a la suma de Personas con Antecedentes de IAM , ACV, ECV de Sección A. ")</f>
        <v/>
      </c>
      <c r="CH35" s="191" t="str">
        <f>IF($I35&lt;=$I$20+$I$21+ $I$22,"","* Pacientes 20 a 24 años (Mujeres) con antecedentes ECV en Tratamiento con Estatina no debe ser mayor a la suma de Personas con Antecedentes de IAM ,ACV,  ECV de Sección A. ")</f>
        <v/>
      </c>
      <c r="CI35" s="191" t="str">
        <f>IF($J35&lt;=$J$20+$J$21+ $J$22,"","* Pacientes 25 a 29 años (Hombres) con  antecedentes ECV en Tratamiento con Estatina no debe ser mayor a la suma de Personas con Antecedentes de IAM, ACV,ECV de Sección A. ")</f>
        <v/>
      </c>
      <c r="CJ35" s="191" t="str">
        <f>IF($K35&lt;=$K$20+$K$21+$K$22,"","* Pacientes 25 a 29 años (Mujeres) con antecedentes ECV en Tratamiento con Estatina no debe ser mayor a la suma de Personas con Antecedentes de IAM , ACV,ECV de Sección A. ")</f>
        <v/>
      </c>
      <c r="CK35" s="191" t="str">
        <f>IF($L35&lt;=$L$20+$L$21+$L$22,"","* Pacientes 30 a 34 años (Hombres) con antecedentes ECV en Tratamiento con Estatina no debe ser mayor a la suma de Personas con Antecedentes de IAM, ACV, ECV de Sección A. ")</f>
        <v/>
      </c>
      <c r="CL35" s="191" t="str">
        <f>IF($M35&lt;=$M$20+$M$21+ $M$22,"","* Pacientes 30 a 34 años (Mujeres) con antecedentes ECV en Tratamiento con Estatina no debe ser mayor a la suma de Personas con Antecedentes de IAM, ACV, ECV de Sección A. ")</f>
        <v/>
      </c>
      <c r="CM35" s="191" t="str">
        <f>IF($N35&lt;=$N$20+$N$21+$N$22,"","* Pacientes 35 a 39 años (Hombres) con antecedentes ECV en Tratamiento con Estatina no debe ser mayor a la suma de Personas con Antecedentes de IAM, ACV, ECV de Sección A. ")</f>
        <v/>
      </c>
      <c r="CN35" s="191" t="str">
        <f>IF($O35&lt;=$O$20+$O$21+$O$22,"","* Pacientes 35 a 39 años (Mujeres) con  antecedentes ECV en Tratamiento con Estatina no debe ser mayor a la suma de Personas con Antecedentes de IAM, ACV, ECV de Sección A. ")</f>
        <v/>
      </c>
      <c r="CO35" s="191" t="str">
        <f>IF($P35&lt;=$P$20+$P$21+ $P$22,"","* Pacientes 40 a 44 años (Hombres) con antecedentes ECV en Tratamiento con Estatina no debe ser mayor a la suma de Personas con Antecedentes de IAM, ACV, ECV de Sección A. ")</f>
        <v/>
      </c>
      <c r="CP35" s="191" t="str">
        <f>IF($Q35&lt;=$Q$20+$Q$21+$Q$22,"","* Pacientes 40 a 44 años (Mujeres) con antecedentes ECV en Tratamiento con Estatina no debe ser mayor a la suma de Personas con Antecedentes de IAM, ACV, ECV de Sección A. ")</f>
        <v/>
      </c>
      <c r="CQ35" s="191" t="str">
        <f>IF($R35&lt;=$R$20+$R$21+$R$22,"","* Pacientes 45 a 49 años (Hombres) con  antecedentes ECV en Tratamiento con Estatina no debe ser mayor a la suma de Personas con Antecedentes de IAM, ACV,ECV de Sección A. ")</f>
        <v/>
      </c>
      <c r="CR35" s="191" t="str">
        <f>IF($S35&lt;=$S$20+$S$21+$S$22,"","* Pacientes 45 a 49 años (Mujeres) con  antecedentes ECV en Tratamiento con Estatina no debe ser mayor a la suma de Personas con Antecedentes de IAM, ACV, ECV de Sección A. ")</f>
        <v/>
      </c>
      <c r="CS35" s="191" t="str">
        <f>IF($T35&lt;=$T$20+$T$21+$T$22,"","* Pacientes 50 a 54 años (Hombres) con  antecedentes ECV en Tratamiento con Estatina no debe ser mayor a la suma de Personas con Antecedentes de IAM, ACV, ECV de Sección A. ")</f>
        <v/>
      </c>
      <c r="CT35" s="191" t="str">
        <f>IF($U35&lt;=$U$20+$U$21+$U$22,"","* Pacientes 50 a 54 años (Mujeres) con antecedentes ECV en Tratamiento con Estatina no debe ser mayor a la suma de Personas con Antecedentes de IAM, ACV, ECV de Sección A. ")</f>
        <v/>
      </c>
      <c r="CU35" s="191" t="str">
        <f>IF($V35&lt;=$V$20+$V$21+$V$22,"","* Pacientes 55 a 59 años (Hombres) con  antecedentes ECV en Tratamiento con Estatina no debe ser mayor a la suma de Personas con Antecedentes de IAM,ACV, ECV de Sección A. ")</f>
        <v/>
      </c>
      <c r="CV35" s="191" t="str">
        <f>IF($W35&lt;=$W$20+$W$21+$W$22,"","* Pacientes 55 a 59 años (Mujeres) con antecedentes ECV en Tratamiento con Estatina no debe ser mayor a la suma de Personas con Antecedentes de IAM, ACV, ECV de Sección A. ")</f>
        <v/>
      </c>
      <c r="CW35" s="191" t="str">
        <f>IF($X35&lt;=$X$20+$X$21+$X$22,"","* Pacientes 60 a 64 años (Hombres) con antecedentes ECV en Tratamiento con Estatina no debe ser mayor a la suma de Personas con Antecedentes de IAM, ACV,  ECV de Sección A. ")</f>
        <v/>
      </c>
      <c r="CX35" s="191" t="str">
        <f>IF($Y35&lt;=$Y$20+$Y$21+$Y$22,"","* Pacientes 60 a 64 años (Mujeres) con  antecedentes ECV en Tratamiento con Estatina no debe ser mayor a la suma de Personas con Antecedentes de IAM, ACV, ECV de Sección A. ")</f>
        <v/>
      </c>
      <c r="CY35" s="191" t="str">
        <f>IF($Z35&lt;=$Z$20+$Z$21+$Z$22,"","* Pacientes 65 a 69 años (Hombres) con antecedentes ECV en Tratamiento con Estatina no debe ser mayor a la suma de Personas con Antecedentes de IAM, ACV,ECV de Sección A. ")</f>
        <v/>
      </c>
      <c r="CZ35" s="191" t="str">
        <f>IF($AA35&lt;=$AA$20+$AA$21+$AA$22,"","* Pacientes 65 a 69 años (Mujeres) con antecedentes ECV en Tratamiento con Estatina no debe ser mayor a la suma de Personas con Antecedentes de IAM, ACV, ECV de Sección A. ")</f>
        <v/>
      </c>
      <c r="DA35" s="191" t="str">
        <f>IF($AB35&lt;=$AB$20+$AB$21+$AB$22,"","* Pacientes 70 a 74 años (Hombres) con antecedentes ECV en Tratamiento con Estatina no debe ser mayor a la suma de Personas con Antecedentes de IAM, ACV, ECV de Sección A. ")</f>
        <v/>
      </c>
      <c r="DB35" s="191" t="str">
        <f>IF($AC35&lt;=$AC$20+$AC$21+$AC$22,"","* Pacientes 70 a 74 años (Mujeres) con  antecedentes ECV en Tratamiento con Estatina no debe ser mayor a la suma de Personas con Antecedentes de IAM y ECV de Sección A. ")</f>
        <v/>
      </c>
      <c r="DC35" s="191" t="str">
        <f>IF($AD35&lt;=$AD$20+$AD$21+$AD$22,"","* Pacientes 75 a 79 años (Hombres) con  antecedentes ECV en Tratamiento con Estatina no debe ser mayor a la suma de Personas con Antecedentes de IAM, ACV, ECV de Sección A. ")</f>
        <v/>
      </c>
      <c r="DD35" s="191" t="str">
        <f>IF($AE35&lt;=$AE$20+$AE$21+$AE$22,"","* Pacientes 75 a 79 años (Mujeres) con con antecedentes ECV en Tratamiento con Estatina no debe ser mayor a la suma de Personas con Antecedentes de IAM, ACV, ECV de Sección A. ")</f>
        <v/>
      </c>
      <c r="DE35" s="191" t="str">
        <f>IF($AF35&lt;=$AF$20+$AF$21+$AF$22,"","* Pacientes 80 y más años (Hombres) con antecedentes ECV en Tratamiento con Estatina no debe ser mayor a la suma de Personas con Antecedentes de IAM, ACV,ECV de Sección A. ")</f>
        <v/>
      </c>
      <c r="DF35" s="191" t="str">
        <f>IF($AG35&lt;=$AG$20+$AG$22,"","* Pacientes 80 y más años (Mujeres) con antecedentes ECV en Tratamiento con Estatina no debe ser mayor a la suma de Personas con Antecedentes de IAM y ECV de Sección A. ")</f>
        <v/>
      </c>
      <c r="DK35" s="1048">
        <f t="shared" si="28"/>
        <v>0</v>
      </c>
      <c r="DL35" s="1048">
        <f t="shared" si="29"/>
        <v>0</v>
      </c>
      <c r="DM35" s="1048">
        <f>IF($D$36&gt;=$AH$36,0,1)</f>
        <v>0</v>
      </c>
      <c r="DN35" s="1048">
        <f t="shared" si="30"/>
        <v>0</v>
      </c>
      <c r="DO35" s="1048">
        <f t="shared" si="19"/>
        <v>0</v>
      </c>
      <c r="DP35" s="1048">
        <f t="shared" si="20"/>
        <v>0</v>
      </c>
      <c r="DQ35" s="1048">
        <f>IF(F35&lt;=F$21+F22+F$23,0,1)</f>
        <v>0</v>
      </c>
      <c r="DR35" s="1048">
        <f t="shared" ref="DR35:ER35" si="38">IF(G35&lt;=G$21+G22+G$23,0,1)</f>
        <v>0</v>
      </c>
      <c r="DS35" s="1048">
        <f t="shared" si="38"/>
        <v>0</v>
      </c>
      <c r="DT35" s="1048">
        <f t="shared" si="38"/>
        <v>0</v>
      </c>
      <c r="DU35" s="1048">
        <f t="shared" si="38"/>
        <v>0</v>
      </c>
      <c r="DV35" s="1048">
        <f t="shared" si="38"/>
        <v>0</v>
      </c>
      <c r="DW35" s="1048">
        <f t="shared" si="38"/>
        <v>0</v>
      </c>
      <c r="DX35" s="1048">
        <f t="shared" si="38"/>
        <v>0</v>
      </c>
      <c r="DY35" s="1048">
        <f t="shared" si="38"/>
        <v>0</v>
      </c>
      <c r="DZ35" s="1048">
        <f t="shared" si="38"/>
        <v>0</v>
      </c>
      <c r="EA35" s="1048">
        <f t="shared" si="38"/>
        <v>0</v>
      </c>
      <c r="EB35" s="1048">
        <f t="shared" si="38"/>
        <v>0</v>
      </c>
      <c r="EC35" s="1048">
        <f t="shared" si="38"/>
        <v>0</v>
      </c>
      <c r="ED35" s="1048">
        <f t="shared" si="38"/>
        <v>0</v>
      </c>
      <c r="EE35" s="1048">
        <f t="shared" si="38"/>
        <v>0</v>
      </c>
      <c r="EF35" s="1048">
        <f t="shared" si="38"/>
        <v>0</v>
      </c>
      <c r="EG35" s="1048">
        <f t="shared" si="38"/>
        <v>0</v>
      </c>
      <c r="EH35" s="1048">
        <f t="shared" si="38"/>
        <v>0</v>
      </c>
      <c r="EI35" s="1048">
        <f t="shared" si="38"/>
        <v>0</v>
      </c>
      <c r="EJ35" s="1048">
        <f t="shared" si="38"/>
        <v>0</v>
      </c>
      <c r="EK35" s="1048">
        <f t="shared" si="38"/>
        <v>0</v>
      </c>
      <c r="EL35" s="1048">
        <f t="shared" si="38"/>
        <v>0</v>
      </c>
      <c r="EM35" s="1048">
        <f t="shared" si="38"/>
        <v>0</v>
      </c>
      <c r="EN35" s="1048">
        <f t="shared" si="38"/>
        <v>0</v>
      </c>
      <c r="EO35" s="1048">
        <f t="shared" si="38"/>
        <v>0</v>
      </c>
      <c r="EP35" s="1048">
        <f t="shared" si="38"/>
        <v>0</v>
      </c>
      <c r="EQ35" s="1048">
        <f t="shared" si="38"/>
        <v>0</v>
      </c>
      <c r="ER35" s="1048">
        <f t="shared" si="38"/>
        <v>0</v>
      </c>
    </row>
    <row r="36" spans="1:148" ht="15" customHeight="1" x14ac:dyDescent="0.15">
      <c r="A36" s="1981"/>
      <c r="B36" s="730" t="s">
        <v>529</v>
      </c>
      <c r="C36" s="1144">
        <f>SUM(D36:E36)</f>
        <v>0</v>
      </c>
      <c r="D36" s="391">
        <f>+F36+H36+J36+L36+N36+P36+R36+T36+V36+X36+Z36+AB36+AD36+AF36</f>
        <v>0</v>
      </c>
      <c r="E36" s="458">
        <f>+G36+I36+K36+M36+O36+Q36+S36+U36+W36+Y36+AA36+AC36+AE36+AG36</f>
        <v>0</v>
      </c>
      <c r="F36" s="403">
        <v>0</v>
      </c>
      <c r="G36" s="404">
        <v>0</v>
      </c>
      <c r="H36" s="403">
        <v>0</v>
      </c>
      <c r="I36" s="404">
        <v>0</v>
      </c>
      <c r="J36" s="403">
        <v>0</v>
      </c>
      <c r="K36" s="404">
        <v>0</v>
      </c>
      <c r="L36" s="403">
        <v>0</v>
      </c>
      <c r="M36" s="404">
        <v>0</v>
      </c>
      <c r="N36" s="403">
        <v>0</v>
      </c>
      <c r="O36" s="404">
        <v>0</v>
      </c>
      <c r="P36" s="403">
        <v>0</v>
      </c>
      <c r="Q36" s="404">
        <v>0</v>
      </c>
      <c r="R36" s="403">
        <v>0</v>
      </c>
      <c r="S36" s="404">
        <v>0</v>
      </c>
      <c r="T36" s="403">
        <v>0</v>
      </c>
      <c r="U36" s="404">
        <v>0</v>
      </c>
      <c r="V36" s="403">
        <v>0</v>
      </c>
      <c r="W36" s="404">
        <v>0</v>
      </c>
      <c r="X36" s="403">
        <v>0</v>
      </c>
      <c r="Y36" s="404">
        <v>0</v>
      </c>
      <c r="Z36" s="403">
        <v>0</v>
      </c>
      <c r="AA36" s="404">
        <v>0</v>
      </c>
      <c r="AB36" s="403">
        <v>0</v>
      </c>
      <c r="AC36" s="404">
        <v>0</v>
      </c>
      <c r="AD36" s="403">
        <v>0</v>
      </c>
      <c r="AE36" s="404">
        <v>0</v>
      </c>
      <c r="AF36" s="464">
        <v>0</v>
      </c>
      <c r="AG36" s="470">
        <v>0</v>
      </c>
      <c r="AH36" s="416">
        <v>0</v>
      </c>
      <c r="AI36" s="404">
        <v>0</v>
      </c>
      <c r="AJ36" s="464">
        <v>0</v>
      </c>
      <c r="AK36" s="404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48">
        <f t="shared" si="28"/>
        <v>0</v>
      </c>
      <c r="DL36" s="1048">
        <f t="shared" si="29"/>
        <v>0</v>
      </c>
      <c r="DM36" s="1048">
        <f>IF($D$36&gt;=$AH$36,0,1)</f>
        <v>0</v>
      </c>
      <c r="DN36" s="1048">
        <f t="shared" si="30"/>
        <v>0</v>
      </c>
      <c r="DO36" s="1048">
        <f t="shared" si="19"/>
        <v>0</v>
      </c>
      <c r="DP36" s="1048">
        <f t="shared" si="20"/>
        <v>0</v>
      </c>
    </row>
    <row r="37" spans="1:148" ht="15" customHeight="1" x14ac:dyDescent="0.15">
      <c r="A37" s="2016" t="s">
        <v>530</v>
      </c>
      <c r="B37" s="1256" t="s">
        <v>527</v>
      </c>
      <c r="C37" s="1143">
        <f t="shared" ref="C37" si="39">SUM(D37:E37)</f>
        <v>1</v>
      </c>
      <c r="D37" s="387">
        <f>+F37+H37+J37+L37+N37+P37+R37+T37+V37+X37+Z37+AB37+AD37+AF37</f>
        <v>1</v>
      </c>
      <c r="E37" s="454">
        <f t="shared" ref="E37:E38" si="40">+G37+I37+K37+M37+O37+Q37+S37+U37+W37+Y37+AA37+AC37+AE37+AG37</f>
        <v>0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0</v>
      </c>
      <c r="U37" s="418">
        <v>0</v>
      </c>
      <c r="V37" s="417">
        <v>0</v>
      </c>
      <c r="W37" s="418">
        <v>0</v>
      </c>
      <c r="X37" s="417">
        <v>0</v>
      </c>
      <c r="Y37" s="418">
        <v>0</v>
      </c>
      <c r="Z37" s="417">
        <v>0</v>
      </c>
      <c r="AA37" s="418">
        <v>0</v>
      </c>
      <c r="AB37" s="417">
        <v>0</v>
      </c>
      <c r="AC37" s="418">
        <v>0</v>
      </c>
      <c r="AD37" s="417">
        <v>1</v>
      </c>
      <c r="AE37" s="418">
        <v>0</v>
      </c>
      <c r="AF37" s="468">
        <v>0</v>
      </c>
      <c r="AG37" s="469">
        <v>0</v>
      </c>
      <c r="AH37" s="412">
        <v>1</v>
      </c>
      <c r="AI37" s="395">
        <v>0</v>
      </c>
      <c r="AJ37" s="462">
        <v>0</v>
      </c>
      <c r="AK37" s="395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IF($M$37&lt;=$M$20+$M$22,"","*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IF($N$37&lt;=$N$20+$N$22,"","*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IF($O$37&lt;=$O$20+$O$22,"","*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IF($P$37&lt;=$P$20+$P$22,"","*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IF($Q$37&lt;=$Q$20+$Q$22,"","*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IF($R$37&lt;=$R$20+$R$22,"","*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IF($S$37&lt;=$S$20+$S$22,"","*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IF($T$37&lt;=$T$20+$T$22,"","*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IF($U$37&lt;=$U$20+$U$22,"","*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IF($V$37&lt;=$V$20+$V$22,"","*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IF($W$37&lt;=$W$20+$W$22,"","*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IF($X$37&lt;=$X$20+$X$22,"","*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IF($Y$37&lt;=$Y$20+$Y$22,"","*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IF($Z$37&lt;=$Z$20+$Z$22,"","*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IF($AA$37&lt;=$AA$20+$AA$22,"","*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IF($AB$37&lt;=$AB$20+$AB$22,"","*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48">
        <f t="shared" si="28"/>
        <v>0</v>
      </c>
      <c r="DL37" s="1048">
        <f t="shared" si="29"/>
        <v>0</v>
      </c>
      <c r="DM37" s="1048">
        <f>IF($D$34&gt;=$AH$34,0,1)</f>
        <v>0</v>
      </c>
      <c r="DN37" s="1048">
        <f t="shared" si="30"/>
        <v>0</v>
      </c>
      <c r="DO37" s="1048">
        <f t="shared" si="19"/>
        <v>0</v>
      </c>
      <c r="DP37" s="1048">
        <f t="shared" si="20"/>
        <v>0</v>
      </c>
      <c r="DQ37" s="1048">
        <f>IF(F37&lt;=F$20,0,1)</f>
        <v>0</v>
      </c>
      <c r="DR37" s="1048">
        <f t="shared" ref="DR37:ER38" si="41">IF(G37&lt;=G$20,0,1)</f>
        <v>0</v>
      </c>
      <c r="DS37" s="1048">
        <f t="shared" si="41"/>
        <v>0</v>
      </c>
      <c r="DT37" s="1048">
        <f t="shared" si="41"/>
        <v>0</v>
      </c>
      <c r="DU37" s="1048">
        <f t="shared" si="41"/>
        <v>0</v>
      </c>
      <c r="DV37" s="1048">
        <f t="shared" si="41"/>
        <v>0</v>
      </c>
      <c r="DW37" s="1048">
        <f t="shared" si="41"/>
        <v>0</v>
      </c>
      <c r="DX37" s="1048">
        <f t="shared" si="41"/>
        <v>0</v>
      </c>
      <c r="DY37" s="1048">
        <f t="shared" si="41"/>
        <v>0</v>
      </c>
      <c r="DZ37" s="1048">
        <f t="shared" si="41"/>
        <v>0</v>
      </c>
      <c r="EA37" s="1048">
        <f t="shared" si="41"/>
        <v>0</v>
      </c>
      <c r="EB37" s="1048">
        <f t="shared" si="41"/>
        <v>0</v>
      </c>
      <c r="EC37" s="1048">
        <f t="shared" si="41"/>
        <v>0</v>
      </c>
      <c r="ED37" s="1048">
        <f t="shared" si="41"/>
        <v>0</v>
      </c>
      <c r="EE37" s="1048">
        <f t="shared" si="41"/>
        <v>0</v>
      </c>
      <c r="EF37" s="1048">
        <f t="shared" si="41"/>
        <v>0</v>
      </c>
      <c r="EG37" s="1048">
        <f t="shared" si="41"/>
        <v>0</v>
      </c>
      <c r="EH37" s="1048">
        <f t="shared" si="41"/>
        <v>0</v>
      </c>
      <c r="EI37" s="1048">
        <f t="shared" si="41"/>
        <v>0</v>
      </c>
      <c r="EJ37" s="1048">
        <f t="shared" si="41"/>
        <v>0</v>
      </c>
      <c r="EK37" s="1048">
        <f t="shared" si="41"/>
        <v>0</v>
      </c>
      <c r="EL37" s="1048">
        <f t="shared" si="41"/>
        <v>0</v>
      </c>
      <c r="EM37" s="1048">
        <f t="shared" si="41"/>
        <v>0</v>
      </c>
      <c r="EN37" s="1048">
        <f t="shared" si="41"/>
        <v>0</v>
      </c>
      <c r="EO37" s="1048">
        <f t="shared" si="41"/>
        <v>0</v>
      </c>
      <c r="EP37" s="1048">
        <f t="shared" si="41"/>
        <v>0</v>
      </c>
      <c r="EQ37" s="1048">
        <f>IF(AF37&lt;=AF$20,0,1)</f>
        <v>0</v>
      </c>
      <c r="ER37" s="1048">
        <f t="shared" si="41"/>
        <v>0</v>
      </c>
    </row>
    <row r="38" spans="1:148" ht="15" customHeight="1" x14ac:dyDescent="0.15">
      <c r="A38" s="2017"/>
      <c r="B38" s="1256" t="s">
        <v>528</v>
      </c>
      <c r="C38" s="1302">
        <f>SUM(D38:E38)</f>
        <v>0</v>
      </c>
      <c r="D38" s="389">
        <f t="shared" ref="D38" si="42">+F38+H38+J38+L38+N38+P38+R38+T38+V38+X38+Z38+AB38+AD38+AF38</f>
        <v>0</v>
      </c>
      <c r="E38" s="870">
        <f t="shared" si="40"/>
        <v>0</v>
      </c>
      <c r="F38" s="450">
        <v>0</v>
      </c>
      <c r="G38" s="451">
        <v>0</v>
      </c>
      <c r="H38" s="450">
        <v>0</v>
      </c>
      <c r="I38" s="451">
        <v>0</v>
      </c>
      <c r="J38" s="450">
        <v>0</v>
      </c>
      <c r="K38" s="451">
        <v>0</v>
      </c>
      <c r="L38" s="450">
        <v>0</v>
      </c>
      <c r="M38" s="451">
        <v>0</v>
      </c>
      <c r="N38" s="450">
        <v>0</v>
      </c>
      <c r="O38" s="451">
        <v>0</v>
      </c>
      <c r="P38" s="450">
        <v>0</v>
      </c>
      <c r="Q38" s="451">
        <v>0</v>
      </c>
      <c r="R38" s="450">
        <v>0</v>
      </c>
      <c r="S38" s="451">
        <v>0</v>
      </c>
      <c r="T38" s="450">
        <v>0</v>
      </c>
      <c r="U38" s="451">
        <v>0</v>
      </c>
      <c r="V38" s="450">
        <v>0</v>
      </c>
      <c r="W38" s="451">
        <v>0</v>
      </c>
      <c r="X38" s="450">
        <v>0</v>
      </c>
      <c r="Y38" s="451">
        <v>0</v>
      </c>
      <c r="Z38" s="450">
        <v>0</v>
      </c>
      <c r="AA38" s="451">
        <v>0</v>
      </c>
      <c r="AB38" s="450">
        <v>0</v>
      </c>
      <c r="AC38" s="451">
        <v>0</v>
      </c>
      <c r="AD38" s="450">
        <v>0</v>
      </c>
      <c r="AE38" s="451">
        <v>0</v>
      </c>
      <c r="AF38" s="667">
        <v>0</v>
      </c>
      <c r="AG38" s="582">
        <v>0</v>
      </c>
      <c r="AH38" s="881">
        <v>0</v>
      </c>
      <c r="AI38" s="451">
        <v>0</v>
      </c>
      <c r="AJ38" s="667">
        <v>0</v>
      </c>
      <c r="AK38" s="451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IF($M38&lt;=$M$20+$M$22,"","* Personas de 30 a 34 años Mujeres, con antecedentes IAM En Tratamiento con Estatina no debe ser mayor a Personas mismo grupo de edad con Antecedentes de IAM de Sección A. ")</f>
        <v/>
      </c>
      <c r="CM38" s="191" t="str">
        <f>IF($N38&lt;=$N$20+$N$22,"","* Personas de 35 a 39 años Hombres, con antecedentes IAM En Tratamiento con Estatina no debe ser mayor a Personas mismo grupo de edad con Antecedentes de IAM de Sección A. ")</f>
        <v/>
      </c>
      <c r="CN38" s="191" t="str">
        <f>IF($O38&lt;=$O$20+$O$22,"","* Persona de 35 a 39 años Mujeres, con antecedentes IAM En Tratamiento con Estatina no debe ser mayor a Personas mismo grupo de edad con Antecedentes de IAM de Sección A. ")</f>
        <v/>
      </c>
      <c r="CO38" s="191" t="str">
        <f>IF($P38&lt;=$P$20+$P$22,"","* Personas de 40 a 44 años Hombres, con antecedentes IAM En Tratamiento con Estatina no debe ser mayor a Personas mismo grupo de edad con Antecedentes de IAM de Sección A. ")</f>
        <v/>
      </c>
      <c r="CP38" s="191" t="str">
        <f>IF($Q38&lt;=$Q$20+$Q$22,"","* Personas de 40 a 44 años Mujeres, con antecedentes IAM En Tratamiento con Estatina no debe ser mayor a Personas mismo grupo de edad con Antecedentes de IAM de Sección A. ")</f>
        <v/>
      </c>
      <c r="CQ38" s="191" t="str">
        <f>IF($R38&lt;=$R$20+$R$22,"","* Personas de 45 a 49 años Hombres, con antecedentes IAM En Tratamiento con Estatina no debe ser mayor a Personas mismo grupo de edad con Antecedentes de IAM de Sección A. ")</f>
        <v/>
      </c>
      <c r="CR38" s="191" t="str">
        <f>IF($S38&lt;=$S$20+$S$22,"","* Personas de 45 a 49 años Mujeres, con antecedentes IAM En Tratamiento con Estatina no debe ser mayor a Personas mismo grupo de edad con Antecedentes de IAM de Sección A. ")</f>
        <v/>
      </c>
      <c r="CS38" s="191" t="str">
        <f>IF($T38&lt;=$T$20+$T$22,"","* Personas de 50 a 54 años Hombres, con antecedentes IAM En Tratamiento con Estatina no debe ser mayor a Personas mismo grupo de edad con Antecedentes de IAM de Sección A. ")</f>
        <v/>
      </c>
      <c r="CT38" s="191" t="str">
        <f>IF($U38&lt;=$U$20+$U$22,"","* Personas de 50 a 54 años Mujeres, con antecedentes IAM En Tratamiento con Estatina no debe ser mayor a Personas mismo grupo de edad con Antecedentes de IAM de Sección A. ")</f>
        <v/>
      </c>
      <c r="CU38" s="191" t="str">
        <f>IF($V38&lt;=$V$20+$V$22,"","* Personas de 55 a 59 años Hombres, con antecedentes IAM En Tratamiento con Estatina no debe ser mayor a Personas mismo grupo de edad con Antecedentes de IAM de Sección A. ")</f>
        <v/>
      </c>
      <c r="CV38" s="191" t="str">
        <f>IF($W38&lt;=$W$20+$W$22,"","* Personas de 55 a 59 años Mujeres, con antecedentes IAM En Tratamiento con Estatina no debe ser mayor a Personas mismo grupo de edad con Antecedentes de IAM de Sección A. ")</f>
        <v/>
      </c>
      <c r="CW38" s="191" t="str">
        <f>IF($X38&lt;=$X$20+$X$22,"","* Personas de 60 a 64 años Hombres, con antecedentes IAM En Tratamiento con Estatina no debe ser mayor a Personas mismo grupo de edad con Antecedentes de IAM de Sección A. ")</f>
        <v/>
      </c>
      <c r="CX38" s="191" t="str">
        <f>IF($Y38&lt;=$Y$20+$Y$22,"","* Personas de 60 a 64 años Mujeres, con antecedentes IAM En Tratamiento con Estatina no debe ser mayor a Personas mismo grupo de edad con Antecedentes de IAM de Sección A. ")</f>
        <v/>
      </c>
      <c r="CY38" s="191" t="str">
        <f>IF($Z38&lt;=$Z$20+$Z$22,"","* Personas de 65 a 69 años Hombres, con antecedentes IAM En Tratamiento con Estatina no debe ser mayor a Personas mismo grupo de edad con Antecedentes de IAM de Sección A. ")</f>
        <v/>
      </c>
      <c r="CZ38" s="191" t="str">
        <f>IF($AA38&lt;=$AA$20+$AA$22,"","* Personas de 65 a 69 años Mujeres, con antecedentes IAM En Tratamiento con Estatina no debe ser mayor a Personas mismo grupo de edad con Antecedentes de IAM de Sección A. ")</f>
        <v/>
      </c>
      <c r="DA38" s="191" t="str">
        <f>IF($AB38&lt;=$AB$20+$AB$22,"","*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48">
        <f t="shared" si="28"/>
        <v>0</v>
      </c>
      <c r="DL38" s="1048">
        <f t="shared" si="29"/>
        <v>0</v>
      </c>
      <c r="DM38" s="1048">
        <f>IF($D$36&gt;=$AH$36,0,1)</f>
        <v>0</v>
      </c>
      <c r="DN38" s="1048">
        <f t="shared" si="30"/>
        <v>0</v>
      </c>
      <c r="DO38" s="1048">
        <f t="shared" si="19"/>
        <v>0</v>
      </c>
      <c r="DP38" s="1048">
        <f t="shared" si="20"/>
        <v>0</v>
      </c>
      <c r="DQ38" s="1048">
        <f>IF(F38&lt;=F$20,0,1)</f>
        <v>0</v>
      </c>
      <c r="DR38" s="1048">
        <f t="shared" si="41"/>
        <v>0</v>
      </c>
      <c r="DS38" s="1048">
        <f t="shared" si="41"/>
        <v>0</v>
      </c>
      <c r="DT38" s="1048">
        <f t="shared" si="41"/>
        <v>0</v>
      </c>
      <c r="DU38" s="1048">
        <f t="shared" si="41"/>
        <v>0</v>
      </c>
      <c r="DV38" s="1048">
        <f t="shared" si="41"/>
        <v>0</v>
      </c>
      <c r="DW38" s="1048">
        <f t="shared" si="41"/>
        <v>0</v>
      </c>
      <c r="DX38" s="1048">
        <f t="shared" si="41"/>
        <v>0</v>
      </c>
      <c r="DY38" s="1048">
        <f t="shared" si="41"/>
        <v>0</v>
      </c>
      <c r="DZ38" s="1048">
        <f t="shared" si="41"/>
        <v>0</v>
      </c>
      <c r="EA38" s="1048">
        <f t="shared" si="41"/>
        <v>0</v>
      </c>
      <c r="EB38" s="1048">
        <f t="shared" si="41"/>
        <v>0</v>
      </c>
      <c r="EC38" s="1048">
        <f t="shared" si="41"/>
        <v>0</v>
      </c>
      <c r="ED38" s="1048">
        <f t="shared" si="41"/>
        <v>0</v>
      </c>
      <c r="EE38" s="1048">
        <f t="shared" si="41"/>
        <v>0</v>
      </c>
      <c r="EF38" s="1048">
        <f t="shared" si="41"/>
        <v>0</v>
      </c>
      <c r="EG38" s="1048">
        <f t="shared" si="41"/>
        <v>0</v>
      </c>
      <c r="EH38" s="1048">
        <f t="shared" si="41"/>
        <v>0</v>
      </c>
      <c r="EI38" s="1048">
        <f t="shared" si="41"/>
        <v>0</v>
      </c>
      <c r="EJ38" s="1048">
        <f t="shared" si="41"/>
        <v>0</v>
      </c>
      <c r="EK38" s="1048">
        <f t="shared" si="41"/>
        <v>0</v>
      </c>
      <c r="EL38" s="1048">
        <f t="shared" si="41"/>
        <v>0</v>
      </c>
      <c r="EM38" s="1048">
        <f t="shared" si="41"/>
        <v>0</v>
      </c>
      <c r="EN38" s="1048">
        <f t="shared" si="41"/>
        <v>0</v>
      </c>
      <c r="EO38" s="1048">
        <f t="shared" si="41"/>
        <v>0</v>
      </c>
      <c r="EP38" s="1048">
        <f t="shared" si="41"/>
        <v>0</v>
      </c>
      <c r="EQ38" s="1048">
        <f t="shared" si="41"/>
        <v>0</v>
      </c>
      <c r="ER38" s="1048">
        <f t="shared" si="41"/>
        <v>0</v>
      </c>
    </row>
    <row r="39" spans="1:148" ht="15" customHeight="1" x14ac:dyDescent="0.15">
      <c r="A39" s="2018"/>
      <c r="B39" s="1257" t="s">
        <v>529</v>
      </c>
      <c r="C39" s="1144">
        <f>SUM(D39:E39)</f>
        <v>0</v>
      </c>
      <c r="D39" s="391">
        <f>+F39+H39+J39+L39+N39+P39+R39+T39+V39+X39+Z39+AB39+AD39+AF39</f>
        <v>0</v>
      </c>
      <c r="E39" s="458">
        <f>+G39+I39+K39+M39+O39+Q39+S39+U39+W39+Y39+AA39+AC39+AE39+AG39</f>
        <v>0</v>
      </c>
      <c r="F39" s="403">
        <v>0</v>
      </c>
      <c r="G39" s="404">
        <v>0</v>
      </c>
      <c r="H39" s="403">
        <v>0</v>
      </c>
      <c r="I39" s="404">
        <v>0</v>
      </c>
      <c r="J39" s="403">
        <v>0</v>
      </c>
      <c r="K39" s="404">
        <v>0</v>
      </c>
      <c r="L39" s="403">
        <v>0</v>
      </c>
      <c r="M39" s="404">
        <v>0</v>
      </c>
      <c r="N39" s="403">
        <v>0</v>
      </c>
      <c r="O39" s="404">
        <v>0</v>
      </c>
      <c r="P39" s="403">
        <v>0</v>
      </c>
      <c r="Q39" s="404">
        <v>0</v>
      </c>
      <c r="R39" s="403">
        <v>0</v>
      </c>
      <c r="S39" s="404">
        <v>0</v>
      </c>
      <c r="T39" s="403">
        <v>0</v>
      </c>
      <c r="U39" s="404">
        <v>0</v>
      </c>
      <c r="V39" s="403">
        <v>0</v>
      </c>
      <c r="W39" s="404">
        <v>0</v>
      </c>
      <c r="X39" s="403">
        <v>0</v>
      </c>
      <c r="Y39" s="404">
        <v>0</v>
      </c>
      <c r="Z39" s="403">
        <v>0</v>
      </c>
      <c r="AA39" s="404">
        <v>0</v>
      </c>
      <c r="AB39" s="403">
        <v>0</v>
      </c>
      <c r="AC39" s="404">
        <v>0</v>
      </c>
      <c r="AD39" s="403">
        <v>0</v>
      </c>
      <c r="AE39" s="404">
        <v>0</v>
      </c>
      <c r="AF39" s="464">
        <v>0</v>
      </c>
      <c r="AG39" s="470">
        <v>0</v>
      </c>
      <c r="AH39" s="416">
        <v>0</v>
      </c>
      <c r="AI39" s="404">
        <v>0</v>
      </c>
      <c r="AJ39" s="464">
        <v>0</v>
      </c>
      <c r="AK39" s="404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48">
        <f t="shared" si="28"/>
        <v>0</v>
      </c>
      <c r="DL39" s="1048">
        <f t="shared" si="29"/>
        <v>0</v>
      </c>
      <c r="DM39" s="1048">
        <f>IF($D$36&gt;=$AH$36,0,1)</f>
        <v>0</v>
      </c>
      <c r="DN39" s="1048">
        <f t="shared" si="30"/>
        <v>0</v>
      </c>
      <c r="DO39" s="1048">
        <f t="shared" si="19"/>
        <v>0</v>
      </c>
      <c r="DP39" s="1048">
        <f t="shared" si="20"/>
        <v>0</v>
      </c>
    </row>
    <row r="40" spans="1:148" ht="15" customHeight="1" x14ac:dyDescent="0.15">
      <c r="A40" s="2016" t="s">
        <v>531</v>
      </c>
      <c r="B40" s="1256" t="s">
        <v>527</v>
      </c>
      <c r="C40" s="1143">
        <f t="shared" ref="C40" si="43">SUM(D40:E40)</f>
        <v>0</v>
      </c>
      <c r="D40" s="387">
        <f t="shared" ref="D40:D41" si="44">+F40+H40+J40+L40+N40+P40+R40+T40+V40+X40+Z40+AB40+AD40+AF40</f>
        <v>0</v>
      </c>
      <c r="E40" s="454">
        <f t="shared" ref="E40:E41" si="45">+G40+I40+K40+M40+O40+Q40+S40+U40+W40+Y40+AA40+AC40+AE40+AG40</f>
        <v>0</v>
      </c>
      <c r="F40" s="417">
        <v>0</v>
      </c>
      <c r="G40" s="418">
        <v>0</v>
      </c>
      <c r="H40" s="417">
        <v>0</v>
      </c>
      <c r="I40" s="418">
        <v>0</v>
      </c>
      <c r="J40" s="417">
        <v>0</v>
      </c>
      <c r="K40" s="418">
        <v>0</v>
      </c>
      <c r="L40" s="417">
        <v>0</v>
      </c>
      <c r="M40" s="418">
        <v>0</v>
      </c>
      <c r="N40" s="417">
        <v>0</v>
      </c>
      <c r="O40" s="418">
        <v>0</v>
      </c>
      <c r="P40" s="417">
        <v>0</v>
      </c>
      <c r="Q40" s="418">
        <v>0</v>
      </c>
      <c r="R40" s="417">
        <v>0</v>
      </c>
      <c r="S40" s="418">
        <v>0</v>
      </c>
      <c r="T40" s="417">
        <v>0</v>
      </c>
      <c r="U40" s="418">
        <v>0</v>
      </c>
      <c r="V40" s="417">
        <v>0</v>
      </c>
      <c r="W40" s="418">
        <v>0</v>
      </c>
      <c r="X40" s="417">
        <v>0</v>
      </c>
      <c r="Y40" s="418">
        <v>0</v>
      </c>
      <c r="Z40" s="417">
        <v>0</v>
      </c>
      <c r="AA40" s="418">
        <v>0</v>
      </c>
      <c r="AB40" s="417">
        <v>0</v>
      </c>
      <c r="AC40" s="418">
        <v>0</v>
      </c>
      <c r="AD40" s="417">
        <v>0</v>
      </c>
      <c r="AE40" s="418">
        <v>0</v>
      </c>
      <c r="AF40" s="468">
        <v>0</v>
      </c>
      <c r="AG40" s="469">
        <v>0</v>
      </c>
      <c r="AH40" s="412">
        <v>0</v>
      </c>
      <c r="AI40" s="395">
        <v>0</v>
      </c>
      <c r="AJ40" s="462">
        <v>0</v>
      </c>
      <c r="AK40" s="395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 t="shared" ref="CF40:DE40" si="46"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si="46"/>
        <v/>
      </c>
      <c r="CH40" s="191" t="str">
        <f t="shared" si="46"/>
        <v/>
      </c>
      <c r="CI40" s="191" t="str">
        <f t="shared" si="46"/>
        <v/>
      </c>
      <c r="CJ40" s="191" t="str">
        <f t="shared" si="46"/>
        <v/>
      </c>
      <c r="CK40" s="191" t="str">
        <f t="shared" si="46"/>
        <v/>
      </c>
      <c r="CL40" s="191" t="str">
        <f t="shared" si="46"/>
        <v/>
      </c>
      <c r="CM40" s="191" t="str">
        <f t="shared" si="46"/>
        <v/>
      </c>
      <c r="CN40" s="191" t="str">
        <f t="shared" si="46"/>
        <v/>
      </c>
      <c r="CO40" s="191" t="str">
        <f t="shared" si="46"/>
        <v/>
      </c>
      <c r="CP40" s="191" t="str">
        <f t="shared" si="46"/>
        <v/>
      </c>
      <c r="CQ40" s="191" t="str">
        <f t="shared" si="46"/>
        <v/>
      </c>
      <c r="CR40" s="191" t="str">
        <f t="shared" si="46"/>
        <v/>
      </c>
      <c r="CS40" s="191" t="str">
        <f t="shared" si="46"/>
        <v/>
      </c>
      <c r="CT40" s="191" t="str">
        <f t="shared" si="46"/>
        <v/>
      </c>
      <c r="CU40" s="191" t="str">
        <f t="shared" si="46"/>
        <v/>
      </c>
      <c r="CV40" s="191" t="str">
        <f t="shared" si="46"/>
        <v/>
      </c>
      <c r="CW40" s="191" t="str">
        <f t="shared" si="46"/>
        <v/>
      </c>
      <c r="CX40" s="191" t="str">
        <f t="shared" si="46"/>
        <v/>
      </c>
      <c r="CY40" s="191" t="str">
        <f t="shared" si="46"/>
        <v/>
      </c>
      <c r="CZ40" s="191" t="str">
        <f t="shared" si="46"/>
        <v/>
      </c>
      <c r="DA40" s="191" t="str">
        <f t="shared" si="46"/>
        <v/>
      </c>
      <c r="DB40" s="191" t="str">
        <f t="shared" si="46"/>
        <v/>
      </c>
      <c r="DC40" s="191" t="str">
        <f t="shared" si="46"/>
        <v/>
      </c>
      <c r="DD40" s="191" t="str">
        <f t="shared" si="46"/>
        <v/>
      </c>
      <c r="DE40" s="191" t="str">
        <f t="shared" si="46"/>
        <v/>
      </c>
      <c r="DF40" s="191" t="str">
        <f>IF(AG$40&lt;=AG$21,"","* Personas de 15 a 19 años Hombres, con antecedentes ACV En Tratamiento con Antiagregante plaquetario no debe ser mayor a la suma de Personas con Antecedentes de ACV de Sección A. ")</f>
        <v/>
      </c>
      <c r="DK40" s="1048">
        <f t="shared" si="28"/>
        <v>0</v>
      </c>
      <c r="DL40" s="1048">
        <f t="shared" si="29"/>
        <v>0</v>
      </c>
      <c r="DM40" s="1048">
        <f>IF($D$34&gt;=$AH$34,0,1)</f>
        <v>0</v>
      </c>
      <c r="DN40" s="1048">
        <f t="shared" si="30"/>
        <v>0</v>
      </c>
      <c r="DO40" s="1048">
        <f t="shared" si="19"/>
        <v>0</v>
      </c>
      <c r="DP40" s="1048">
        <f t="shared" si="20"/>
        <v>0</v>
      </c>
      <c r="DQ40" s="1048">
        <f>IF(F40&lt;=F$21,0,1)</f>
        <v>0</v>
      </c>
      <c r="DR40" s="1048">
        <f t="shared" ref="DR40:ER41" si="47">IF(G40&lt;=G$21,0,1)</f>
        <v>0</v>
      </c>
      <c r="DS40" s="1048">
        <f t="shared" si="47"/>
        <v>0</v>
      </c>
      <c r="DT40" s="1048">
        <f t="shared" si="47"/>
        <v>0</v>
      </c>
      <c r="DU40" s="1048">
        <f t="shared" si="47"/>
        <v>0</v>
      </c>
      <c r="DV40" s="1048">
        <f t="shared" si="47"/>
        <v>0</v>
      </c>
      <c r="DW40" s="1048">
        <f t="shared" si="47"/>
        <v>0</v>
      </c>
      <c r="DX40" s="1048">
        <f t="shared" si="47"/>
        <v>0</v>
      </c>
      <c r="DY40" s="1048">
        <f t="shared" si="47"/>
        <v>0</v>
      </c>
      <c r="DZ40" s="1048">
        <f t="shared" si="47"/>
        <v>0</v>
      </c>
      <c r="EA40" s="1048">
        <f t="shared" si="47"/>
        <v>0</v>
      </c>
      <c r="EB40" s="1048">
        <f t="shared" si="47"/>
        <v>0</v>
      </c>
      <c r="EC40" s="1048">
        <f t="shared" si="47"/>
        <v>0</v>
      </c>
      <c r="ED40" s="1048">
        <f t="shared" si="47"/>
        <v>0</v>
      </c>
      <c r="EE40" s="1048">
        <f t="shared" si="47"/>
        <v>0</v>
      </c>
      <c r="EF40" s="1048">
        <f t="shared" si="47"/>
        <v>0</v>
      </c>
      <c r="EG40" s="1048">
        <f t="shared" si="47"/>
        <v>0</v>
      </c>
      <c r="EH40" s="1048">
        <f t="shared" si="47"/>
        <v>0</v>
      </c>
      <c r="EI40" s="1048">
        <f t="shared" si="47"/>
        <v>0</v>
      </c>
      <c r="EJ40" s="1048">
        <f t="shared" si="47"/>
        <v>0</v>
      </c>
      <c r="EK40" s="1048">
        <f t="shared" si="47"/>
        <v>0</v>
      </c>
      <c r="EL40" s="1048">
        <f t="shared" si="47"/>
        <v>0</v>
      </c>
      <c r="EM40" s="1048">
        <f t="shared" si="47"/>
        <v>0</v>
      </c>
      <c r="EN40" s="1048">
        <f t="shared" si="47"/>
        <v>0</v>
      </c>
      <c r="EO40" s="1048">
        <f t="shared" si="47"/>
        <v>0</v>
      </c>
      <c r="EP40" s="1048">
        <f t="shared" si="47"/>
        <v>0</v>
      </c>
      <c r="EQ40" s="1048">
        <f t="shared" si="47"/>
        <v>0</v>
      </c>
      <c r="ER40" s="1048">
        <f t="shared" si="47"/>
        <v>0</v>
      </c>
    </row>
    <row r="41" spans="1:148" ht="15" customHeight="1" x14ac:dyDescent="0.15">
      <c r="A41" s="2017"/>
      <c r="B41" s="1256" t="s">
        <v>528</v>
      </c>
      <c r="C41" s="1302">
        <f>SUM(D41:E41)</f>
        <v>1</v>
      </c>
      <c r="D41" s="389">
        <f t="shared" si="44"/>
        <v>1</v>
      </c>
      <c r="E41" s="870">
        <f t="shared" si="45"/>
        <v>0</v>
      </c>
      <c r="F41" s="450">
        <v>0</v>
      </c>
      <c r="G41" s="451">
        <v>0</v>
      </c>
      <c r="H41" s="450">
        <v>0</v>
      </c>
      <c r="I41" s="451">
        <v>0</v>
      </c>
      <c r="J41" s="450">
        <v>0</v>
      </c>
      <c r="K41" s="451">
        <v>0</v>
      </c>
      <c r="L41" s="450">
        <v>0</v>
      </c>
      <c r="M41" s="451">
        <v>0</v>
      </c>
      <c r="N41" s="450">
        <v>0</v>
      </c>
      <c r="O41" s="451">
        <v>0</v>
      </c>
      <c r="P41" s="450">
        <v>0</v>
      </c>
      <c r="Q41" s="451">
        <v>0</v>
      </c>
      <c r="R41" s="450">
        <v>0</v>
      </c>
      <c r="S41" s="451">
        <v>0</v>
      </c>
      <c r="T41" s="450">
        <v>0</v>
      </c>
      <c r="U41" s="451">
        <v>0</v>
      </c>
      <c r="V41" s="450">
        <v>0</v>
      </c>
      <c r="W41" s="451">
        <v>0</v>
      </c>
      <c r="X41" s="450">
        <v>0</v>
      </c>
      <c r="Y41" s="451">
        <v>0</v>
      </c>
      <c r="Z41" s="450">
        <v>0</v>
      </c>
      <c r="AA41" s="451">
        <v>0</v>
      </c>
      <c r="AB41" s="450">
        <v>0</v>
      </c>
      <c r="AC41" s="451">
        <v>0</v>
      </c>
      <c r="AD41" s="450">
        <v>0</v>
      </c>
      <c r="AE41" s="451">
        <v>0</v>
      </c>
      <c r="AF41" s="667">
        <v>1</v>
      </c>
      <c r="AG41" s="582">
        <v>0</v>
      </c>
      <c r="AH41" s="881">
        <v>1</v>
      </c>
      <c r="AI41" s="451">
        <v>0</v>
      </c>
      <c r="AJ41" s="667">
        <v>0</v>
      </c>
      <c r="AK41" s="451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 t="shared" ref="CF41:DF41" si="48">IF(G41&lt;=G$21,"","* Personas de 15 a 19 años Hombres, con antecedentes ACV En Tratamiento con Estatina no debe ser mayor a la suma de Personas con Antecedentes de ACV de Sección A. ")</f>
        <v/>
      </c>
      <c r="CG41" s="191" t="str">
        <f t="shared" si="48"/>
        <v/>
      </c>
      <c r="CH41" s="191" t="str">
        <f t="shared" si="48"/>
        <v/>
      </c>
      <c r="CI41" s="191" t="str">
        <f t="shared" si="48"/>
        <v/>
      </c>
      <c r="CJ41" s="191" t="str">
        <f t="shared" si="48"/>
        <v/>
      </c>
      <c r="CK41" s="191" t="str">
        <f t="shared" si="48"/>
        <v/>
      </c>
      <c r="CL41" s="191" t="str">
        <f t="shared" si="48"/>
        <v/>
      </c>
      <c r="CM41" s="191" t="str">
        <f t="shared" si="48"/>
        <v/>
      </c>
      <c r="CN41" s="191" t="str">
        <f t="shared" si="48"/>
        <v/>
      </c>
      <c r="CO41" s="191" t="str">
        <f t="shared" si="48"/>
        <v/>
      </c>
      <c r="CP41" s="191" t="str">
        <f t="shared" si="48"/>
        <v/>
      </c>
      <c r="CQ41" s="191" t="str">
        <f t="shared" si="48"/>
        <v/>
      </c>
      <c r="CR41" s="191" t="str">
        <f t="shared" si="48"/>
        <v/>
      </c>
      <c r="CS41" s="191" t="str">
        <f t="shared" si="48"/>
        <v/>
      </c>
      <c r="CT41" s="191" t="str">
        <f t="shared" si="48"/>
        <v/>
      </c>
      <c r="CU41" s="191" t="str">
        <f t="shared" si="48"/>
        <v/>
      </c>
      <c r="CV41" s="191" t="str">
        <f t="shared" si="48"/>
        <v/>
      </c>
      <c r="CW41" s="191" t="str">
        <f t="shared" si="48"/>
        <v/>
      </c>
      <c r="CX41" s="191" t="str">
        <f t="shared" si="48"/>
        <v/>
      </c>
      <c r="CY41" s="191" t="str">
        <f t="shared" si="48"/>
        <v/>
      </c>
      <c r="CZ41" s="191" t="str">
        <f t="shared" si="48"/>
        <v/>
      </c>
      <c r="DA41" s="191" t="str">
        <f t="shared" si="48"/>
        <v/>
      </c>
      <c r="DB41" s="191" t="str">
        <f t="shared" si="48"/>
        <v/>
      </c>
      <c r="DC41" s="191" t="str">
        <f t="shared" si="48"/>
        <v/>
      </c>
      <c r="DD41" s="191" t="str">
        <f t="shared" si="48"/>
        <v/>
      </c>
      <c r="DE41" s="191" t="str">
        <f>IF(AF41&lt;=AF$21,"","* Personas de 15 a 19 años Hombres, con antecedentes ACV En Tratamiento con Estatina no debe ser mayor a la suma de Personas con Antecedentes de ACV de Sección A. ")</f>
        <v/>
      </c>
      <c r="DF41" s="191" t="str">
        <f t="shared" si="48"/>
        <v/>
      </c>
      <c r="DK41" s="1048">
        <f t="shared" si="28"/>
        <v>0</v>
      </c>
      <c r="DL41" s="1048">
        <f t="shared" si="29"/>
        <v>0</v>
      </c>
      <c r="DM41" s="1048">
        <f>IF($D$36&gt;=$AH$36,0,1)</f>
        <v>0</v>
      </c>
      <c r="DN41" s="1048">
        <f t="shared" si="30"/>
        <v>0</v>
      </c>
      <c r="DO41" s="1048">
        <f t="shared" si="19"/>
        <v>0</v>
      </c>
      <c r="DP41" s="1048">
        <f t="shared" si="20"/>
        <v>0</v>
      </c>
      <c r="DQ41" s="1048">
        <f>IF(F41&lt;=F$21,0,1)</f>
        <v>0</v>
      </c>
      <c r="DR41" s="1048">
        <f t="shared" si="47"/>
        <v>0</v>
      </c>
      <c r="DS41" s="1048">
        <f t="shared" si="47"/>
        <v>0</v>
      </c>
      <c r="DT41" s="1048">
        <f t="shared" si="47"/>
        <v>0</v>
      </c>
      <c r="DU41" s="1048">
        <f t="shared" si="47"/>
        <v>0</v>
      </c>
      <c r="DV41" s="1048">
        <f t="shared" si="47"/>
        <v>0</v>
      </c>
      <c r="DW41" s="1048">
        <f t="shared" si="47"/>
        <v>0</v>
      </c>
      <c r="DX41" s="1048">
        <f t="shared" si="47"/>
        <v>0</v>
      </c>
      <c r="DY41" s="1048">
        <f t="shared" si="47"/>
        <v>0</v>
      </c>
      <c r="DZ41" s="1048">
        <f t="shared" si="47"/>
        <v>0</v>
      </c>
      <c r="EA41" s="1048">
        <f t="shared" si="47"/>
        <v>0</v>
      </c>
      <c r="EB41" s="1048">
        <f t="shared" si="47"/>
        <v>0</v>
      </c>
      <c r="EC41" s="1048">
        <f t="shared" si="47"/>
        <v>0</v>
      </c>
      <c r="ED41" s="1048">
        <f t="shared" si="47"/>
        <v>0</v>
      </c>
      <c r="EE41" s="1048">
        <f t="shared" si="47"/>
        <v>0</v>
      </c>
      <c r="EF41" s="1048">
        <f t="shared" si="47"/>
        <v>0</v>
      </c>
      <c r="EG41" s="1048">
        <f t="shared" si="47"/>
        <v>0</v>
      </c>
      <c r="EH41" s="1048">
        <f t="shared" si="47"/>
        <v>0</v>
      </c>
      <c r="EI41" s="1048">
        <f t="shared" si="47"/>
        <v>0</v>
      </c>
      <c r="EJ41" s="1048">
        <f t="shared" si="47"/>
        <v>0</v>
      </c>
      <c r="EK41" s="1048">
        <f t="shared" si="47"/>
        <v>0</v>
      </c>
      <c r="EL41" s="1048">
        <f t="shared" si="47"/>
        <v>0</v>
      </c>
      <c r="EM41" s="1048">
        <f t="shared" si="47"/>
        <v>0</v>
      </c>
      <c r="EN41" s="1048">
        <f t="shared" si="47"/>
        <v>0</v>
      </c>
      <c r="EO41" s="1048">
        <f t="shared" si="47"/>
        <v>0</v>
      </c>
      <c r="EP41" s="1048">
        <f t="shared" si="47"/>
        <v>0</v>
      </c>
      <c r="EQ41" s="1048">
        <f t="shared" si="47"/>
        <v>0</v>
      </c>
      <c r="ER41" s="1048">
        <f t="shared" si="47"/>
        <v>0</v>
      </c>
    </row>
    <row r="42" spans="1:148" ht="15" customHeight="1" x14ac:dyDescent="0.15">
      <c r="A42" s="2018"/>
      <c r="B42" s="1257" t="s">
        <v>529</v>
      </c>
      <c r="C42" s="1144">
        <f>SUM(D42:E42)</f>
        <v>0</v>
      </c>
      <c r="D42" s="391">
        <f>+F42+H42+J42+L42+N42+P42+R42+T42+V42+X42+Z42+AB42+AD42+AF42</f>
        <v>0</v>
      </c>
      <c r="E42" s="458">
        <f>+G42+I42+K42+M42+O42+Q42+S42+U42+W42+Y42+AA42+AC42+AE42+AG42</f>
        <v>0</v>
      </c>
      <c r="F42" s="403">
        <v>0</v>
      </c>
      <c r="G42" s="404">
        <v>0</v>
      </c>
      <c r="H42" s="403">
        <v>0</v>
      </c>
      <c r="I42" s="404">
        <v>0</v>
      </c>
      <c r="J42" s="403">
        <v>0</v>
      </c>
      <c r="K42" s="404">
        <v>0</v>
      </c>
      <c r="L42" s="403">
        <v>0</v>
      </c>
      <c r="M42" s="404">
        <v>0</v>
      </c>
      <c r="N42" s="403">
        <v>0</v>
      </c>
      <c r="O42" s="404">
        <v>0</v>
      </c>
      <c r="P42" s="403">
        <v>0</v>
      </c>
      <c r="Q42" s="404">
        <v>0</v>
      </c>
      <c r="R42" s="403">
        <v>0</v>
      </c>
      <c r="S42" s="404">
        <v>0</v>
      </c>
      <c r="T42" s="403">
        <v>0</v>
      </c>
      <c r="U42" s="404">
        <v>0</v>
      </c>
      <c r="V42" s="403">
        <v>0</v>
      </c>
      <c r="W42" s="404">
        <v>0</v>
      </c>
      <c r="X42" s="403">
        <v>0</v>
      </c>
      <c r="Y42" s="404">
        <v>0</v>
      </c>
      <c r="Z42" s="403">
        <v>0</v>
      </c>
      <c r="AA42" s="404">
        <v>0</v>
      </c>
      <c r="AB42" s="403">
        <v>0</v>
      </c>
      <c r="AC42" s="404">
        <v>0</v>
      </c>
      <c r="AD42" s="403">
        <v>0</v>
      </c>
      <c r="AE42" s="404">
        <v>0</v>
      </c>
      <c r="AF42" s="464">
        <v>0</v>
      </c>
      <c r="AG42" s="470">
        <v>0</v>
      </c>
      <c r="AH42" s="416">
        <v>0</v>
      </c>
      <c r="AI42" s="404">
        <v>0</v>
      </c>
      <c r="AJ42" s="464">
        <v>0</v>
      </c>
      <c r="AK42" s="404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48">
        <f t="shared" si="28"/>
        <v>0</v>
      </c>
      <c r="DL42" s="1048">
        <f t="shared" si="29"/>
        <v>0</v>
      </c>
      <c r="DM42" s="1048">
        <f>IF($D$36&gt;=$AH$36,0,1)</f>
        <v>0</v>
      </c>
      <c r="DN42" s="1048">
        <f t="shared" si="30"/>
        <v>0</v>
      </c>
      <c r="DO42" s="1048">
        <f t="shared" si="19"/>
        <v>0</v>
      </c>
      <c r="DP42" s="1048">
        <f t="shared" si="20"/>
        <v>0</v>
      </c>
    </row>
    <row r="43" spans="1:148" ht="17.100000000000001" customHeight="1" x14ac:dyDescent="0.15">
      <c r="A43" s="1073" t="s">
        <v>532</v>
      </c>
      <c r="B43" s="608"/>
      <c r="C43" s="869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66"/>
    </row>
    <row r="44" spans="1:148" ht="20.25" customHeight="1" x14ac:dyDescent="0.15">
      <c r="A44" s="1983" t="s">
        <v>533</v>
      </c>
      <c r="B44" s="1984"/>
      <c r="C44" s="1955" t="s">
        <v>503</v>
      </c>
      <c r="D44" s="1956"/>
      <c r="E44" s="1957"/>
      <c r="F44" s="1961" t="s">
        <v>382</v>
      </c>
      <c r="G44" s="1950"/>
      <c r="H44" s="1950"/>
      <c r="I44" s="1950"/>
      <c r="J44" s="1950"/>
      <c r="K44" s="1950"/>
      <c r="L44" s="1950"/>
      <c r="M44" s="1950"/>
      <c r="N44" s="1950"/>
      <c r="O44" s="1950"/>
      <c r="P44" s="1950"/>
      <c r="Q44" s="1950"/>
      <c r="R44" s="1950"/>
      <c r="S44" s="1950"/>
      <c r="T44" s="1950"/>
      <c r="U44" s="1950"/>
      <c r="V44" s="1950"/>
      <c r="W44" s="1950"/>
      <c r="X44" s="1950"/>
      <c r="Y44" s="1950"/>
      <c r="Z44" s="1950"/>
      <c r="AA44" s="1950"/>
      <c r="AB44" s="1950"/>
      <c r="AC44" s="1950"/>
      <c r="AD44" s="1950"/>
      <c r="AE44" s="1950"/>
      <c r="AF44" s="1950"/>
      <c r="AG44" s="1887"/>
      <c r="AH44" s="1699" t="s">
        <v>56</v>
      </c>
      <c r="AI44" s="1656"/>
      <c r="AJ44" s="1703" t="s">
        <v>57</v>
      </c>
      <c r="AK44" s="1656"/>
      <c r="CA44" s="1997"/>
      <c r="CB44" s="1997"/>
      <c r="CC44" s="1997"/>
      <c r="CD44" s="1997"/>
      <c r="CI44" s="1997"/>
      <c r="CJ44" s="1997"/>
      <c r="DK44" s="1997"/>
      <c r="DL44" s="1997"/>
      <c r="DM44" s="1997"/>
      <c r="DN44" s="1997"/>
      <c r="DU44" s="184"/>
      <c r="DV44" s="184"/>
    </row>
    <row r="45" spans="1:148" ht="18.75" customHeight="1" x14ac:dyDescent="0.15">
      <c r="A45" s="1985"/>
      <c r="B45" s="1986"/>
      <c r="C45" s="1958"/>
      <c r="D45" s="1959"/>
      <c r="E45" s="1960"/>
      <c r="F45" s="1977" t="s">
        <v>62</v>
      </c>
      <c r="G45" s="1978"/>
      <c r="H45" s="2014" t="s">
        <v>63</v>
      </c>
      <c r="I45" s="2015"/>
      <c r="J45" s="1879" t="s">
        <v>64</v>
      </c>
      <c r="K45" s="1879"/>
      <c r="L45" s="1885" t="s">
        <v>65</v>
      </c>
      <c r="M45" s="1803"/>
      <c r="N45" s="1879" t="s">
        <v>66</v>
      </c>
      <c r="O45" s="1879"/>
      <c r="P45" s="1885" t="s">
        <v>67</v>
      </c>
      <c r="Q45" s="1803"/>
      <c r="R45" s="1879" t="s">
        <v>68</v>
      </c>
      <c r="S45" s="1879"/>
      <c r="T45" s="1885" t="s">
        <v>69</v>
      </c>
      <c r="U45" s="1803"/>
      <c r="V45" s="1879" t="s">
        <v>70</v>
      </c>
      <c r="W45" s="1879"/>
      <c r="X45" s="1885" t="s">
        <v>71</v>
      </c>
      <c r="Y45" s="1803"/>
      <c r="Z45" s="1880" t="s">
        <v>72</v>
      </c>
      <c r="AA45" s="1881"/>
      <c r="AB45" s="1880" t="s">
        <v>412</v>
      </c>
      <c r="AC45" s="1881"/>
      <c r="AD45" s="1880" t="s">
        <v>413</v>
      </c>
      <c r="AE45" s="1881"/>
      <c r="AF45" s="1880" t="s">
        <v>414</v>
      </c>
      <c r="AG45" s="1881"/>
      <c r="AH45" s="1701"/>
      <c r="AI45" s="1657"/>
      <c r="AJ45" s="1704"/>
      <c r="AK45" s="1657"/>
      <c r="CA45" s="1997"/>
      <c r="CB45" s="1997"/>
      <c r="CC45" s="1997"/>
      <c r="CD45" s="1997"/>
      <c r="CI45" s="1997"/>
      <c r="CJ45" s="1997"/>
      <c r="DK45" s="1997"/>
      <c r="DL45" s="1997"/>
      <c r="DM45" s="1997"/>
      <c r="DN45" s="1997"/>
      <c r="DU45" s="184"/>
      <c r="DV45" s="184"/>
    </row>
    <row r="46" spans="1:148" ht="32.25" customHeight="1" x14ac:dyDescent="0.15">
      <c r="A46" s="1987"/>
      <c r="B46" s="1988"/>
      <c r="C46" s="1445" t="s">
        <v>415</v>
      </c>
      <c r="D46" s="1480" t="s">
        <v>91</v>
      </c>
      <c r="E46" s="1481" t="s">
        <v>232</v>
      </c>
      <c r="F46" s="1474" t="s">
        <v>91</v>
      </c>
      <c r="G46" s="1481" t="s">
        <v>232</v>
      </c>
      <c r="H46" s="1474" t="s">
        <v>91</v>
      </c>
      <c r="I46" s="1481" t="s">
        <v>232</v>
      </c>
      <c r="J46" s="1474" t="s">
        <v>91</v>
      </c>
      <c r="K46" s="1481" t="s">
        <v>232</v>
      </c>
      <c r="L46" s="1474" t="s">
        <v>91</v>
      </c>
      <c r="M46" s="1481" t="s">
        <v>232</v>
      </c>
      <c r="N46" s="1474" t="s">
        <v>91</v>
      </c>
      <c r="O46" s="1481" t="s">
        <v>232</v>
      </c>
      <c r="P46" s="1474" t="s">
        <v>91</v>
      </c>
      <c r="Q46" s="1481" t="s">
        <v>232</v>
      </c>
      <c r="R46" s="1474" t="s">
        <v>91</v>
      </c>
      <c r="S46" s="1481" t="s">
        <v>232</v>
      </c>
      <c r="T46" s="1474" t="s">
        <v>91</v>
      </c>
      <c r="U46" s="1481" t="s">
        <v>232</v>
      </c>
      <c r="V46" s="1474" t="s">
        <v>91</v>
      </c>
      <c r="W46" s="1481" t="s">
        <v>232</v>
      </c>
      <c r="X46" s="1474" t="s">
        <v>91</v>
      </c>
      <c r="Y46" s="1481" t="s">
        <v>232</v>
      </c>
      <c r="Z46" s="1474" t="s">
        <v>416</v>
      </c>
      <c r="AA46" s="1481" t="s">
        <v>232</v>
      </c>
      <c r="AB46" s="1474" t="s">
        <v>416</v>
      </c>
      <c r="AC46" s="1481" t="s">
        <v>232</v>
      </c>
      <c r="AD46" s="1474" t="s">
        <v>416</v>
      </c>
      <c r="AE46" s="1481" t="s">
        <v>232</v>
      </c>
      <c r="AF46" s="1466" t="s">
        <v>416</v>
      </c>
      <c r="AG46" s="875" t="s">
        <v>232</v>
      </c>
      <c r="AH46" s="877" t="s">
        <v>91</v>
      </c>
      <c r="AI46" s="876" t="s">
        <v>232</v>
      </c>
      <c r="AJ46" s="1487" t="s">
        <v>91</v>
      </c>
      <c r="AK46" s="876" t="s">
        <v>232</v>
      </c>
      <c r="CA46" s="100"/>
      <c r="CB46" s="100"/>
      <c r="CC46" s="100"/>
      <c r="CD46" s="100"/>
      <c r="CI46" s="1065"/>
      <c r="CJ46" s="1065"/>
      <c r="DK46" s="100"/>
      <c r="DL46" s="100"/>
      <c r="DM46" s="100"/>
      <c r="DN46" s="100"/>
      <c r="DU46" s="1065"/>
      <c r="DV46" s="1065"/>
    </row>
    <row r="47" spans="1:148" ht="15" customHeight="1" x14ac:dyDescent="0.15">
      <c r="A47" s="1489" t="s">
        <v>534</v>
      </c>
      <c r="B47" s="1490"/>
      <c r="C47" s="2003"/>
      <c r="D47" s="2004"/>
      <c r="E47" s="2004"/>
      <c r="F47" s="2004"/>
      <c r="G47" s="2004"/>
      <c r="H47" s="2004"/>
      <c r="I47" s="2004"/>
      <c r="J47" s="2004"/>
      <c r="K47" s="2004"/>
      <c r="L47" s="2004"/>
      <c r="M47" s="2004"/>
      <c r="N47" s="2004"/>
      <c r="O47" s="2004"/>
      <c r="P47" s="2004"/>
      <c r="Q47" s="2004"/>
      <c r="R47" s="2004"/>
      <c r="S47" s="2004"/>
      <c r="T47" s="2004"/>
      <c r="U47" s="2004"/>
      <c r="V47" s="2004"/>
      <c r="W47" s="2004"/>
      <c r="X47" s="2004"/>
      <c r="Y47" s="2004"/>
      <c r="Z47" s="2004"/>
      <c r="AA47" s="2004"/>
      <c r="AB47" s="2004"/>
      <c r="AC47" s="2004"/>
      <c r="AD47" s="2004"/>
      <c r="AE47" s="2004"/>
      <c r="AF47" s="2004"/>
      <c r="AG47" s="2004"/>
      <c r="AH47" s="2004"/>
      <c r="AI47" s="2004"/>
      <c r="AJ47" s="2004"/>
      <c r="AK47" s="2005"/>
    </row>
    <row r="48" spans="1:148" ht="15" customHeight="1" x14ac:dyDescent="0.15">
      <c r="A48" s="1969" t="s">
        <v>535</v>
      </c>
      <c r="B48" s="1970"/>
      <c r="C48" s="1146">
        <f>SUM(D48:E48)</f>
        <v>24</v>
      </c>
      <c r="D48" s="392">
        <f>+F48+H48+J48+L48+N48+P48+R48+T48+V48+X48+Z48+AB48+AD48+AF48</f>
        <v>13</v>
      </c>
      <c r="E48" s="878">
        <f>+G48+I48+K48+M48+O48+Q48+S48+U48+W48+Y48+AA48+AC48+AE48+AG48</f>
        <v>11</v>
      </c>
      <c r="F48" s="394">
        <v>0</v>
      </c>
      <c r="G48" s="395">
        <v>0</v>
      </c>
      <c r="H48" s="417">
        <v>0</v>
      </c>
      <c r="I48" s="418">
        <v>0</v>
      </c>
      <c r="J48" s="417">
        <v>0</v>
      </c>
      <c r="K48" s="418">
        <v>0</v>
      </c>
      <c r="L48" s="417">
        <v>0</v>
      </c>
      <c r="M48" s="418">
        <v>0</v>
      </c>
      <c r="N48" s="417">
        <v>0</v>
      </c>
      <c r="O48" s="418">
        <v>1</v>
      </c>
      <c r="P48" s="417">
        <v>0</v>
      </c>
      <c r="Q48" s="418">
        <v>0</v>
      </c>
      <c r="R48" s="417">
        <v>1</v>
      </c>
      <c r="S48" s="418">
        <v>1</v>
      </c>
      <c r="T48" s="417">
        <v>3</v>
      </c>
      <c r="U48" s="418">
        <v>0</v>
      </c>
      <c r="V48" s="417">
        <v>0</v>
      </c>
      <c r="W48" s="418">
        <v>2</v>
      </c>
      <c r="X48" s="417">
        <v>3</v>
      </c>
      <c r="Y48" s="418">
        <v>3</v>
      </c>
      <c r="Z48" s="417">
        <v>1</v>
      </c>
      <c r="AA48" s="418">
        <v>1</v>
      </c>
      <c r="AB48" s="417">
        <v>1</v>
      </c>
      <c r="AC48" s="418">
        <v>1</v>
      </c>
      <c r="AD48" s="417">
        <v>1</v>
      </c>
      <c r="AE48" s="418">
        <v>2</v>
      </c>
      <c r="AF48" s="468">
        <v>3</v>
      </c>
      <c r="AG48" s="406">
        <v>0</v>
      </c>
      <c r="AH48" s="468">
        <v>9</v>
      </c>
      <c r="AI48" s="418">
        <v>8</v>
      </c>
      <c r="AJ48" s="468">
        <v>0</v>
      </c>
      <c r="AK48" s="418">
        <v>0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48">
        <f t="shared" ref="DK48:DK95" si="49">IF(AND(D48&gt;0,OR(AH48="")),1,IF(AH48&gt;D48,1,0))</f>
        <v>0</v>
      </c>
      <c r="DL48" s="1048">
        <f t="shared" ref="DL48:DL95" si="50">IF(AND(E48&gt;0,OR(AI48="")),1,IF(AI48&gt;E48,1,0))</f>
        <v>0</v>
      </c>
      <c r="DM48" s="1048">
        <f t="shared" ref="DM48:DM95" si="51">IF(AND(D48&gt;0,OR(AJ48="")),1,IF(AJ48&gt;D48,1,0))</f>
        <v>0</v>
      </c>
      <c r="DN48" s="1048">
        <f t="shared" ref="DN48:DN95" si="52">IF(AND(E48&gt;0,OR(AK48="")),1,IF(AK48&gt;E48,1,0))</f>
        <v>0</v>
      </c>
    </row>
    <row r="49" spans="1:118" ht="15" customHeight="1" x14ac:dyDescent="0.15">
      <c r="A49" s="1962" t="s">
        <v>536</v>
      </c>
      <c r="B49" s="1963"/>
      <c r="C49" s="1148">
        <f t="shared" ref="C49:C72" si="53">SUM(D49:E49)</f>
        <v>26</v>
      </c>
      <c r="D49" s="397">
        <f t="shared" ref="D49:D72" si="54">+F49+H49+J49+L49+N49+P49+R49+T49+V49+X49+Z49+AB49+AD49+AF49</f>
        <v>13</v>
      </c>
      <c r="E49" s="444">
        <f t="shared" ref="E49:E72" si="55">+G49+I49+K49+M49+O49+Q49+S49+U49+W49+Y49+AA49+AC49+AE49+AG49</f>
        <v>13</v>
      </c>
      <c r="F49" s="398">
        <v>0</v>
      </c>
      <c r="G49" s="399">
        <v>0</v>
      </c>
      <c r="H49" s="398">
        <v>0</v>
      </c>
      <c r="I49" s="399">
        <v>0</v>
      </c>
      <c r="J49" s="398">
        <v>0</v>
      </c>
      <c r="K49" s="399">
        <v>0</v>
      </c>
      <c r="L49" s="398">
        <v>0</v>
      </c>
      <c r="M49" s="399">
        <v>1</v>
      </c>
      <c r="N49" s="398">
        <v>0</v>
      </c>
      <c r="O49" s="399">
        <v>2</v>
      </c>
      <c r="P49" s="398">
        <v>0</v>
      </c>
      <c r="Q49" s="399">
        <v>0</v>
      </c>
      <c r="R49" s="398">
        <v>1</v>
      </c>
      <c r="S49" s="399">
        <v>1</v>
      </c>
      <c r="T49" s="398">
        <v>3</v>
      </c>
      <c r="U49" s="399">
        <v>0</v>
      </c>
      <c r="V49" s="398">
        <v>0</v>
      </c>
      <c r="W49" s="399">
        <v>2</v>
      </c>
      <c r="X49" s="398">
        <v>3</v>
      </c>
      <c r="Y49" s="399">
        <v>3</v>
      </c>
      <c r="Z49" s="398">
        <v>1</v>
      </c>
      <c r="AA49" s="399">
        <v>1</v>
      </c>
      <c r="AB49" s="398">
        <v>1</v>
      </c>
      <c r="AC49" s="399">
        <v>1</v>
      </c>
      <c r="AD49" s="398">
        <v>1</v>
      </c>
      <c r="AE49" s="399">
        <v>2</v>
      </c>
      <c r="AF49" s="465">
        <v>3</v>
      </c>
      <c r="AG49" s="407">
        <v>0</v>
      </c>
      <c r="AH49" s="468">
        <v>9</v>
      </c>
      <c r="AI49" s="418">
        <v>9</v>
      </c>
      <c r="AJ49" s="468">
        <v>0</v>
      </c>
      <c r="AK49" s="418">
        <v>0</v>
      </c>
      <c r="AL49" s="107" t="str">
        <f t="shared" ref="AL49:AL95" si="56">CA49&amp;CB49&amp;CC49&amp;CD49</f>
        <v/>
      </c>
      <c r="CA49" s="191" t="str">
        <f t="shared" ref="CA49:CA73" si="57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8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9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60">IF(AND(E49&gt;0,OR(AK49=""))," * No olvide digitar la variable Migrantes Mujeres. Digite Cero si no tiene.",IF(AK49&gt;E49," * La variable Migrantes Mujeres no puede ser Mayor al Total Mujeres.",""))</f>
        <v/>
      </c>
      <c r="DK49" s="1048">
        <f t="shared" si="49"/>
        <v>0</v>
      </c>
      <c r="DL49" s="1048">
        <f t="shared" si="50"/>
        <v>0</v>
      </c>
      <c r="DM49" s="1048">
        <f t="shared" si="51"/>
        <v>0</v>
      </c>
      <c r="DN49" s="1048">
        <f t="shared" si="52"/>
        <v>0</v>
      </c>
    </row>
    <row r="50" spans="1:118" ht="15" customHeight="1" x14ac:dyDescent="0.15">
      <c r="A50" s="1953" t="s">
        <v>537</v>
      </c>
      <c r="B50" s="1954"/>
      <c r="C50" s="1143">
        <f>SUM(D50:E50)</f>
        <v>24</v>
      </c>
      <c r="D50" s="387">
        <f>+F50+H50+J50+L50+N50+P50+R50+T50+V50+X50+Z50+AB50+AD50+AF50</f>
        <v>13</v>
      </c>
      <c r="E50" s="454">
        <f>+G50+I50+K50+M50+O50+Q50+S50+U50+W50+Y50+AA50+AC50+AE50+AG50</f>
        <v>11</v>
      </c>
      <c r="F50" s="398">
        <v>0</v>
      </c>
      <c r="G50" s="399">
        <v>0</v>
      </c>
      <c r="H50" s="398">
        <v>0</v>
      </c>
      <c r="I50" s="399">
        <v>0</v>
      </c>
      <c r="J50" s="398">
        <v>0</v>
      </c>
      <c r="K50" s="399">
        <v>0</v>
      </c>
      <c r="L50" s="398">
        <v>0</v>
      </c>
      <c r="M50" s="399">
        <v>0</v>
      </c>
      <c r="N50" s="398">
        <v>0</v>
      </c>
      <c r="O50" s="399">
        <v>1</v>
      </c>
      <c r="P50" s="398">
        <v>0</v>
      </c>
      <c r="Q50" s="399">
        <v>0</v>
      </c>
      <c r="R50" s="398">
        <v>1</v>
      </c>
      <c r="S50" s="399">
        <v>1</v>
      </c>
      <c r="T50" s="398">
        <v>3</v>
      </c>
      <c r="U50" s="399">
        <v>0</v>
      </c>
      <c r="V50" s="398">
        <v>0</v>
      </c>
      <c r="W50" s="399">
        <v>2</v>
      </c>
      <c r="X50" s="398">
        <v>3</v>
      </c>
      <c r="Y50" s="399">
        <v>3</v>
      </c>
      <c r="Z50" s="398">
        <v>1</v>
      </c>
      <c r="AA50" s="399">
        <v>1</v>
      </c>
      <c r="AB50" s="398">
        <v>1</v>
      </c>
      <c r="AC50" s="399">
        <v>1</v>
      </c>
      <c r="AD50" s="398">
        <v>1</v>
      </c>
      <c r="AE50" s="399">
        <v>2</v>
      </c>
      <c r="AF50" s="465">
        <v>3</v>
      </c>
      <c r="AG50" s="407">
        <v>0</v>
      </c>
      <c r="AH50" s="468">
        <v>9</v>
      </c>
      <c r="AI50" s="418">
        <v>8</v>
      </c>
      <c r="AJ50" s="468">
        <v>0</v>
      </c>
      <c r="AK50" s="418">
        <v>0</v>
      </c>
      <c r="AL50" s="107" t="str">
        <f t="shared" si="56"/>
        <v/>
      </c>
      <c r="CA50" s="191" t="str">
        <f t="shared" si="57"/>
        <v/>
      </c>
      <c r="CB50" s="191" t="str">
        <f t="shared" si="58"/>
        <v/>
      </c>
      <c r="CC50" s="191" t="str">
        <f t="shared" si="59"/>
        <v/>
      </c>
      <c r="CD50" s="191" t="str">
        <f t="shared" si="60"/>
        <v/>
      </c>
      <c r="DK50" s="1048">
        <f t="shared" si="49"/>
        <v>0</v>
      </c>
      <c r="DL50" s="1048">
        <f t="shared" si="50"/>
        <v>0</v>
      </c>
      <c r="DM50" s="1048">
        <f t="shared" si="51"/>
        <v>0</v>
      </c>
      <c r="DN50" s="1048">
        <f t="shared" si="52"/>
        <v>0</v>
      </c>
    </row>
    <row r="51" spans="1:118" ht="15" customHeight="1" x14ac:dyDescent="0.15">
      <c r="A51" s="1953" t="s">
        <v>538</v>
      </c>
      <c r="B51" s="1954"/>
      <c r="C51" s="1143">
        <f t="shared" si="53"/>
        <v>1</v>
      </c>
      <c r="D51" s="387">
        <f t="shared" si="54"/>
        <v>1</v>
      </c>
      <c r="E51" s="454">
        <f t="shared" si="55"/>
        <v>0</v>
      </c>
      <c r="F51" s="398">
        <v>0</v>
      </c>
      <c r="G51" s="399">
        <v>0</v>
      </c>
      <c r="H51" s="398">
        <v>0</v>
      </c>
      <c r="I51" s="399">
        <v>0</v>
      </c>
      <c r="J51" s="398">
        <v>0</v>
      </c>
      <c r="K51" s="399">
        <v>0</v>
      </c>
      <c r="L51" s="398">
        <v>0</v>
      </c>
      <c r="M51" s="399">
        <v>0</v>
      </c>
      <c r="N51" s="398">
        <v>0</v>
      </c>
      <c r="O51" s="399">
        <v>0</v>
      </c>
      <c r="P51" s="398">
        <v>0</v>
      </c>
      <c r="Q51" s="399">
        <v>0</v>
      </c>
      <c r="R51" s="398">
        <v>0</v>
      </c>
      <c r="S51" s="399">
        <v>0</v>
      </c>
      <c r="T51" s="398">
        <v>0</v>
      </c>
      <c r="U51" s="399">
        <v>0</v>
      </c>
      <c r="V51" s="398">
        <v>0</v>
      </c>
      <c r="W51" s="399">
        <v>0</v>
      </c>
      <c r="X51" s="398">
        <v>0</v>
      </c>
      <c r="Y51" s="399">
        <v>0</v>
      </c>
      <c r="Z51" s="398">
        <v>0</v>
      </c>
      <c r="AA51" s="399">
        <v>0</v>
      </c>
      <c r="AB51" s="398">
        <v>0</v>
      </c>
      <c r="AC51" s="399">
        <v>0</v>
      </c>
      <c r="AD51" s="398">
        <v>1</v>
      </c>
      <c r="AE51" s="399">
        <v>0</v>
      </c>
      <c r="AF51" s="465">
        <v>0</v>
      </c>
      <c r="AG51" s="407">
        <v>0</v>
      </c>
      <c r="AH51" s="468">
        <v>1</v>
      </c>
      <c r="AI51" s="418">
        <v>0</v>
      </c>
      <c r="AJ51" s="468">
        <v>0</v>
      </c>
      <c r="AK51" s="418">
        <v>0</v>
      </c>
      <c r="AL51" s="107" t="str">
        <f t="shared" si="56"/>
        <v/>
      </c>
      <c r="CA51" s="191" t="str">
        <f t="shared" si="57"/>
        <v/>
      </c>
      <c r="CB51" s="191" t="str">
        <f t="shared" si="58"/>
        <v/>
      </c>
      <c r="CC51" s="191" t="str">
        <f t="shared" si="59"/>
        <v/>
      </c>
      <c r="CD51" s="191" t="str">
        <f t="shared" si="60"/>
        <v/>
      </c>
      <c r="DK51" s="1048">
        <f t="shared" si="49"/>
        <v>0</v>
      </c>
      <c r="DL51" s="1048">
        <f t="shared" si="50"/>
        <v>0</v>
      </c>
      <c r="DM51" s="1048">
        <f t="shared" si="51"/>
        <v>0</v>
      </c>
      <c r="DN51" s="1048">
        <f t="shared" si="52"/>
        <v>0</v>
      </c>
    </row>
    <row r="52" spans="1:118" ht="15" customHeight="1" x14ac:dyDescent="0.15">
      <c r="A52" s="1962" t="s">
        <v>539</v>
      </c>
      <c r="B52" s="1963"/>
      <c r="C52" s="1302">
        <f t="shared" si="53"/>
        <v>0</v>
      </c>
      <c r="D52" s="389">
        <f t="shared" si="54"/>
        <v>0</v>
      </c>
      <c r="E52" s="870">
        <f t="shared" si="55"/>
        <v>0</v>
      </c>
      <c r="F52" s="398">
        <v>0</v>
      </c>
      <c r="G52" s="399">
        <v>0</v>
      </c>
      <c r="H52" s="398">
        <v>0</v>
      </c>
      <c r="I52" s="399">
        <v>0</v>
      </c>
      <c r="J52" s="398">
        <v>0</v>
      </c>
      <c r="K52" s="399">
        <v>0</v>
      </c>
      <c r="L52" s="398">
        <v>0</v>
      </c>
      <c r="M52" s="399">
        <v>0</v>
      </c>
      <c r="N52" s="398">
        <v>0</v>
      </c>
      <c r="O52" s="399">
        <v>0</v>
      </c>
      <c r="P52" s="398">
        <v>0</v>
      </c>
      <c r="Q52" s="399">
        <v>0</v>
      </c>
      <c r="R52" s="398">
        <v>0</v>
      </c>
      <c r="S52" s="399">
        <v>0</v>
      </c>
      <c r="T52" s="398">
        <v>0</v>
      </c>
      <c r="U52" s="399">
        <v>0</v>
      </c>
      <c r="V52" s="398">
        <v>0</v>
      </c>
      <c r="W52" s="399">
        <v>0</v>
      </c>
      <c r="X52" s="398">
        <v>0</v>
      </c>
      <c r="Y52" s="399">
        <v>0</v>
      </c>
      <c r="Z52" s="398">
        <v>0</v>
      </c>
      <c r="AA52" s="399">
        <v>0</v>
      </c>
      <c r="AB52" s="398">
        <v>0</v>
      </c>
      <c r="AC52" s="399">
        <v>0</v>
      </c>
      <c r="AD52" s="398">
        <v>0</v>
      </c>
      <c r="AE52" s="399">
        <v>0</v>
      </c>
      <c r="AF52" s="465">
        <v>0</v>
      </c>
      <c r="AG52" s="407">
        <v>0</v>
      </c>
      <c r="AH52" s="468">
        <v>0</v>
      </c>
      <c r="AI52" s="418">
        <v>0</v>
      </c>
      <c r="AJ52" s="468">
        <v>0</v>
      </c>
      <c r="AK52" s="418">
        <v>0</v>
      </c>
      <c r="AL52" s="107" t="str">
        <f t="shared" si="56"/>
        <v/>
      </c>
      <c r="CA52" s="191" t="str">
        <f t="shared" si="57"/>
        <v/>
      </c>
      <c r="CB52" s="191" t="str">
        <f t="shared" si="58"/>
        <v/>
      </c>
      <c r="CC52" s="191" t="str">
        <f t="shared" si="59"/>
        <v/>
      </c>
      <c r="CD52" s="191" t="str">
        <f t="shared" si="60"/>
        <v/>
      </c>
      <c r="DK52" s="1048">
        <f t="shared" si="49"/>
        <v>0</v>
      </c>
      <c r="DL52" s="1048">
        <f t="shared" si="50"/>
        <v>0</v>
      </c>
      <c r="DM52" s="1048">
        <f t="shared" si="51"/>
        <v>0</v>
      </c>
      <c r="DN52" s="1048">
        <f t="shared" si="52"/>
        <v>0</v>
      </c>
    </row>
    <row r="53" spans="1:118" ht="15" customHeight="1" x14ac:dyDescent="0.15">
      <c r="A53" s="1962" t="s">
        <v>540</v>
      </c>
      <c r="B53" s="1963"/>
      <c r="C53" s="1148">
        <f t="shared" si="53"/>
        <v>6</v>
      </c>
      <c r="D53" s="397">
        <f t="shared" si="54"/>
        <v>3</v>
      </c>
      <c r="E53" s="448">
        <f t="shared" si="55"/>
        <v>3</v>
      </c>
      <c r="F53" s="398">
        <v>0</v>
      </c>
      <c r="G53" s="399">
        <v>0</v>
      </c>
      <c r="H53" s="398">
        <v>0</v>
      </c>
      <c r="I53" s="399">
        <v>0</v>
      </c>
      <c r="J53" s="398">
        <v>0</v>
      </c>
      <c r="K53" s="399">
        <v>0</v>
      </c>
      <c r="L53" s="398">
        <v>0</v>
      </c>
      <c r="M53" s="399">
        <v>0</v>
      </c>
      <c r="N53" s="398">
        <v>0</v>
      </c>
      <c r="O53" s="399">
        <v>1</v>
      </c>
      <c r="P53" s="398">
        <v>0</v>
      </c>
      <c r="Q53" s="399">
        <v>0</v>
      </c>
      <c r="R53" s="398">
        <v>1</v>
      </c>
      <c r="S53" s="399">
        <v>1</v>
      </c>
      <c r="T53" s="398">
        <v>0</v>
      </c>
      <c r="U53" s="399">
        <v>0</v>
      </c>
      <c r="V53" s="398">
        <v>0</v>
      </c>
      <c r="W53" s="399">
        <v>0</v>
      </c>
      <c r="X53" s="398">
        <v>1</v>
      </c>
      <c r="Y53" s="399">
        <v>0</v>
      </c>
      <c r="Z53" s="398">
        <v>0</v>
      </c>
      <c r="AA53" s="399">
        <v>0</v>
      </c>
      <c r="AB53" s="398">
        <v>0</v>
      </c>
      <c r="AC53" s="399">
        <v>1</v>
      </c>
      <c r="AD53" s="398">
        <v>0</v>
      </c>
      <c r="AE53" s="399">
        <v>0</v>
      </c>
      <c r="AF53" s="465">
        <v>1</v>
      </c>
      <c r="AG53" s="407">
        <v>0</v>
      </c>
      <c r="AH53" s="468">
        <v>3</v>
      </c>
      <c r="AI53" s="418">
        <v>2</v>
      </c>
      <c r="AJ53" s="468">
        <v>0</v>
      </c>
      <c r="AK53" s="418">
        <v>0</v>
      </c>
      <c r="AL53" s="107" t="str">
        <f t="shared" si="56"/>
        <v/>
      </c>
      <c r="CA53" s="191" t="str">
        <f t="shared" si="57"/>
        <v/>
      </c>
      <c r="CB53" s="191" t="str">
        <f t="shared" si="58"/>
        <v/>
      </c>
      <c r="CC53" s="191" t="str">
        <f t="shared" si="59"/>
        <v/>
      </c>
      <c r="CD53" s="191" t="str">
        <f t="shared" si="60"/>
        <v/>
      </c>
      <c r="DK53" s="1048">
        <f t="shared" si="49"/>
        <v>0</v>
      </c>
      <c r="DL53" s="1048">
        <f t="shared" si="50"/>
        <v>0</v>
      </c>
      <c r="DM53" s="1048">
        <f t="shared" si="51"/>
        <v>0</v>
      </c>
      <c r="DN53" s="1048">
        <f t="shared" si="52"/>
        <v>0</v>
      </c>
    </row>
    <row r="54" spans="1:118" ht="15" customHeight="1" x14ac:dyDescent="0.15">
      <c r="A54" s="1962" t="s">
        <v>541</v>
      </c>
      <c r="B54" s="1963"/>
      <c r="C54" s="1148">
        <f t="shared" si="53"/>
        <v>5</v>
      </c>
      <c r="D54" s="397">
        <f t="shared" si="54"/>
        <v>2</v>
      </c>
      <c r="E54" s="448">
        <f t="shared" si="55"/>
        <v>3</v>
      </c>
      <c r="F54" s="398">
        <v>0</v>
      </c>
      <c r="G54" s="399">
        <v>0</v>
      </c>
      <c r="H54" s="398">
        <v>0</v>
      </c>
      <c r="I54" s="399">
        <v>0</v>
      </c>
      <c r="J54" s="398">
        <v>0</v>
      </c>
      <c r="K54" s="399">
        <v>0</v>
      </c>
      <c r="L54" s="398">
        <v>0</v>
      </c>
      <c r="M54" s="399">
        <v>0</v>
      </c>
      <c r="N54" s="398">
        <v>0</v>
      </c>
      <c r="O54" s="399">
        <v>0</v>
      </c>
      <c r="P54" s="398">
        <v>0</v>
      </c>
      <c r="Q54" s="399">
        <v>0</v>
      </c>
      <c r="R54" s="398">
        <v>0</v>
      </c>
      <c r="S54" s="399">
        <v>0</v>
      </c>
      <c r="T54" s="398">
        <v>1</v>
      </c>
      <c r="U54" s="399">
        <v>0</v>
      </c>
      <c r="V54" s="398">
        <v>0</v>
      </c>
      <c r="W54" s="399">
        <v>1</v>
      </c>
      <c r="X54" s="398">
        <v>1</v>
      </c>
      <c r="Y54" s="399">
        <v>2</v>
      </c>
      <c r="Z54" s="398">
        <v>0</v>
      </c>
      <c r="AA54" s="399">
        <v>0</v>
      </c>
      <c r="AB54" s="398">
        <v>0</v>
      </c>
      <c r="AC54" s="399">
        <v>0</v>
      </c>
      <c r="AD54" s="398">
        <v>0</v>
      </c>
      <c r="AE54" s="399">
        <v>0</v>
      </c>
      <c r="AF54" s="465">
        <v>0</v>
      </c>
      <c r="AG54" s="407">
        <v>0</v>
      </c>
      <c r="AH54" s="468">
        <v>1</v>
      </c>
      <c r="AI54" s="418">
        <v>2</v>
      </c>
      <c r="AJ54" s="468">
        <v>0</v>
      </c>
      <c r="AK54" s="418">
        <v>0</v>
      </c>
      <c r="AL54" s="107" t="str">
        <f t="shared" si="56"/>
        <v/>
      </c>
      <c r="CA54" s="191" t="str">
        <f t="shared" si="57"/>
        <v/>
      </c>
      <c r="CB54" s="191" t="str">
        <f t="shared" si="58"/>
        <v/>
      </c>
      <c r="CC54" s="191" t="str">
        <f t="shared" si="59"/>
        <v/>
      </c>
      <c r="CD54" s="191" t="str">
        <f t="shared" si="60"/>
        <v/>
      </c>
      <c r="DK54" s="1048">
        <f t="shared" si="49"/>
        <v>0</v>
      </c>
      <c r="DL54" s="1048">
        <f t="shared" si="50"/>
        <v>0</v>
      </c>
      <c r="DM54" s="1048">
        <f t="shared" si="51"/>
        <v>0</v>
      </c>
      <c r="DN54" s="1048">
        <f t="shared" si="52"/>
        <v>0</v>
      </c>
    </row>
    <row r="55" spans="1:118" ht="15" customHeight="1" x14ac:dyDescent="0.15">
      <c r="A55" s="1962" t="s">
        <v>542</v>
      </c>
      <c r="B55" s="1963"/>
      <c r="C55" s="1143">
        <f t="shared" si="53"/>
        <v>2</v>
      </c>
      <c r="D55" s="387">
        <f t="shared" si="54"/>
        <v>0</v>
      </c>
      <c r="E55" s="454">
        <f t="shared" si="55"/>
        <v>2</v>
      </c>
      <c r="F55" s="417">
        <v>0</v>
      </c>
      <c r="G55" s="418">
        <v>0</v>
      </c>
      <c r="H55" s="417">
        <v>0</v>
      </c>
      <c r="I55" s="418">
        <v>0</v>
      </c>
      <c r="J55" s="417">
        <v>0</v>
      </c>
      <c r="K55" s="418">
        <v>0</v>
      </c>
      <c r="L55" s="417">
        <v>0</v>
      </c>
      <c r="M55" s="418">
        <v>0</v>
      </c>
      <c r="N55" s="417">
        <v>0</v>
      </c>
      <c r="O55" s="418">
        <v>0</v>
      </c>
      <c r="P55" s="417">
        <v>0</v>
      </c>
      <c r="Q55" s="418">
        <v>0</v>
      </c>
      <c r="R55" s="417">
        <v>0</v>
      </c>
      <c r="S55" s="418">
        <v>0</v>
      </c>
      <c r="T55" s="417">
        <v>0</v>
      </c>
      <c r="U55" s="418">
        <v>0</v>
      </c>
      <c r="V55" s="417">
        <v>0</v>
      </c>
      <c r="W55" s="418">
        <v>1</v>
      </c>
      <c r="X55" s="417">
        <v>0</v>
      </c>
      <c r="Y55" s="418">
        <v>1</v>
      </c>
      <c r="Z55" s="417">
        <v>0</v>
      </c>
      <c r="AA55" s="418">
        <v>0</v>
      </c>
      <c r="AB55" s="417">
        <v>0</v>
      </c>
      <c r="AC55" s="418">
        <v>0</v>
      </c>
      <c r="AD55" s="417">
        <v>0</v>
      </c>
      <c r="AE55" s="418">
        <v>0</v>
      </c>
      <c r="AF55" s="468">
        <v>0</v>
      </c>
      <c r="AG55" s="419">
        <v>0</v>
      </c>
      <c r="AH55" s="468">
        <v>0</v>
      </c>
      <c r="AI55" s="418">
        <v>2</v>
      </c>
      <c r="AJ55" s="468">
        <v>0</v>
      </c>
      <c r="AK55" s="418">
        <v>0</v>
      </c>
      <c r="AL55" s="107" t="str">
        <f t="shared" si="56"/>
        <v/>
      </c>
      <c r="CA55" s="191" t="str">
        <f t="shared" si="57"/>
        <v/>
      </c>
      <c r="CB55" s="191" t="str">
        <f t="shared" si="58"/>
        <v/>
      </c>
      <c r="CC55" s="191" t="str">
        <f t="shared" si="59"/>
        <v/>
      </c>
      <c r="CD55" s="191" t="str">
        <f t="shared" si="60"/>
        <v/>
      </c>
      <c r="DK55" s="1048">
        <f t="shared" si="49"/>
        <v>0</v>
      </c>
      <c r="DL55" s="1048">
        <f t="shared" si="50"/>
        <v>0</v>
      </c>
      <c r="DM55" s="1048">
        <f t="shared" si="51"/>
        <v>0</v>
      </c>
      <c r="DN55" s="1048">
        <f t="shared" si="52"/>
        <v>0</v>
      </c>
    </row>
    <row r="56" spans="1:118" ht="15" customHeight="1" x14ac:dyDescent="0.15">
      <c r="A56" s="2006" t="s">
        <v>543</v>
      </c>
      <c r="B56" s="2007"/>
      <c r="C56" s="1148">
        <f t="shared" si="53"/>
        <v>8</v>
      </c>
      <c r="D56" s="397">
        <f t="shared" si="54"/>
        <v>3</v>
      </c>
      <c r="E56" s="448">
        <f t="shared" si="55"/>
        <v>5</v>
      </c>
      <c r="F56" s="398">
        <v>0</v>
      </c>
      <c r="G56" s="399">
        <v>0</v>
      </c>
      <c r="H56" s="398">
        <v>0</v>
      </c>
      <c r="I56" s="399">
        <v>0</v>
      </c>
      <c r="J56" s="398">
        <v>0</v>
      </c>
      <c r="K56" s="399">
        <v>0</v>
      </c>
      <c r="L56" s="398">
        <v>0</v>
      </c>
      <c r="M56" s="399">
        <v>0</v>
      </c>
      <c r="N56" s="398">
        <v>0</v>
      </c>
      <c r="O56" s="399">
        <v>0</v>
      </c>
      <c r="P56" s="398">
        <v>0</v>
      </c>
      <c r="Q56" s="399">
        <v>0</v>
      </c>
      <c r="R56" s="398">
        <v>0</v>
      </c>
      <c r="S56" s="399">
        <v>0</v>
      </c>
      <c r="T56" s="398">
        <v>1</v>
      </c>
      <c r="U56" s="399">
        <v>0</v>
      </c>
      <c r="V56" s="398">
        <v>0</v>
      </c>
      <c r="W56" s="399">
        <v>1</v>
      </c>
      <c r="X56" s="398">
        <v>1</v>
      </c>
      <c r="Y56" s="399">
        <v>2</v>
      </c>
      <c r="Z56" s="398">
        <v>0</v>
      </c>
      <c r="AA56" s="399">
        <v>0</v>
      </c>
      <c r="AB56" s="398">
        <v>0</v>
      </c>
      <c r="AC56" s="399">
        <v>1</v>
      </c>
      <c r="AD56" s="398">
        <v>0</v>
      </c>
      <c r="AE56" s="399">
        <v>1</v>
      </c>
      <c r="AF56" s="465">
        <v>1</v>
      </c>
      <c r="AG56" s="407">
        <v>0</v>
      </c>
      <c r="AH56" s="468">
        <v>3</v>
      </c>
      <c r="AI56" s="418">
        <v>2</v>
      </c>
      <c r="AJ56" s="468">
        <v>0</v>
      </c>
      <c r="AK56" s="418">
        <v>0</v>
      </c>
      <c r="AL56" s="107" t="str">
        <f t="shared" si="56"/>
        <v/>
      </c>
      <c r="CA56" s="191" t="str">
        <f t="shared" si="57"/>
        <v/>
      </c>
      <c r="CB56" s="191" t="str">
        <f t="shared" si="58"/>
        <v/>
      </c>
      <c r="CC56" s="191" t="str">
        <f t="shared" si="59"/>
        <v/>
      </c>
      <c r="CD56" s="191" t="str">
        <f t="shared" si="60"/>
        <v/>
      </c>
      <c r="DK56" s="1048">
        <f t="shared" si="49"/>
        <v>0</v>
      </c>
      <c r="DL56" s="1048">
        <f t="shared" si="50"/>
        <v>0</v>
      </c>
      <c r="DM56" s="1048">
        <f t="shared" si="51"/>
        <v>0</v>
      </c>
      <c r="DN56" s="1048">
        <f t="shared" si="52"/>
        <v>0</v>
      </c>
    </row>
    <row r="57" spans="1:118" ht="15" customHeight="1" x14ac:dyDescent="0.15">
      <c r="A57" s="2006" t="s">
        <v>529</v>
      </c>
      <c r="B57" s="2007"/>
      <c r="C57" s="1143">
        <f>SUM(D57:E57)</f>
        <v>1</v>
      </c>
      <c r="D57" s="387">
        <f t="shared" ref="D57" si="61">+F57+H57+J57+L57+N57+P57+R57+T57+V57+X57+Z57+AB57+AD57+AF57</f>
        <v>1</v>
      </c>
      <c r="E57" s="454">
        <f t="shared" ref="E57" si="62">+G57+I57+K57+M57+O57+Q57+S57+U57+W57+Y57+AA57+AC57+AE57+AG57</f>
        <v>0</v>
      </c>
      <c r="F57" s="417">
        <v>0</v>
      </c>
      <c r="G57" s="418">
        <v>0</v>
      </c>
      <c r="H57" s="417">
        <v>0</v>
      </c>
      <c r="I57" s="418">
        <v>0</v>
      </c>
      <c r="J57" s="417">
        <v>0</v>
      </c>
      <c r="K57" s="418">
        <v>0</v>
      </c>
      <c r="L57" s="417">
        <v>0</v>
      </c>
      <c r="M57" s="418">
        <v>0</v>
      </c>
      <c r="N57" s="417">
        <v>0</v>
      </c>
      <c r="O57" s="418">
        <v>0</v>
      </c>
      <c r="P57" s="417">
        <v>0</v>
      </c>
      <c r="Q57" s="418">
        <v>0</v>
      </c>
      <c r="R57" s="417">
        <v>0</v>
      </c>
      <c r="S57" s="418">
        <v>0</v>
      </c>
      <c r="T57" s="417">
        <v>1</v>
      </c>
      <c r="U57" s="418">
        <v>0</v>
      </c>
      <c r="V57" s="417">
        <v>0</v>
      </c>
      <c r="W57" s="418">
        <v>0</v>
      </c>
      <c r="X57" s="417">
        <v>0</v>
      </c>
      <c r="Y57" s="418">
        <v>0</v>
      </c>
      <c r="Z57" s="417">
        <v>0</v>
      </c>
      <c r="AA57" s="418">
        <v>0</v>
      </c>
      <c r="AB57" s="417">
        <v>0</v>
      </c>
      <c r="AC57" s="418">
        <v>0</v>
      </c>
      <c r="AD57" s="417">
        <v>0</v>
      </c>
      <c r="AE57" s="418">
        <v>0</v>
      </c>
      <c r="AF57" s="468">
        <v>0</v>
      </c>
      <c r="AG57" s="419">
        <v>0</v>
      </c>
      <c r="AH57" s="468">
        <v>1</v>
      </c>
      <c r="AI57" s="418">
        <v>0</v>
      </c>
      <c r="AJ57" s="468">
        <v>0</v>
      </c>
      <c r="AK57" s="418">
        <v>0</v>
      </c>
      <c r="AL57" s="107" t="str">
        <f t="shared" si="56"/>
        <v/>
      </c>
      <c r="CA57" s="191" t="str">
        <f t="shared" si="57"/>
        <v/>
      </c>
      <c r="CB57" s="191" t="str">
        <f t="shared" si="58"/>
        <v/>
      </c>
      <c r="CC57" s="191" t="str">
        <f t="shared" si="59"/>
        <v/>
      </c>
      <c r="CD57" s="191" t="str">
        <f t="shared" si="60"/>
        <v/>
      </c>
      <c r="DK57" s="1048">
        <f t="shared" si="49"/>
        <v>0</v>
      </c>
      <c r="DL57" s="1048">
        <f t="shared" si="50"/>
        <v>0</v>
      </c>
      <c r="DM57" s="1048">
        <f t="shared" si="51"/>
        <v>0</v>
      </c>
      <c r="DN57" s="1048">
        <f t="shared" si="52"/>
        <v>0</v>
      </c>
    </row>
    <row r="58" spans="1:118" ht="15" customHeight="1" x14ac:dyDescent="0.15">
      <c r="A58" s="1967" t="s">
        <v>544</v>
      </c>
      <c r="B58" s="1968"/>
      <c r="C58" s="1143">
        <f t="shared" si="53"/>
        <v>0</v>
      </c>
      <c r="D58" s="387">
        <f>+F58+H58+J58+L58+N58+P58+R58+T58+V58+X58+Z58+AB58+AD58+AF58</f>
        <v>0</v>
      </c>
      <c r="E58" s="443">
        <f>+G58+I58+K58+M58+O58+Q58+S58+U58+W58+Y58+AA58+AC58+AE58+AG58</f>
        <v>0</v>
      </c>
      <c r="F58" s="417">
        <v>0</v>
      </c>
      <c r="G58" s="418">
        <v>0</v>
      </c>
      <c r="H58" s="417">
        <v>0</v>
      </c>
      <c r="I58" s="418">
        <v>0</v>
      </c>
      <c r="J58" s="417">
        <v>0</v>
      </c>
      <c r="K58" s="418">
        <v>0</v>
      </c>
      <c r="L58" s="417">
        <v>0</v>
      </c>
      <c r="M58" s="418">
        <v>0</v>
      </c>
      <c r="N58" s="417">
        <v>0</v>
      </c>
      <c r="O58" s="418">
        <v>0</v>
      </c>
      <c r="P58" s="417">
        <v>0</v>
      </c>
      <c r="Q58" s="418">
        <v>0</v>
      </c>
      <c r="R58" s="417">
        <v>0</v>
      </c>
      <c r="S58" s="418">
        <v>0</v>
      </c>
      <c r="T58" s="417">
        <v>0</v>
      </c>
      <c r="U58" s="418">
        <v>0</v>
      </c>
      <c r="V58" s="417">
        <v>0</v>
      </c>
      <c r="W58" s="418">
        <v>0</v>
      </c>
      <c r="X58" s="417">
        <v>0</v>
      </c>
      <c r="Y58" s="418">
        <v>0</v>
      </c>
      <c r="Z58" s="417">
        <v>0</v>
      </c>
      <c r="AA58" s="418">
        <v>0</v>
      </c>
      <c r="AB58" s="417">
        <v>0</v>
      </c>
      <c r="AC58" s="418">
        <v>0</v>
      </c>
      <c r="AD58" s="417">
        <v>0</v>
      </c>
      <c r="AE58" s="418">
        <v>0</v>
      </c>
      <c r="AF58" s="468">
        <v>0</v>
      </c>
      <c r="AG58" s="419">
        <v>0</v>
      </c>
      <c r="AH58" s="468">
        <v>0</v>
      </c>
      <c r="AI58" s="418">
        <v>0</v>
      </c>
      <c r="AJ58" s="468">
        <v>0</v>
      </c>
      <c r="AK58" s="418">
        <v>0</v>
      </c>
      <c r="AL58" s="107" t="str">
        <f t="shared" si="56"/>
        <v/>
      </c>
      <c r="CA58" s="191" t="str">
        <f t="shared" si="57"/>
        <v/>
      </c>
      <c r="CB58" s="191" t="str">
        <f t="shared" si="58"/>
        <v/>
      </c>
      <c r="CC58" s="191" t="str">
        <f t="shared" si="59"/>
        <v/>
      </c>
      <c r="CD58" s="191" t="str">
        <f t="shared" si="60"/>
        <v/>
      </c>
      <c r="DK58" s="1048">
        <f t="shared" si="49"/>
        <v>0</v>
      </c>
      <c r="DL58" s="1048">
        <f t="shared" si="50"/>
        <v>0</v>
      </c>
      <c r="DM58" s="1048">
        <f t="shared" si="51"/>
        <v>0</v>
      </c>
      <c r="DN58" s="1048">
        <f t="shared" si="52"/>
        <v>0</v>
      </c>
    </row>
    <row r="59" spans="1:118" ht="15" customHeight="1" x14ac:dyDescent="0.15">
      <c r="A59" s="2006" t="s">
        <v>545</v>
      </c>
      <c r="B59" s="2007"/>
      <c r="C59" s="1302">
        <f t="shared" si="53"/>
        <v>26</v>
      </c>
      <c r="D59" s="389">
        <f t="shared" si="54"/>
        <v>13</v>
      </c>
      <c r="E59" s="884">
        <f t="shared" si="55"/>
        <v>13</v>
      </c>
      <c r="F59" s="408">
        <v>0</v>
      </c>
      <c r="G59" s="409">
        <v>0</v>
      </c>
      <c r="H59" s="408">
        <v>0</v>
      </c>
      <c r="I59" s="409">
        <v>0</v>
      </c>
      <c r="J59" s="408">
        <v>0</v>
      </c>
      <c r="K59" s="409">
        <v>0</v>
      </c>
      <c r="L59" s="408">
        <v>0</v>
      </c>
      <c r="M59" s="409">
        <v>1</v>
      </c>
      <c r="N59" s="408">
        <v>0</v>
      </c>
      <c r="O59" s="409">
        <v>2</v>
      </c>
      <c r="P59" s="408">
        <v>0</v>
      </c>
      <c r="Q59" s="409">
        <v>0</v>
      </c>
      <c r="R59" s="408">
        <v>1</v>
      </c>
      <c r="S59" s="409">
        <v>1</v>
      </c>
      <c r="T59" s="408">
        <v>3</v>
      </c>
      <c r="U59" s="409">
        <v>0</v>
      </c>
      <c r="V59" s="408">
        <v>0</v>
      </c>
      <c r="W59" s="409">
        <v>2</v>
      </c>
      <c r="X59" s="408">
        <v>3</v>
      </c>
      <c r="Y59" s="409">
        <v>3</v>
      </c>
      <c r="Z59" s="408">
        <v>1</v>
      </c>
      <c r="AA59" s="409">
        <v>1</v>
      </c>
      <c r="AB59" s="408">
        <v>1</v>
      </c>
      <c r="AC59" s="409">
        <v>1</v>
      </c>
      <c r="AD59" s="408">
        <v>1</v>
      </c>
      <c r="AE59" s="409">
        <v>2</v>
      </c>
      <c r="AF59" s="660">
        <v>3</v>
      </c>
      <c r="AG59" s="410">
        <v>0</v>
      </c>
      <c r="AH59" s="660">
        <v>9</v>
      </c>
      <c r="AI59" s="409">
        <v>9</v>
      </c>
      <c r="AJ59" s="660">
        <v>0</v>
      </c>
      <c r="AK59" s="409">
        <v>0</v>
      </c>
      <c r="AL59" s="107" t="str">
        <f t="shared" si="56"/>
        <v/>
      </c>
      <c r="CA59" s="191" t="str">
        <f t="shared" si="57"/>
        <v/>
      </c>
      <c r="CB59" s="191" t="str">
        <f t="shared" si="58"/>
        <v/>
      </c>
      <c r="CC59" s="191" t="str">
        <f t="shared" si="59"/>
        <v/>
      </c>
      <c r="CD59" s="191" t="str">
        <f t="shared" si="60"/>
        <v/>
      </c>
      <c r="DK59" s="1048">
        <f t="shared" si="49"/>
        <v>0</v>
      </c>
      <c r="DL59" s="1048">
        <f t="shared" si="50"/>
        <v>0</v>
      </c>
      <c r="DM59" s="1048">
        <f t="shared" si="51"/>
        <v>0</v>
      </c>
      <c r="DN59" s="1048">
        <f t="shared" si="52"/>
        <v>0</v>
      </c>
    </row>
    <row r="60" spans="1:118" ht="15" customHeight="1" x14ac:dyDescent="0.15">
      <c r="A60" s="1951" t="s">
        <v>546</v>
      </c>
      <c r="B60" s="1952"/>
      <c r="C60" s="1144">
        <f>SUM(D60:E60)</f>
        <v>0</v>
      </c>
      <c r="D60" s="391">
        <f t="shared" ref="D60" si="63">+F60+H60+J60+L60+N60+P60+R60+T60+V60+X60+Z60+AB60+AD60+AF60</f>
        <v>0</v>
      </c>
      <c r="E60" s="446">
        <f t="shared" ref="E60" si="64">+G60+I60+K60+M60+O60+Q60+S60+U60+W60+Y60+AA60+AC60+AE60+AG60</f>
        <v>0</v>
      </c>
      <c r="F60" s="403">
        <v>0</v>
      </c>
      <c r="G60" s="404">
        <v>0</v>
      </c>
      <c r="H60" s="403">
        <v>0</v>
      </c>
      <c r="I60" s="404">
        <v>0</v>
      </c>
      <c r="J60" s="403">
        <v>0</v>
      </c>
      <c r="K60" s="404">
        <v>0</v>
      </c>
      <c r="L60" s="403">
        <v>0</v>
      </c>
      <c r="M60" s="404">
        <v>0</v>
      </c>
      <c r="N60" s="403">
        <v>0</v>
      </c>
      <c r="O60" s="404">
        <v>0</v>
      </c>
      <c r="P60" s="403">
        <v>0</v>
      </c>
      <c r="Q60" s="404">
        <v>0</v>
      </c>
      <c r="R60" s="403">
        <v>0</v>
      </c>
      <c r="S60" s="404">
        <v>0</v>
      </c>
      <c r="T60" s="403">
        <v>0</v>
      </c>
      <c r="U60" s="404">
        <v>0</v>
      </c>
      <c r="V60" s="403">
        <v>0</v>
      </c>
      <c r="W60" s="404">
        <v>0</v>
      </c>
      <c r="X60" s="403">
        <v>0</v>
      </c>
      <c r="Y60" s="404">
        <v>0</v>
      </c>
      <c r="Z60" s="403">
        <v>0</v>
      </c>
      <c r="AA60" s="404">
        <v>0</v>
      </c>
      <c r="AB60" s="403">
        <v>0</v>
      </c>
      <c r="AC60" s="404">
        <v>0</v>
      </c>
      <c r="AD60" s="403">
        <v>0</v>
      </c>
      <c r="AE60" s="404">
        <v>0</v>
      </c>
      <c r="AF60" s="464">
        <v>0</v>
      </c>
      <c r="AG60" s="431">
        <v>0</v>
      </c>
      <c r="AH60" s="464">
        <v>0</v>
      </c>
      <c r="AI60" s="404">
        <v>0</v>
      </c>
      <c r="AJ60" s="464">
        <v>0</v>
      </c>
      <c r="AK60" s="404">
        <v>0</v>
      </c>
      <c r="AL60" s="107" t="str">
        <f t="shared" si="56"/>
        <v/>
      </c>
      <c r="CA60" s="191" t="str">
        <f t="shared" si="57"/>
        <v/>
      </c>
      <c r="CB60" s="191" t="str">
        <f t="shared" si="58"/>
        <v/>
      </c>
      <c r="CC60" s="191" t="str">
        <f t="shared" si="59"/>
        <v/>
      </c>
      <c r="CD60" s="191" t="str">
        <f t="shared" si="60"/>
        <v/>
      </c>
      <c r="DK60" s="1048">
        <f t="shared" si="49"/>
        <v>0</v>
      </c>
      <c r="DL60" s="1048">
        <f t="shared" si="50"/>
        <v>0</v>
      </c>
      <c r="DM60" s="1048">
        <f t="shared" si="51"/>
        <v>0</v>
      </c>
      <c r="DN60" s="1048">
        <f t="shared" si="52"/>
        <v>0</v>
      </c>
    </row>
    <row r="61" spans="1:118" ht="15" customHeight="1" x14ac:dyDescent="0.15">
      <c r="A61" s="1948" t="s">
        <v>547</v>
      </c>
      <c r="B61" s="609" t="s">
        <v>548</v>
      </c>
      <c r="C61" s="1143">
        <f t="shared" si="53"/>
        <v>16</v>
      </c>
      <c r="D61" s="387">
        <f>+F61+H61+J61+L61+N61+P61+R61+T61+V61+X61+Z61+AB61+AD61+AF61</f>
        <v>7</v>
      </c>
      <c r="E61" s="454">
        <f>+G61+I61+K61+M61+O61+Q61+S61+U61+W61+Y61+AA61+AC61+AE61+AG61</f>
        <v>9</v>
      </c>
      <c r="F61" s="417">
        <v>0</v>
      </c>
      <c r="G61" s="418">
        <v>0</v>
      </c>
      <c r="H61" s="417">
        <v>0</v>
      </c>
      <c r="I61" s="418">
        <v>0</v>
      </c>
      <c r="J61" s="417">
        <v>0</v>
      </c>
      <c r="K61" s="418">
        <v>0</v>
      </c>
      <c r="L61" s="417">
        <v>0</v>
      </c>
      <c r="M61" s="418">
        <v>0</v>
      </c>
      <c r="N61" s="417">
        <v>0</v>
      </c>
      <c r="O61" s="418">
        <v>1</v>
      </c>
      <c r="P61" s="417">
        <v>0</v>
      </c>
      <c r="Q61" s="418">
        <v>0</v>
      </c>
      <c r="R61" s="417">
        <v>0</v>
      </c>
      <c r="S61" s="418">
        <v>1</v>
      </c>
      <c r="T61" s="417">
        <v>2</v>
      </c>
      <c r="U61" s="418">
        <v>0</v>
      </c>
      <c r="V61" s="417">
        <v>0</v>
      </c>
      <c r="W61" s="418">
        <v>2</v>
      </c>
      <c r="X61" s="417">
        <v>2</v>
      </c>
      <c r="Y61" s="418">
        <v>1</v>
      </c>
      <c r="Z61" s="417">
        <v>1</v>
      </c>
      <c r="AA61" s="418">
        <v>1</v>
      </c>
      <c r="AB61" s="417">
        <v>1</v>
      </c>
      <c r="AC61" s="418">
        <v>1</v>
      </c>
      <c r="AD61" s="417">
        <v>1</v>
      </c>
      <c r="AE61" s="418">
        <v>2</v>
      </c>
      <c r="AF61" s="468">
        <v>0</v>
      </c>
      <c r="AG61" s="419">
        <v>0</v>
      </c>
      <c r="AH61" s="468">
        <v>6</v>
      </c>
      <c r="AI61" s="418">
        <v>6</v>
      </c>
      <c r="AJ61" s="468">
        <v>0</v>
      </c>
      <c r="AK61" s="418">
        <v>0</v>
      </c>
      <c r="AL61" s="107" t="str">
        <f t="shared" si="56"/>
        <v/>
      </c>
      <c r="CA61" s="191" t="str">
        <f t="shared" si="57"/>
        <v/>
      </c>
      <c r="CB61" s="191" t="str">
        <f t="shared" si="58"/>
        <v/>
      </c>
      <c r="CC61" s="191" t="str">
        <f t="shared" si="59"/>
        <v/>
      </c>
      <c r="CD61" s="191" t="str">
        <f t="shared" si="60"/>
        <v/>
      </c>
      <c r="DK61" s="1048">
        <f t="shared" si="49"/>
        <v>0</v>
      </c>
      <c r="DL61" s="1048">
        <f t="shared" si="50"/>
        <v>0</v>
      </c>
      <c r="DM61" s="1048">
        <f t="shared" si="51"/>
        <v>0</v>
      </c>
      <c r="DN61" s="1048">
        <f t="shared" si="52"/>
        <v>0</v>
      </c>
    </row>
    <row r="62" spans="1:118" ht="15" customHeight="1" x14ac:dyDescent="0.15">
      <c r="A62" s="1948"/>
      <c r="B62" s="609" t="s">
        <v>549</v>
      </c>
      <c r="C62" s="1148">
        <f t="shared" si="53"/>
        <v>2</v>
      </c>
      <c r="D62" s="397">
        <f t="shared" si="54"/>
        <v>1</v>
      </c>
      <c r="E62" s="444">
        <f t="shared" si="55"/>
        <v>1</v>
      </c>
      <c r="F62" s="398">
        <v>0</v>
      </c>
      <c r="G62" s="399">
        <v>0</v>
      </c>
      <c r="H62" s="398">
        <v>0</v>
      </c>
      <c r="I62" s="399">
        <v>0</v>
      </c>
      <c r="J62" s="398">
        <v>0</v>
      </c>
      <c r="K62" s="399">
        <v>0</v>
      </c>
      <c r="L62" s="398">
        <v>0</v>
      </c>
      <c r="M62" s="399">
        <v>0</v>
      </c>
      <c r="N62" s="398">
        <v>0</v>
      </c>
      <c r="O62" s="399">
        <v>0</v>
      </c>
      <c r="P62" s="398">
        <v>0</v>
      </c>
      <c r="Q62" s="399">
        <v>0</v>
      </c>
      <c r="R62" s="398">
        <v>0</v>
      </c>
      <c r="S62" s="399">
        <v>0</v>
      </c>
      <c r="T62" s="398">
        <v>0</v>
      </c>
      <c r="U62" s="399">
        <v>0</v>
      </c>
      <c r="V62" s="398">
        <v>0</v>
      </c>
      <c r="W62" s="399">
        <v>0</v>
      </c>
      <c r="X62" s="398">
        <v>1</v>
      </c>
      <c r="Y62" s="399">
        <v>1</v>
      </c>
      <c r="Z62" s="398">
        <v>0</v>
      </c>
      <c r="AA62" s="399">
        <v>0</v>
      </c>
      <c r="AB62" s="398">
        <v>0</v>
      </c>
      <c r="AC62" s="399">
        <v>0</v>
      </c>
      <c r="AD62" s="398">
        <v>0</v>
      </c>
      <c r="AE62" s="399">
        <v>0</v>
      </c>
      <c r="AF62" s="465">
        <v>0</v>
      </c>
      <c r="AG62" s="407">
        <v>0</v>
      </c>
      <c r="AH62" s="468">
        <v>0</v>
      </c>
      <c r="AI62" s="418">
        <v>1</v>
      </c>
      <c r="AJ62" s="468">
        <v>0</v>
      </c>
      <c r="AK62" s="418">
        <v>0</v>
      </c>
      <c r="AL62" s="107" t="str">
        <f t="shared" si="56"/>
        <v/>
      </c>
      <c r="CA62" s="191" t="str">
        <f t="shared" si="57"/>
        <v/>
      </c>
      <c r="CB62" s="191" t="str">
        <f t="shared" si="58"/>
        <v/>
      </c>
      <c r="CC62" s="191" t="str">
        <f t="shared" si="59"/>
        <v/>
      </c>
      <c r="CD62" s="191" t="str">
        <f t="shared" si="60"/>
        <v/>
      </c>
      <c r="DK62" s="1048">
        <f t="shared" si="49"/>
        <v>0</v>
      </c>
      <c r="DL62" s="1048">
        <f t="shared" si="50"/>
        <v>0</v>
      </c>
      <c r="DM62" s="1048">
        <f t="shared" si="51"/>
        <v>0</v>
      </c>
      <c r="DN62" s="1048">
        <f t="shared" si="52"/>
        <v>0</v>
      </c>
    </row>
    <row r="63" spans="1:118" ht="15" customHeight="1" x14ac:dyDescent="0.15">
      <c r="A63" s="1948"/>
      <c r="B63" s="610" t="s">
        <v>550</v>
      </c>
      <c r="C63" s="1143">
        <f t="shared" si="53"/>
        <v>6</v>
      </c>
      <c r="D63" s="387">
        <f t="shared" si="54"/>
        <v>5</v>
      </c>
      <c r="E63" s="443">
        <f t="shared" si="55"/>
        <v>1</v>
      </c>
      <c r="F63" s="398">
        <v>0</v>
      </c>
      <c r="G63" s="399">
        <v>0</v>
      </c>
      <c r="H63" s="398">
        <v>0</v>
      </c>
      <c r="I63" s="399">
        <v>0</v>
      </c>
      <c r="J63" s="398">
        <v>0</v>
      </c>
      <c r="K63" s="399">
        <v>0</v>
      </c>
      <c r="L63" s="398">
        <v>0</v>
      </c>
      <c r="M63" s="399">
        <v>0</v>
      </c>
      <c r="N63" s="398">
        <v>0</v>
      </c>
      <c r="O63" s="399">
        <v>0</v>
      </c>
      <c r="P63" s="398">
        <v>0</v>
      </c>
      <c r="Q63" s="399">
        <v>0</v>
      </c>
      <c r="R63" s="398">
        <v>1</v>
      </c>
      <c r="S63" s="399">
        <v>0</v>
      </c>
      <c r="T63" s="398">
        <v>1</v>
      </c>
      <c r="U63" s="399">
        <v>0</v>
      </c>
      <c r="V63" s="398">
        <v>0</v>
      </c>
      <c r="W63" s="399">
        <v>0</v>
      </c>
      <c r="X63" s="398">
        <v>0</v>
      </c>
      <c r="Y63" s="399">
        <v>1</v>
      </c>
      <c r="Z63" s="398">
        <v>0</v>
      </c>
      <c r="AA63" s="399">
        <v>0</v>
      </c>
      <c r="AB63" s="398">
        <v>0</v>
      </c>
      <c r="AC63" s="399">
        <v>0</v>
      </c>
      <c r="AD63" s="398">
        <v>0</v>
      </c>
      <c r="AE63" s="399">
        <v>0</v>
      </c>
      <c r="AF63" s="465">
        <v>3</v>
      </c>
      <c r="AG63" s="407">
        <v>0</v>
      </c>
      <c r="AH63" s="468">
        <v>3</v>
      </c>
      <c r="AI63" s="418">
        <v>1</v>
      </c>
      <c r="AJ63" s="468">
        <v>0</v>
      </c>
      <c r="AK63" s="418">
        <v>0</v>
      </c>
      <c r="AL63" s="107" t="str">
        <f t="shared" si="56"/>
        <v/>
      </c>
      <c r="CA63" s="191" t="str">
        <f t="shared" si="57"/>
        <v/>
      </c>
      <c r="CB63" s="191" t="str">
        <f t="shared" si="58"/>
        <v/>
      </c>
      <c r="CC63" s="191" t="str">
        <f t="shared" si="59"/>
        <v/>
      </c>
      <c r="CD63" s="191" t="str">
        <f t="shared" si="60"/>
        <v/>
      </c>
      <c r="DK63" s="1048">
        <f t="shared" si="49"/>
        <v>0</v>
      </c>
      <c r="DL63" s="1048">
        <f t="shared" si="50"/>
        <v>0</v>
      </c>
      <c r="DM63" s="1048">
        <f t="shared" si="51"/>
        <v>0</v>
      </c>
      <c r="DN63" s="1048">
        <f t="shared" si="52"/>
        <v>0</v>
      </c>
    </row>
    <row r="64" spans="1:118" ht="15" customHeight="1" x14ac:dyDescent="0.15">
      <c r="A64" s="1949"/>
      <c r="B64" s="611" t="s">
        <v>551</v>
      </c>
      <c r="C64" s="1144">
        <f t="shared" si="53"/>
        <v>0</v>
      </c>
      <c r="D64" s="391">
        <f t="shared" si="54"/>
        <v>0</v>
      </c>
      <c r="E64" s="446">
        <f t="shared" si="55"/>
        <v>0</v>
      </c>
      <c r="F64" s="403">
        <v>0</v>
      </c>
      <c r="G64" s="404">
        <v>0</v>
      </c>
      <c r="H64" s="403">
        <v>0</v>
      </c>
      <c r="I64" s="404">
        <v>0</v>
      </c>
      <c r="J64" s="403">
        <v>0</v>
      </c>
      <c r="K64" s="404">
        <v>0</v>
      </c>
      <c r="L64" s="403">
        <v>0</v>
      </c>
      <c r="M64" s="404">
        <v>0</v>
      </c>
      <c r="N64" s="403">
        <v>0</v>
      </c>
      <c r="O64" s="404">
        <v>0</v>
      </c>
      <c r="P64" s="403">
        <v>0</v>
      </c>
      <c r="Q64" s="404">
        <v>0</v>
      </c>
      <c r="R64" s="403">
        <v>0</v>
      </c>
      <c r="S64" s="404">
        <v>0</v>
      </c>
      <c r="T64" s="403">
        <v>0</v>
      </c>
      <c r="U64" s="404">
        <v>0</v>
      </c>
      <c r="V64" s="403">
        <v>0</v>
      </c>
      <c r="W64" s="404">
        <v>0</v>
      </c>
      <c r="X64" s="403">
        <v>0</v>
      </c>
      <c r="Y64" s="404">
        <v>0</v>
      </c>
      <c r="Z64" s="403">
        <v>0</v>
      </c>
      <c r="AA64" s="404">
        <v>0</v>
      </c>
      <c r="AB64" s="403">
        <v>0</v>
      </c>
      <c r="AC64" s="404">
        <v>0</v>
      </c>
      <c r="AD64" s="403">
        <v>0</v>
      </c>
      <c r="AE64" s="404">
        <v>0</v>
      </c>
      <c r="AF64" s="464">
        <v>0</v>
      </c>
      <c r="AG64" s="431">
        <v>0</v>
      </c>
      <c r="AH64" s="464">
        <v>0</v>
      </c>
      <c r="AI64" s="404">
        <v>0</v>
      </c>
      <c r="AJ64" s="464">
        <v>0</v>
      </c>
      <c r="AK64" s="404">
        <v>0</v>
      </c>
      <c r="AL64" s="107" t="str">
        <f t="shared" si="56"/>
        <v/>
      </c>
      <c r="CA64" s="191" t="str">
        <f t="shared" si="57"/>
        <v/>
      </c>
      <c r="CB64" s="191" t="str">
        <f t="shared" si="58"/>
        <v/>
      </c>
      <c r="CC64" s="191" t="str">
        <f t="shared" si="59"/>
        <v/>
      </c>
      <c r="CD64" s="191" t="str">
        <f t="shared" si="60"/>
        <v/>
      </c>
      <c r="DK64" s="1048">
        <f t="shared" si="49"/>
        <v>0</v>
      </c>
      <c r="DL64" s="1048">
        <f t="shared" si="50"/>
        <v>0</v>
      </c>
      <c r="DM64" s="1048">
        <f t="shared" si="51"/>
        <v>0</v>
      </c>
      <c r="DN64" s="1048">
        <f t="shared" si="52"/>
        <v>0</v>
      </c>
    </row>
    <row r="65" spans="1:118" ht="15" customHeight="1" x14ac:dyDescent="0.15">
      <c r="A65" s="1964" t="s">
        <v>552</v>
      </c>
      <c r="B65" s="731" t="s">
        <v>553</v>
      </c>
      <c r="C65" s="1143">
        <f t="shared" si="53"/>
        <v>0</v>
      </c>
      <c r="D65" s="387">
        <f>+F65+H65+J65+L65+N65+P65+R65+T65+V65+X65+Z65+AB65+AD65+AF65</f>
        <v>0</v>
      </c>
      <c r="E65" s="454">
        <f>+G65+I65+K65+M65+O65+Q65+S65+U65+W65+Y65+AA65+AC65+AE65+AG65</f>
        <v>0</v>
      </c>
      <c r="F65" s="417">
        <v>0</v>
      </c>
      <c r="G65" s="418">
        <v>0</v>
      </c>
      <c r="H65" s="417">
        <v>0</v>
      </c>
      <c r="I65" s="418">
        <v>0</v>
      </c>
      <c r="J65" s="417">
        <v>0</v>
      </c>
      <c r="K65" s="418">
        <v>0</v>
      </c>
      <c r="L65" s="417">
        <v>0</v>
      </c>
      <c r="M65" s="418">
        <v>0</v>
      </c>
      <c r="N65" s="417">
        <v>0</v>
      </c>
      <c r="O65" s="418">
        <v>0</v>
      </c>
      <c r="P65" s="417">
        <v>0</v>
      </c>
      <c r="Q65" s="418">
        <v>0</v>
      </c>
      <c r="R65" s="417">
        <v>0</v>
      </c>
      <c r="S65" s="418">
        <v>0</v>
      </c>
      <c r="T65" s="417">
        <v>0</v>
      </c>
      <c r="U65" s="418">
        <v>0</v>
      </c>
      <c r="V65" s="417">
        <v>0</v>
      </c>
      <c r="W65" s="418">
        <v>0</v>
      </c>
      <c r="X65" s="417">
        <v>0</v>
      </c>
      <c r="Y65" s="418">
        <v>0</v>
      </c>
      <c r="Z65" s="417">
        <v>0</v>
      </c>
      <c r="AA65" s="418">
        <v>0</v>
      </c>
      <c r="AB65" s="417">
        <v>0</v>
      </c>
      <c r="AC65" s="418">
        <v>0</v>
      </c>
      <c r="AD65" s="417">
        <v>0</v>
      </c>
      <c r="AE65" s="418">
        <v>0</v>
      </c>
      <c r="AF65" s="468">
        <v>0</v>
      </c>
      <c r="AG65" s="419">
        <v>0</v>
      </c>
      <c r="AH65" s="468">
        <v>0</v>
      </c>
      <c r="AI65" s="418">
        <v>0</v>
      </c>
      <c r="AJ65" s="468">
        <v>0</v>
      </c>
      <c r="AK65" s="418">
        <v>0</v>
      </c>
      <c r="AL65" s="107" t="str">
        <f t="shared" si="56"/>
        <v/>
      </c>
      <c r="CA65" s="191" t="str">
        <f t="shared" si="57"/>
        <v/>
      </c>
      <c r="CB65" s="191" t="str">
        <f t="shared" si="58"/>
        <v/>
      </c>
      <c r="CC65" s="191" t="str">
        <f t="shared" si="59"/>
        <v/>
      </c>
      <c r="CD65" s="191" t="str">
        <f t="shared" si="60"/>
        <v/>
      </c>
      <c r="DK65" s="1048">
        <f t="shared" si="49"/>
        <v>0</v>
      </c>
      <c r="DL65" s="1048">
        <f t="shared" si="50"/>
        <v>0</v>
      </c>
      <c r="DM65" s="1048">
        <f t="shared" si="51"/>
        <v>0</v>
      </c>
      <c r="DN65" s="1048">
        <f t="shared" si="52"/>
        <v>0</v>
      </c>
    </row>
    <row r="66" spans="1:118" ht="15" customHeight="1" x14ac:dyDescent="0.15">
      <c r="A66" s="1965"/>
      <c r="B66" s="610" t="s">
        <v>554</v>
      </c>
      <c r="C66" s="1302">
        <f t="shared" ref="C66" si="65">SUM(D66:E66)</f>
        <v>0</v>
      </c>
      <c r="D66" s="389">
        <f t="shared" ref="D66" si="66">+F66+H66+J66+L66+N66+P66+R66+T66+V66+X66+Z66+AB66+AD66+AF66</f>
        <v>0</v>
      </c>
      <c r="E66" s="870">
        <f t="shared" ref="E66" si="67">+G66+I66+K66+M66+O66+Q66+S66+U66+W66+Y66+AA66+AC66+AE66+AG66</f>
        <v>0</v>
      </c>
      <c r="F66" s="450">
        <v>0</v>
      </c>
      <c r="G66" s="451">
        <v>0</v>
      </c>
      <c r="H66" s="450">
        <v>0</v>
      </c>
      <c r="I66" s="451">
        <v>0</v>
      </c>
      <c r="J66" s="450">
        <v>0</v>
      </c>
      <c r="K66" s="451">
        <v>0</v>
      </c>
      <c r="L66" s="450">
        <v>0</v>
      </c>
      <c r="M66" s="451">
        <v>0</v>
      </c>
      <c r="N66" s="450">
        <v>0</v>
      </c>
      <c r="O66" s="451">
        <v>0</v>
      </c>
      <c r="P66" s="450">
        <v>0</v>
      </c>
      <c r="Q66" s="451">
        <v>0</v>
      </c>
      <c r="R66" s="450">
        <v>0</v>
      </c>
      <c r="S66" s="451">
        <v>0</v>
      </c>
      <c r="T66" s="450">
        <v>0</v>
      </c>
      <c r="U66" s="451">
        <v>0</v>
      </c>
      <c r="V66" s="450">
        <v>0</v>
      </c>
      <c r="W66" s="451">
        <v>0</v>
      </c>
      <c r="X66" s="450">
        <v>0</v>
      </c>
      <c r="Y66" s="451">
        <v>0</v>
      </c>
      <c r="Z66" s="450">
        <v>0</v>
      </c>
      <c r="AA66" s="451">
        <v>0</v>
      </c>
      <c r="AB66" s="450">
        <v>0</v>
      </c>
      <c r="AC66" s="451">
        <v>0</v>
      </c>
      <c r="AD66" s="450">
        <v>0</v>
      </c>
      <c r="AE66" s="451">
        <v>0</v>
      </c>
      <c r="AF66" s="667">
        <v>0</v>
      </c>
      <c r="AG66" s="452">
        <v>0</v>
      </c>
      <c r="AH66" s="667">
        <v>0</v>
      </c>
      <c r="AI66" s="451">
        <v>0</v>
      </c>
      <c r="AJ66" s="667">
        <v>0</v>
      </c>
      <c r="AK66" s="451">
        <v>0</v>
      </c>
      <c r="AL66" s="107" t="str">
        <f t="shared" si="56"/>
        <v/>
      </c>
      <c r="CA66" s="191" t="str">
        <f t="shared" si="57"/>
        <v/>
      </c>
      <c r="CB66" s="191" t="str">
        <f t="shared" si="58"/>
        <v/>
      </c>
      <c r="CC66" s="191" t="str">
        <f t="shared" si="59"/>
        <v/>
      </c>
      <c r="CD66" s="191" t="str">
        <f t="shared" si="60"/>
        <v/>
      </c>
      <c r="DK66" s="1048">
        <f t="shared" si="49"/>
        <v>0</v>
      </c>
      <c r="DL66" s="1048">
        <f t="shared" si="50"/>
        <v>0</v>
      </c>
      <c r="DM66" s="1048">
        <f t="shared" si="51"/>
        <v>0</v>
      </c>
      <c r="DN66" s="1048">
        <f t="shared" si="52"/>
        <v>0</v>
      </c>
    </row>
    <row r="67" spans="1:118" ht="15" customHeight="1" x14ac:dyDescent="0.15">
      <c r="A67" s="1966"/>
      <c r="B67" s="736" t="s">
        <v>555</v>
      </c>
      <c r="C67" s="1144">
        <f>SUM(D67:E67)</f>
        <v>0</v>
      </c>
      <c r="D67" s="391">
        <f t="shared" ref="D67:E68" si="68">+F67+H67+J67+L67+N67+P67+R67+T67+V67+X67+Z67+AB67+AD67+AF67</f>
        <v>0</v>
      </c>
      <c r="E67" s="458">
        <f t="shared" si="68"/>
        <v>0</v>
      </c>
      <c r="F67" s="403">
        <v>0</v>
      </c>
      <c r="G67" s="404">
        <v>0</v>
      </c>
      <c r="H67" s="403">
        <v>0</v>
      </c>
      <c r="I67" s="404">
        <v>0</v>
      </c>
      <c r="J67" s="403">
        <v>0</v>
      </c>
      <c r="K67" s="404">
        <v>0</v>
      </c>
      <c r="L67" s="403">
        <v>0</v>
      </c>
      <c r="M67" s="404">
        <v>0</v>
      </c>
      <c r="N67" s="403">
        <v>0</v>
      </c>
      <c r="O67" s="404">
        <v>0</v>
      </c>
      <c r="P67" s="403">
        <v>0</v>
      </c>
      <c r="Q67" s="404">
        <v>0</v>
      </c>
      <c r="R67" s="403">
        <v>0</v>
      </c>
      <c r="S67" s="404">
        <v>0</v>
      </c>
      <c r="T67" s="403">
        <v>0</v>
      </c>
      <c r="U67" s="404">
        <v>0</v>
      </c>
      <c r="V67" s="403">
        <v>0</v>
      </c>
      <c r="W67" s="404">
        <v>0</v>
      </c>
      <c r="X67" s="403">
        <v>0</v>
      </c>
      <c r="Y67" s="404">
        <v>0</v>
      </c>
      <c r="Z67" s="403">
        <v>0</v>
      </c>
      <c r="AA67" s="404">
        <v>0</v>
      </c>
      <c r="AB67" s="403">
        <v>0</v>
      </c>
      <c r="AC67" s="404">
        <v>0</v>
      </c>
      <c r="AD67" s="403">
        <v>0</v>
      </c>
      <c r="AE67" s="404">
        <v>0</v>
      </c>
      <c r="AF67" s="464">
        <v>0</v>
      </c>
      <c r="AG67" s="431">
        <v>0</v>
      </c>
      <c r="AH67" s="464">
        <v>0</v>
      </c>
      <c r="AI67" s="404">
        <v>0</v>
      </c>
      <c r="AJ67" s="464">
        <v>0</v>
      </c>
      <c r="AK67" s="404">
        <v>0</v>
      </c>
      <c r="AL67" s="107" t="str">
        <f t="shared" si="56"/>
        <v/>
      </c>
      <c r="CA67" s="191" t="str">
        <f t="shared" si="57"/>
        <v/>
      </c>
      <c r="CB67" s="191" t="str">
        <f t="shared" si="58"/>
        <v/>
      </c>
      <c r="CC67" s="191" t="str">
        <f t="shared" si="59"/>
        <v/>
      </c>
      <c r="CD67" s="191" t="str">
        <f t="shared" si="60"/>
        <v/>
      </c>
      <c r="DK67" s="1048">
        <f t="shared" si="49"/>
        <v>0</v>
      </c>
      <c r="DL67" s="1048">
        <f t="shared" si="50"/>
        <v>0</v>
      </c>
      <c r="DM67" s="1048">
        <f t="shared" si="51"/>
        <v>0</v>
      </c>
      <c r="DN67" s="1048">
        <f t="shared" si="52"/>
        <v>0</v>
      </c>
    </row>
    <row r="68" spans="1:118" ht="15" customHeight="1" x14ac:dyDescent="0.15">
      <c r="A68" s="1971" t="s">
        <v>556</v>
      </c>
      <c r="B68" s="1972"/>
      <c r="C68" s="1143">
        <f t="shared" si="53"/>
        <v>0</v>
      </c>
      <c r="D68" s="387">
        <f t="shared" si="68"/>
        <v>0</v>
      </c>
      <c r="E68" s="454">
        <f t="shared" si="68"/>
        <v>0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7">
        <v>0</v>
      </c>
      <c r="O68" s="418">
        <v>0</v>
      </c>
      <c r="P68" s="417">
        <v>0</v>
      </c>
      <c r="Q68" s="418">
        <v>0</v>
      </c>
      <c r="R68" s="417">
        <v>0</v>
      </c>
      <c r="S68" s="418">
        <v>0</v>
      </c>
      <c r="T68" s="417">
        <v>0</v>
      </c>
      <c r="U68" s="418">
        <v>0</v>
      </c>
      <c r="V68" s="417">
        <v>0</v>
      </c>
      <c r="W68" s="418">
        <v>0</v>
      </c>
      <c r="X68" s="417">
        <v>0</v>
      </c>
      <c r="Y68" s="418">
        <v>0</v>
      </c>
      <c r="Z68" s="417">
        <v>0</v>
      </c>
      <c r="AA68" s="418">
        <v>0</v>
      </c>
      <c r="AB68" s="417">
        <v>0</v>
      </c>
      <c r="AC68" s="418">
        <v>0</v>
      </c>
      <c r="AD68" s="398">
        <v>0</v>
      </c>
      <c r="AE68" s="399">
        <v>0</v>
      </c>
      <c r="AF68" s="468">
        <v>0</v>
      </c>
      <c r="AG68" s="419">
        <v>0</v>
      </c>
      <c r="AH68" s="468">
        <v>0</v>
      </c>
      <c r="AI68" s="418">
        <v>0</v>
      </c>
      <c r="AJ68" s="468">
        <v>0</v>
      </c>
      <c r="AK68" s="418">
        <v>0</v>
      </c>
      <c r="AL68" s="107" t="str">
        <f t="shared" si="56"/>
        <v/>
      </c>
      <c r="CA68" s="191" t="str">
        <f t="shared" si="57"/>
        <v/>
      </c>
      <c r="CB68" s="191" t="str">
        <f t="shared" si="58"/>
        <v/>
      </c>
      <c r="CC68" s="191" t="str">
        <f t="shared" si="59"/>
        <v/>
      </c>
      <c r="CD68" s="191" t="str">
        <f t="shared" si="60"/>
        <v/>
      </c>
      <c r="DK68" s="1048">
        <f t="shared" si="49"/>
        <v>0</v>
      </c>
      <c r="DL68" s="1048">
        <f t="shared" si="50"/>
        <v>0</v>
      </c>
      <c r="DM68" s="1048">
        <f t="shared" si="51"/>
        <v>0</v>
      </c>
      <c r="DN68" s="1048">
        <f t="shared" si="52"/>
        <v>0</v>
      </c>
    </row>
    <row r="69" spans="1:118" ht="15" customHeight="1" x14ac:dyDescent="0.15">
      <c r="A69" s="1973" t="s">
        <v>557</v>
      </c>
      <c r="B69" s="1974"/>
      <c r="C69" s="1148">
        <f t="shared" si="53"/>
        <v>14</v>
      </c>
      <c r="D69" s="397">
        <f t="shared" si="54"/>
        <v>8</v>
      </c>
      <c r="E69" s="448">
        <f t="shared" si="55"/>
        <v>6</v>
      </c>
      <c r="F69" s="398">
        <v>0</v>
      </c>
      <c r="G69" s="399">
        <v>0</v>
      </c>
      <c r="H69" s="398">
        <v>0</v>
      </c>
      <c r="I69" s="399">
        <v>0</v>
      </c>
      <c r="J69" s="398">
        <v>0</v>
      </c>
      <c r="K69" s="399">
        <v>0</v>
      </c>
      <c r="L69" s="398">
        <v>0</v>
      </c>
      <c r="M69" s="399">
        <v>0</v>
      </c>
      <c r="N69" s="398">
        <v>0</v>
      </c>
      <c r="O69" s="399">
        <v>0</v>
      </c>
      <c r="P69" s="398">
        <v>0</v>
      </c>
      <c r="Q69" s="399">
        <v>0</v>
      </c>
      <c r="R69" s="398">
        <v>0</v>
      </c>
      <c r="S69" s="399">
        <v>1</v>
      </c>
      <c r="T69" s="398">
        <v>2</v>
      </c>
      <c r="U69" s="399">
        <v>0</v>
      </c>
      <c r="V69" s="398">
        <v>0</v>
      </c>
      <c r="W69" s="399">
        <v>1</v>
      </c>
      <c r="X69" s="398">
        <v>1</v>
      </c>
      <c r="Y69" s="399">
        <v>2</v>
      </c>
      <c r="Z69" s="398">
        <v>1</v>
      </c>
      <c r="AA69" s="399">
        <v>0</v>
      </c>
      <c r="AB69" s="398">
        <v>1</v>
      </c>
      <c r="AC69" s="399">
        <v>0</v>
      </c>
      <c r="AD69" s="398">
        <v>0</v>
      </c>
      <c r="AE69" s="399">
        <v>2</v>
      </c>
      <c r="AF69" s="465">
        <v>3</v>
      </c>
      <c r="AG69" s="407">
        <v>0</v>
      </c>
      <c r="AH69" s="468">
        <v>4</v>
      </c>
      <c r="AI69" s="418">
        <v>4</v>
      </c>
      <c r="AJ69" s="468">
        <v>0</v>
      </c>
      <c r="AK69" s="418">
        <v>0</v>
      </c>
      <c r="AL69" s="107" t="str">
        <f t="shared" si="56"/>
        <v/>
      </c>
      <c r="CA69" s="191" t="str">
        <f t="shared" si="57"/>
        <v/>
      </c>
      <c r="CB69" s="191" t="str">
        <f t="shared" si="58"/>
        <v/>
      </c>
      <c r="CC69" s="191" t="str">
        <f t="shared" si="59"/>
        <v/>
      </c>
      <c r="CD69" s="191" t="str">
        <f t="shared" si="60"/>
        <v/>
      </c>
      <c r="DK69" s="1048">
        <f t="shared" si="49"/>
        <v>0</v>
      </c>
      <c r="DL69" s="1048">
        <f t="shared" si="50"/>
        <v>0</v>
      </c>
      <c r="DM69" s="1048">
        <f t="shared" si="51"/>
        <v>0</v>
      </c>
      <c r="DN69" s="1048">
        <f t="shared" si="52"/>
        <v>0</v>
      </c>
    </row>
    <row r="70" spans="1:118" ht="15" customHeight="1" x14ac:dyDescent="0.15">
      <c r="A70" s="1973" t="s">
        <v>558</v>
      </c>
      <c r="B70" s="1974"/>
      <c r="C70" s="1143">
        <f>SUM(D70:E70)</f>
        <v>0</v>
      </c>
      <c r="D70" s="387">
        <f>+F70+H70+J70+L70+N70+P70+R70+T70+V70+X70+Z70+AB70+AD70+AF70</f>
        <v>0</v>
      </c>
      <c r="E70" s="454">
        <f>+G70+I70+K70+M70+O70+Q70+S70+U70+W70+Y70+AA70+AC70+AE70+AG70</f>
        <v>0</v>
      </c>
      <c r="F70" s="417">
        <v>0</v>
      </c>
      <c r="G70" s="418">
        <v>0</v>
      </c>
      <c r="H70" s="417">
        <v>0</v>
      </c>
      <c r="I70" s="418">
        <v>0</v>
      </c>
      <c r="J70" s="417">
        <v>0</v>
      </c>
      <c r="K70" s="418">
        <v>0</v>
      </c>
      <c r="L70" s="417">
        <v>0</v>
      </c>
      <c r="M70" s="418">
        <v>0</v>
      </c>
      <c r="N70" s="417">
        <v>0</v>
      </c>
      <c r="O70" s="418">
        <v>0</v>
      </c>
      <c r="P70" s="417">
        <v>0</v>
      </c>
      <c r="Q70" s="418">
        <v>0</v>
      </c>
      <c r="R70" s="417">
        <v>0</v>
      </c>
      <c r="S70" s="418">
        <v>0</v>
      </c>
      <c r="T70" s="417">
        <v>0</v>
      </c>
      <c r="U70" s="418">
        <v>0</v>
      </c>
      <c r="V70" s="417">
        <v>0</v>
      </c>
      <c r="W70" s="418">
        <v>0</v>
      </c>
      <c r="X70" s="417">
        <v>0</v>
      </c>
      <c r="Y70" s="418">
        <v>0</v>
      </c>
      <c r="Z70" s="417">
        <v>0</v>
      </c>
      <c r="AA70" s="418">
        <v>0</v>
      </c>
      <c r="AB70" s="417">
        <v>0</v>
      </c>
      <c r="AC70" s="418">
        <v>0</v>
      </c>
      <c r="AD70" s="417">
        <v>0</v>
      </c>
      <c r="AE70" s="418">
        <v>0</v>
      </c>
      <c r="AF70" s="468">
        <v>0</v>
      </c>
      <c r="AG70" s="419">
        <v>0</v>
      </c>
      <c r="AH70" s="468">
        <v>0</v>
      </c>
      <c r="AI70" s="418">
        <v>0</v>
      </c>
      <c r="AJ70" s="468">
        <v>0</v>
      </c>
      <c r="AK70" s="418">
        <v>0</v>
      </c>
      <c r="AL70" s="107" t="str">
        <f t="shared" si="56"/>
        <v/>
      </c>
      <c r="CA70" s="191" t="str">
        <f t="shared" si="57"/>
        <v/>
      </c>
      <c r="CB70" s="191" t="str">
        <f t="shared" si="58"/>
        <v/>
      </c>
      <c r="CC70" s="191" t="str">
        <f t="shared" si="59"/>
        <v/>
      </c>
      <c r="CD70" s="191" t="str">
        <f t="shared" si="60"/>
        <v/>
      </c>
      <c r="DK70" s="1048">
        <f t="shared" si="49"/>
        <v>0</v>
      </c>
      <c r="DL70" s="1048">
        <f t="shared" si="50"/>
        <v>0</v>
      </c>
      <c r="DM70" s="1048">
        <f t="shared" si="51"/>
        <v>0</v>
      </c>
      <c r="DN70" s="1048">
        <f t="shared" si="52"/>
        <v>0</v>
      </c>
    </row>
    <row r="71" spans="1:118" ht="15" customHeight="1" x14ac:dyDescent="0.15">
      <c r="A71" s="2010" t="s">
        <v>559</v>
      </c>
      <c r="B71" s="2011"/>
      <c r="C71" s="1143">
        <f>SUM(D71:E71)</f>
        <v>1</v>
      </c>
      <c r="D71" s="387">
        <f t="shared" si="54"/>
        <v>1</v>
      </c>
      <c r="E71" s="444">
        <f t="shared" si="55"/>
        <v>0</v>
      </c>
      <c r="F71" s="417">
        <v>0</v>
      </c>
      <c r="G71" s="418">
        <v>0</v>
      </c>
      <c r="H71" s="417">
        <v>0</v>
      </c>
      <c r="I71" s="418">
        <v>0</v>
      </c>
      <c r="J71" s="417">
        <v>0</v>
      </c>
      <c r="K71" s="418">
        <v>0</v>
      </c>
      <c r="L71" s="417">
        <v>0</v>
      </c>
      <c r="M71" s="418">
        <v>0</v>
      </c>
      <c r="N71" s="417">
        <v>0</v>
      </c>
      <c r="O71" s="418">
        <v>0</v>
      </c>
      <c r="P71" s="417">
        <v>0</v>
      </c>
      <c r="Q71" s="418">
        <v>0</v>
      </c>
      <c r="R71" s="417">
        <v>0</v>
      </c>
      <c r="S71" s="418">
        <v>0</v>
      </c>
      <c r="T71" s="417">
        <v>0</v>
      </c>
      <c r="U71" s="418">
        <v>0</v>
      </c>
      <c r="V71" s="417">
        <v>0</v>
      </c>
      <c r="W71" s="418">
        <v>0</v>
      </c>
      <c r="X71" s="417">
        <v>1</v>
      </c>
      <c r="Y71" s="418">
        <v>0</v>
      </c>
      <c r="Z71" s="417">
        <v>0</v>
      </c>
      <c r="AA71" s="418">
        <v>0</v>
      </c>
      <c r="AB71" s="417">
        <v>0</v>
      </c>
      <c r="AC71" s="418">
        <v>0</v>
      </c>
      <c r="AD71" s="417">
        <v>0</v>
      </c>
      <c r="AE71" s="418">
        <v>0</v>
      </c>
      <c r="AF71" s="468">
        <v>0</v>
      </c>
      <c r="AG71" s="419">
        <v>0</v>
      </c>
      <c r="AH71" s="468">
        <v>0</v>
      </c>
      <c r="AI71" s="418">
        <v>0</v>
      </c>
      <c r="AJ71" s="468">
        <v>0</v>
      </c>
      <c r="AK71" s="418">
        <v>0</v>
      </c>
      <c r="AL71" s="107" t="str">
        <f t="shared" si="56"/>
        <v/>
      </c>
      <c r="CA71" s="191" t="str">
        <f t="shared" si="57"/>
        <v/>
      </c>
      <c r="CB71" s="191" t="str">
        <f t="shared" si="58"/>
        <v/>
      </c>
      <c r="CC71" s="191" t="str">
        <f t="shared" si="59"/>
        <v/>
      </c>
      <c r="CD71" s="191" t="str">
        <f t="shared" si="60"/>
        <v/>
      </c>
      <c r="DK71" s="1048">
        <f t="shared" si="49"/>
        <v>0</v>
      </c>
      <c r="DL71" s="1048">
        <f t="shared" si="50"/>
        <v>0</v>
      </c>
      <c r="DM71" s="1048">
        <f t="shared" si="51"/>
        <v>0</v>
      </c>
      <c r="DN71" s="1048">
        <f t="shared" si="52"/>
        <v>0</v>
      </c>
    </row>
    <row r="72" spans="1:118" ht="15" customHeight="1" x14ac:dyDescent="0.15">
      <c r="A72" s="2010" t="s">
        <v>560</v>
      </c>
      <c r="B72" s="2011"/>
      <c r="C72" s="1143">
        <f t="shared" si="53"/>
        <v>1</v>
      </c>
      <c r="D72" s="387">
        <f t="shared" si="54"/>
        <v>1</v>
      </c>
      <c r="E72" s="444">
        <f t="shared" si="55"/>
        <v>0</v>
      </c>
      <c r="F72" s="398">
        <v>0</v>
      </c>
      <c r="G72" s="533">
        <v>0</v>
      </c>
      <c r="H72" s="398">
        <v>0</v>
      </c>
      <c r="I72" s="399">
        <v>0</v>
      </c>
      <c r="J72" s="465">
        <v>0</v>
      </c>
      <c r="K72" s="399">
        <v>0</v>
      </c>
      <c r="L72" s="465">
        <v>0</v>
      </c>
      <c r="M72" s="399">
        <v>0</v>
      </c>
      <c r="N72" s="465">
        <v>0</v>
      </c>
      <c r="O72" s="399">
        <v>0</v>
      </c>
      <c r="P72" s="465">
        <v>0</v>
      </c>
      <c r="Q72" s="399">
        <v>0</v>
      </c>
      <c r="R72" s="465">
        <v>0</v>
      </c>
      <c r="S72" s="399">
        <v>0</v>
      </c>
      <c r="T72" s="398">
        <v>0</v>
      </c>
      <c r="U72" s="399">
        <v>0</v>
      </c>
      <c r="V72" s="398">
        <v>0</v>
      </c>
      <c r="W72" s="399">
        <v>0</v>
      </c>
      <c r="X72" s="398">
        <v>0</v>
      </c>
      <c r="Y72" s="399">
        <v>0</v>
      </c>
      <c r="Z72" s="398">
        <v>0</v>
      </c>
      <c r="AA72" s="399">
        <v>0</v>
      </c>
      <c r="AB72" s="398">
        <v>0</v>
      </c>
      <c r="AC72" s="399">
        <v>0</v>
      </c>
      <c r="AD72" s="398">
        <v>0</v>
      </c>
      <c r="AE72" s="399">
        <v>0</v>
      </c>
      <c r="AF72" s="465">
        <v>1</v>
      </c>
      <c r="AG72" s="883">
        <v>0</v>
      </c>
      <c r="AH72" s="465">
        <v>1</v>
      </c>
      <c r="AI72" s="399">
        <v>0</v>
      </c>
      <c r="AJ72" s="465">
        <v>0</v>
      </c>
      <c r="AK72" s="399">
        <v>0</v>
      </c>
      <c r="AL72" s="107" t="str">
        <f t="shared" si="56"/>
        <v/>
      </c>
      <c r="CA72" s="191" t="str">
        <f t="shared" si="57"/>
        <v/>
      </c>
      <c r="CB72" s="191" t="str">
        <f t="shared" si="58"/>
        <v/>
      </c>
      <c r="CC72" s="191" t="str">
        <f t="shared" si="59"/>
        <v/>
      </c>
      <c r="CD72" s="191" t="str">
        <f t="shared" si="60"/>
        <v/>
      </c>
      <c r="DK72" s="1048">
        <f t="shared" si="49"/>
        <v>0</v>
      </c>
      <c r="DL72" s="1048">
        <f t="shared" si="50"/>
        <v>0</v>
      </c>
      <c r="DM72" s="1048">
        <f t="shared" si="51"/>
        <v>0</v>
      </c>
      <c r="DN72" s="1048">
        <f t="shared" si="52"/>
        <v>0</v>
      </c>
    </row>
    <row r="73" spans="1:118" ht="15" customHeight="1" x14ac:dyDescent="0.15">
      <c r="A73" s="2012" t="s">
        <v>561</v>
      </c>
      <c r="B73" s="2013"/>
      <c r="C73" s="1144">
        <f t="shared" ref="C73" si="69">SUM(D73:E73)</f>
        <v>1</v>
      </c>
      <c r="D73" s="391">
        <f t="shared" ref="D73" si="70">+F73+H73+J73+L73+N73+P73+R73+T73+V73+X73+Z73+AB73+AD73+AF73</f>
        <v>0</v>
      </c>
      <c r="E73" s="879">
        <f t="shared" ref="E73" si="71">+G73+I73+K73+M73+O73+Q73+S73+U73+W73+Y73+AA73+AC73+AE73+AG73</f>
        <v>1</v>
      </c>
      <c r="F73" s="413">
        <v>0</v>
      </c>
      <c r="G73" s="542">
        <v>0</v>
      </c>
      <c r="H73" s="413">
        <v>0</v>
      </c>
      <c r="I73" s="414">
        <v>0</v>
      </c>
      <c r="J73" s="463">
        <v>0</v>
      </c>
      <c r="K73" s="414">
        <v>0</v>
      </c>
      <c r="L73" s="463">
        <v>0</v>
      </c>
      <c r="M73" s="414">
        <v>0</v>
      </c>
      <c r="N73" s="463">
        <v>0</v>
      </c>
      <c r="O73" s="414">
        <v>0</v>
      </c>
      <c r="P73" s="463">
        <v>0</v>
      </c>
      <c r="Q73" s="414">
        <v>0</v>
      </c>
      <c r="R73" s="463">
        <v>0</v>
      </c>
      <c r="S73" s="414">
        <v>0</v>
      </c>
      <c r="T73" s="463">
        <v>0</v>
      </c>
      <c r="U73" s="414">
        <v>0</v>
      </c>
      <c r="V73" s="463">
        <v>0</v>
      </c>
      <c r="W73" s="414">
        <v>1</v>
      </c>
      <c r="X73" s="463">
        <v>0</v>
      </c>
      <c r="Y73" s="414">
        <v>0</v>
      </c>
      <c r="Z73" s="463">
        <v>0</v>
      </c>
      <c r="AA73" s="414">
        <v>0</v>
      </c>
      <c r="AB73" s="463">
        <v>0</v>
      </c>
      <c r="AC73" s="414">
        <v>0</v>
      </c>
      <c r="AD73" s="463">
        <v>0</v>
      </c>
      <c r="AE73" s="414">
        <v>0</v>
      </c>
      <c r="AF73" s="463">
        <v>0</v>
      </c>
      <c r="AG73" s="882">
        <v>0</v>
      </c>
      <c r="AH73" s="463">
        <v>0</v>
      </c>
      <c r="AI73" s="414">
        <v>1</v>
      </c>
      <c r="AJ73" s="463">
        <v>0</v>
      </c>
      <c r="AK73" s="414">
        <v>0</v>
      </c>
      <c r="AL73" s="107" t="str">
        <f t="shared" si="56"/>
        <v/>
      </c>
      <c r="CA73" s="191" t="str">
        <f t="shared" si="57"/>
        <v/>
      </c>
      <c r="CB73" s="191" t="str">
        <f t="shared" si="58"/>
        <v/>
      </c>
      <c r="CC73" s="191" t="str">
        <f t="shared" si="59"/>
        <v/>
      </c>
      <c r="CD73" s="191" t="str">
        <f t="shared" si="60"/>
        <v/>
      </c>
      <c r="DK73" s="1048">
        <f t="shared" si="49"/>
        <v>0</v>
      </c>
      <c r="DL73" s="1048">
        <f t="shared" si="50"/>
        <v>0</v>
      </c>
      <c r="DM73" s="1048">
        <f t="shared" si="51"/>
        <v>0</v>
      </c>
      <c r="DN73" s="1048">
        <f t="shared" si="52"/>
        <v>0</v>
      </c>
    </row>
    <row r="74" spans="1:118" ht="15" customHeight="1" x14ac:dyDescent="0.15">
      <c r="A74" s="1305" t="s">
        <v>562</v>
      </c>
      <c r="B74" s="612"/>
      <c r="C74" s="2001"/>
      <c r="D74" s="2001"/>
      <c r="E74" s="2001"/>
      <c r="F74" s="2001"/>
      <c r="G74" s="2001"/>
      <c r="H74" s="2001"/>
      <c r="I74" s="2001"/>
      <c r="J74" s="2001"/>
      <c r="K74" s="2001"/>
      <c r="L74" s="2001"/>
      <c r="M74" s="2001"/>
      <c r="N74" s="2001"/>
      <c r="O74" s="2001"/>
      <c r="P74" s="2001"/>
      <c r="Q74" s="2001"/>
      <c r="R74" s="2001"/>
      <c r="S74" s="2001"/>
      <c r="T74" s="2001"/>
      <c r="U74" s="2001"/>
      <c r="V74" s="2001"/>
      <c r="W74" s="2001"/>
      <c r="X74" s="2001"/>
      <c r="Y74" s="2001"/>
      <c r="Z74" s="2001"/>
      <c r="AA74" s="2001"/>
      <c r="AB74" s="2001"/>
      <c r="AC74" s="2001"/>
      <c r="AD74" s="2001"/>
      <c r="AE74" s="2001"/>
      <c r="AF74" s="2001"/>
      <c r="AG74" s="2001"/>
      <c r="AH74" s="2001"/>
      <c r="AI74" s="2001"/>
      <c r="AJ74" s="2001"/>
      <c r="AK74" s="2002"/>
    </row>
    <row r="75" spans="1:118" ht="15" customHeight="1" x14ac:dyDescent="0.15">
      <c r="A75" s="1969" t="s">
        <v>535</v>
      </c>
      <c r="B75" s="1970"/>
      <c r="C75" s="1146">
        <f t="shared" ref="C75:C79" si="72">SUM(D75:E75)</f>
        <v>73</v>
      </c>
      <c r="D75" s="387">
        <f>+F75+H75+J75+L75+N75+P75+R75+T75+V75+X75+Z75+AB75+AD75+AF75</f>
        <v>31</v>
      </c>
      <c r="E75" s="454">
        <f>+G75+I75+K75+M75+O75+Q75+S75+U75+W75+Y75+AA75+AC75+AE75+AG75</f>
        <v>42</v>
      </c>
      <c r="F75" s="394">
        <v>0</v>
      </c>
      <c r="G75" s="395">
        <v>0</v>
      </c>
      <c r="H75" s="417">
        <v>0</v>
      </c>
      <c r="I75" s="418">
        <v>0</v>
      </c>
      <c r="J75" s="417">
        <v>0</v>
      </c>
      <c r="K75" s="418">
        <v>0</v>
      </c>
      <c r="L75" s="417">
        <v>0</v>
      </c>
      <c r="M75" s="418">
        <v>0</v>
      </c>
      <c r="N75" s="417">
        <v>0</v>
      </c>
      <c r="O75" s="418">
        <v>1</v>
      </c>
      <c r="P75" s="417">
        <v>0</v>
      </c>
      <c r="Q75" s="418">
        <v>1</v>
      </c>
      <c r="R75" s="417">
        <v>0</v>
      </c>
      <c r="S75" s="418">
        <v>4</v>
      </c>
      <c r="T75" s="417">
        <v>6</v>
      </c>
      <c r="U75" s="418">
        <v>1</v>
      </c>
      <c r="V75" s="417">
        <v>1</v>
      </c>
      <c r="W75" s="418">
        <v>7</v>
      </c>
      <c r="X75" s="417">
        <v>4</v>
      </c>
      <c r="Y75" s="418">
        <v>5</v>
      </c>
      <c r="Z75" s="417">
        <v>5</v>
      </c>
      <c r="AA75" s="418">
        <v>5</v>
      </c>
      <c r="AB75" s="417">
        <v>4</v>
      </c>
      <c r="AC75" s="418">
        <v>2</v>
      </c>
      <c r="AD75" s="417">
        <v>4</v>
      </c>
      <c r="AE75" s="418">
        <v>4</v>
      </c>
      <c r="AF75" s="468">
        <v>7</v>
      </c>
      <c r="AG75" s="419">
        <v>12</v>
      </c>
      <c r="AH75" s="468">
        <v>23</v>
      </c>
      <c r="AI75" s="418">
        <v>33</v>
      </c>
      <c r="AJ75" s="468">
        <v>0</v>
      </c>
      <c r="AK75" s="418">
        <v>0</v>
      </c>
      <c r="AL75" s="107" t="str">
        <f>CA75&amp;CB75&amp;CC75&amp;CD75</f>
        <v/>
      </c>
      <c r="CA75" s="191" t="str">
        <f t="shared" ref="CA75:CA80" si="73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4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5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6">IF(AND(E75&gt;0,OR(AK75=""))," * No olvide digitar la variable Migrantes Mujeres. Digite Cero si no tiene.",IF(AK75&gt;E75," * La variable Migrantes Mujeres no puede ser Mayor al Total Mujeres.",""))</f>
        <v/>
      </c>
      <c r="DK75" s="1048">
        <f t="shared" si="49"/>
        <v>0</v>
      </c>
      <c r="DL75" s="1048">
        <f t="shared" si="50"/>
        <v>0</v>
      </c>
      <c r="DM75" s="1048">
        <f t="shared" si="51"/>
        <v>0</v>
      </c>
      <c r="DN75" s="1048">
        <f t="shared" si="52"/>
        <v>0</v>
      </c>
    </row>
    <row r="76" spans="1:118" ht="15" customHeight="1" x14ac:dyDescent="0.15">
      <c r="A76" s="1953" t="s">
        <v>563</v>
      </c>
      <c r="B76" s="1954"/>
      <c r="C76" s="1143">
        <f t="shared" ref="C76:C77" si="77">SUM(D76:E76)</f>
        <v>75</v>
      </c>
      <c r="D76" s="387">
        <f t="shared" ref="D76:D77" si="78">+F76+H76+J76+L76+N76+P76+R76+T76+V76+X76+Z76+AB76+AD76+AF76</f>
        <v>32</v>
      </c>
      <c r="E76" s="454">
        <f t="shared" ref="E76:E77" si="79">+G76+I76+K76+M76+O76+Q76+S76+U76+W76+Y76+AA76+AC76+AE76+AG76</f>
        <v>43</v>
      </c>
      <c r="F76" s="417">
        <v>0</v>
      </c>
      <c r="G76" s="418">
        <v>0</v>
      </c>
      <c r="H76" s="417">
        <v>0</v>
      </c>
      <c r="I76" s="418">
        <v>0</v>
      </c>
      <c r="J76" s="417">
        <v>0</v>
      </c>
      <c r="K76" s="418">
        <v>0</v>
      </c>
      <c r="L76" s="417">
        <v>0</v>
      </c>
      <c r="M76" s="418">
        <v>0</v>
      </c>
      <c r="N76" s="417">
        <v>0</v>
      </c>
      <c r="O76" s="418">
        <v>1</v>
      </c>
      <c r="P76" s="417">
        <v>0</v>
      </c>
      <c r="Q76" s="418">
        <v>1</v>
      </c>
      <c r="R76" s="417">
        <v>0</v>
      </c>
      <c r="S76" s="418">
        <v>4</v>
      </c>
      <c r="T76" s="417">
        <v>6</v>
      </c>
      <c r="U76" s="418">
        <v>1</v>
      </c>
      <c r="V76" s="417">
        <v>2</v>
      </c>
      <c r="W76" s="418">
        <v>7</v>
      </c>
      <c r="X76" s="417">
        <v>4</v>
      </c>
      <c r="Y76" s="418">
        <v>6</v>
      </c>
      <c r="Z76" s="417">
        <v>5</v>
      </c>
      <c r="AA76" s="418">
        <v>5</v>
      </c>
      <c r="AB76" s="417">
        <v>4</v>
      </c>
      <c r="AC76" s="418">
        <v>2</v>
      </c>
      <c r="AD76" s="417">
        <v>4</v>
      </c>
      <c r="AE76" s="418">
        <v>4</v>
      </c>
      <c r="AF76" s="468">
        <v>7</v>
      </c>
      <c r="AG76" s="419">
        <v>12</v>
      </c>
      <c r="AH76" s="468">
        <v>24</v>
      </c>
      <c r="AI76" s="418">
        <v>34</v>
      </c>
      <c r="AJ76" s="468">
        <v>0</v>
      </c>
      <c r="AK76" s="418">
        <v>0</v>
      </c>
      <c r="AL76" s="107" t="str">
        <f t="shared" si="56"/>
        <v/>
      </c>
      <c r="CA76" s="191" t="str">
        <f t="shared" si="73"/>
        <v/>
      </c>
      <c r="CB76" s="191" t="str">
        <f t="shared" si="74"/>
        <v/>
      </c>
      <c r="CC76" s="191" t="str">
        <f t="shared" si="75"/>
        <v/>
      </c>
      <c r="CD76" s="191" t="str">
        <f t="shared" si="76"/>
        <v/>
      </c>
      <c r="DK76" s="1048">
        <f t="shared" si="49"/>
        <v>0</v>
      </c>
      <c r="DL76" s="1048">
        <f t="shared" si="50"/>
        <v>0</v>
      </c>
      <c r="DM76" s="1048">
        <f t="shared" si="51"/>
        <v>0</v>
      </c>
      <c r="DN76" s="1048">
        <f t="shared" si="52"/>
        <v>0</v>
      </c>
    </row>
    <row r="77" spans="1:118" ht="15" customHeight="1" x14ac:dyDescent="0.15">
      <c r="A77" s="1953" t="s">
        <v>537</v>
      </c>
      <c r="B77" s="1954"/>
      <c r="C77" s="1143">
        <f t="shared" si="77"/>
        <v>73</v>
      </c>
      <c r="D77" s="387">
        <f t="shared" si="78"/>
        <v>31</v>
      </c>
      <c r="E77" s="454">
        <f t="shared" si="79"/>
        <v>42</v>
      </c>
      <c r="F77" s="417">
        <v>0</v>
      </c>
      <c r="G77" s="418">
        <v>0</v>
      </c>
      <c r="H77" s="417">
        <v>0</v>
      </c>
      <c r="I77" s="418">
        <v>0</v>
      </c>
      <c r="J77" s="417">
        <v>0</v>
      </c>
      <c r="K77" s="418">
        <v>0</v>
      </c>
      <c r="L77" s="417">
        <v>0</v>
      </c>
      <c r="M77" s="418">
        <v>0</v>
      </c>
      <c r="N77" s="417">
        <v>0</v>
      </c>
      <c r="O77" s="418">
        <v>1</v>
      </c>
      <c r="P77" s="417">
        <v>0</v>
      </c>
      <c r="Q77" s="418">
        <v>1</v>
      </c>
      <c r="R77" s="417">
        <v>0</v>
      </c>
      <c r="S77" s="418">
        <v>4</v>
      </c>
      <c r="T77" s="417">
        <v>6</v>
      </c>
      <c r="U77" s="418">
        <v>1</v>
      </c>
      <c r="V77" s="417">
        <v>1</v>
      </c>
      <c r="W77" s="418">
        <v>7</v>
      </c>
      <c r="X77" s="417">
        <v>4</v>
      </c>
      <c r="Y77" s="418">
        <v>5</v>
      </c>
      <c r="Z77" s="417">
        <v>5</v>
      </c>
      <c r="AA77" s="418">
        <v>5</v>
      </c>
      <c r="AB77" s="417">
        <v>4</v>
      </c>
      <c r="AC77" s="418">
        <v>2</v>
      </c>
      <c r="AD77" s="417">
        <v>4</v>
      </c>
      <c r="AE77" s="418">
        <v>4</v>
      </c>
      <c r="AF77" s="468">
        <v>7</v>
      </c>
      <c r="AG77" s="419">
        <v>12</v>
      </c>
      <c r="AH77" s="468">
        <v>23</v>
      </c>
      <c r="AI77" s="418">
        <v>33</v>
      </c>
      <c r="AJ77" s="468">
        <v>0</v>
      </c>
      <c r="AK77" s="418">
        <v>0</v>
      </c>
      <c r="AL77" s="107" t="str">
        <f t="shared" si="56"/>
        <v/>
      </c>
      <c r="CA77" s="191" t="str">
        <f t="shared" si="73"/>
        <v/>
      </c>
      <c r="CB77" s="191" t="str">
        <f t="shared" si="74"/>
        <v/>
      </c>
      <c r="CC77" s="191" t="str">
        <f t="shared" si="75"/>
        <v/>
      </c>
      <c r="CD77" s="191" t="str">
        <f t="shared" si="76"/>
        <v/>
      </c>
      <c r="DK77" s="1048">
        <f t="shared" si="49"/>
        <v>0</v>
      </c>
      <c r="DL77" s="1048">
        <f t="shared" si="50"/>
        <v>0</v>
      </c>
      <c r="DM77" s="1048">
        <f t="shared" si="51"/>
        <v>0</v>
      </c>
      <c r="DN77" s="1048">
        <f t="shared" si="52"/>
        <v>0</v>
      </c>
    </row>
    <row r="78" spans="1:118" ht="15" customHeight="1" x14ac:dyDescent="0.15">
      <c r="A78" s="1962" t="s">
        <v>564</v>
      </c>
      <c r="B78" s="1963"/>
      <c r="C78" s="1148">
        <f t="shared" si="72"/>
        <v>1</v>
      </c>
      <c r="D78" s="397">
        <f t="shared" ref="D78:D79" si="80">+F78+H78+J78+L78+N78+P78+R78+T78+V78+X78+Z78+AB78+AD78+AF78</f>
        <v>1</v>
      </c>
      <c r="E78" s="448">
        <f t="shared" ref="E78:E79" si="81">+G78+I78+K78+M78+O78+Q78+S78+U78+W78+Y78+AA78+AC78+AE78+AG78</f>
        <v>0</v>
      </c>
      <c r="F78" s="398">
        <v>0</v>
      </c>
      <c r="G78" s="399">
        <v>0</v>
      </c>
      <c r="H78" s="398">
        <v>0</v>
      </c>
      <c r="I78" s="399">
        <v>0</v>
      </c>
      <c r="J78" s="398">
        <v>0</v>
      </c>
      <c r="K78" s="399">
        <v>0</v>
      </c>
      <c r="L78" s="398">
        <v>0</v>
      </c>
      <c r="M78" s="399">
        <v>0</v>
      </c>
      <c r="N78" s="398">
        <v>0</v>
      </c>
      <c r="O78" s="399">
        <v>0</v>
      </c>
      <c r="P78" s="398">
        <v>0</v>
      </c>
      <c r="Q78" s="399">
        <v>0</v>
      </c>
      <c r="R78" s="398">
        <v>0</v>
      </c>
      <c r="S78" s="399">
        <v>0</v>
      </c>
      <c r="T78" s="398">
        <v>1</v>
      </c>
      <c r="U78" s="399">
        <v>0</v>
      </c>
      <c r="V78" s="398">
        <v>0</v>
      </c>
      <c r="W78" s="399">
        <v>0</v>
      </c>
      <c r="X78" s="398">
        <v>0</v>
      </c>
      <c r="Y78" s="399">
        <v>0</v>
      </c>
      <c r="Z78" s="398">
        <v>0</v>
      </c>
      <c r="AA78" s="399">
        <v>0</v>
      </c>
      <c r="AB78" s="398">
        <v>0</v>
      </c>
      <c r="AC78" s="399">
        <v>0</v>
      </c>
      <c r="AD78" s="398">
        <v>0</v>
      </c>
      <c r="AE78" s="399">
        <v>0</v>
      </c>
      <c r="AF78" s="465">
        <v>0</v>
      </c>
      <c r="AG78" s="407">
        <v>0</v>
      </c>
      <c r="AH78" s="468">
        <v>1</v>
      </c>
      <c r="AI78" s="418">
        <v>0</v>
      </c>
      <c r="AJ78" s="468">
        <v>0</v>
      </c>
      <c r="AK78" s="418">
        <v>0</v>
      </c>
      <c r="AL78" s="107" t="str">
        <f t="shared" si="56"/>
        <v/>
      </c>
      <c r="CA78" s="191" t="str">
        <f t="shared" si="73"/>
        <v/>
      </c>
      <c r="CB78" s="191" t="str">
        <f t="shared" si="74"/>
        <v/>
      </c>
      <c r="CC78" s="191" t="str">
        <f t="shared" si="75"/>
        <v/>
      </c>
      <c r="CD78" s="191" t="str">
        <f t="shared" si="76"/>
        <v/>
      </c>
      <c r="DK78" s="1048">
        <f t="shared" si="49"/>
        <v>0</v>
      </c>
      <c r="DL78" s="1048">
        <f t="shared" si="50"/>
        <v>0</v>
      </c>
      <c r="DM78" s="1048">
        <f t="shared" si="51"/>
        <v>0</v>
      </c>
      <c r="DN78" s="1048">
        <f t="shared" si="52"/>
        <v>0</v>
      </c>
    </row>
    <row r="79" spans="1:118" ht="15" customHeight="1" x14ac:dyDescent="0.15">
      <c r="A79" s="1953" t="s">
        <v>558</v>
      </c>
      <c r="B79" s="1954"/>
      <c r="C79" s="1148">
        <f t="shared" si="72"/>
        <v>1</v>
      </c>
      <c r="D79" s="397">
        <f t="shared" si="80"/>
        <v>0</v>
      </c>
      <c r="E79" s="444">
        <f t="shared" si="81"/>
        <v>1</v>
      </c>
      <c r="F79" s="398">
        <v>0</v>
      </c>
      <c r="G79" s="533">
        <v>0</v>
      </c>
      <c r="H79" s="398">
        <v>0</v>
      </c>
      <c r="I79" s="533">
        <v>0</v>
      </c>
      <c r="J79" s="398">
        <v>0</v>
      </c>
      <c r="K79" s="533">
        <v>0</v>
      </c>
      <c r="L79" s="398">
        <v>0</v>
      </c>
      <c r="M79" s="533">
        <v>0</v>
      </c>
      <c r="N79" s="398">
        <v>0</v>
      </c>
      <c r="O79" s="533">
        <v>0</v>
      </c>
      <c r="P79" s="398">
        <v>0</v>
      </c>
      <c r="Q79" s="533">
        <v>0</v>
      </c>
      <c r="R79" s="465">
        <v>0</v>
      </c>
      <c r="S79" s="533">
        <v>0</v>
      </c>
      <c r="T79" s="465">
        <v>0</v>
      </c>
      <c r="U79" s="533">
        <v>0</v>
      </c>
      <c r="V79" s="465">
        <v>0</v>
      </c>
      <c r="W79" s="533">
        <v>0</v>
      </c>
      <c r="X79" s="465">
        <v>0</v>
      </c>
      <c r="Y79" s="533">
        <v>0</v>
      </c>
      <c r="Z79" s="465">
        <v>0</v>
      </c>
      <c r="AA79" s="533">
        <v>0</v>
      </c>
      <c r="AB79" s="465">
        <v>0</v>
      </c>
      <c r="AC79" s="533">
        <v>0</v>
      </c>
      <c r="AD79" s="465">
        <v>0</v>
      </c>
      <c r="AE79" s="533">
        <v>0</v>
      </c>
      <c r="AF79" s="465">
        <v>0</v>
      </c>
      <c r="AG79" s="883">
        <v>1</v>
      </c>
      <c r="AH79" s="465">
        <v>0</v>
      </c>
      <c r="AI79" s="533">
        <v>0</v>
      </c>
      <c r="AJ79" s="465">
        <v>0</v>
      </c>
      <c r="AK79" s="533">
        <v>0</v>
      </c>
      <c r="AL79" s="107" t="str">
        <f t="shared" si="56"/>
        <v/>
      </c>
      <c r="CA79" s="191" t="str">
        <f t="shared" si="73"/>
        <v/>
      </c>
      <c r="CB79" s="191" t="str">
        <f t="shared" si="74"/>
        <v/>
      </c>
      <c r="CC79" s="191" t="str">
        <f t="shared" si="75"/>
        <v/>
      </c>
      <c r="CD79" s="191" t="str">
        <f t="shared" si="76"/>
        <v/>
      </c>
      <c r="DK79" s="1048">
        <f t="shared" si="49"/>
        <v>0</v>
      </c>
      <c r="DL79" s="1048">
        <f t="shared" si="50"/>
        <v>0</v>
      </c>
      <c r="DM79" s="1048">
        <f t="shared" si="51"/>
        <v>0</v>
      </c>
      <c r="DN79" s="1048">
        <f t="shared" si="52"/>
        <v>0</v>
      </c>
    </row>
    <row r="80" spans="1:118" ht="15" customHeight="1" x14ac:dyDescent="0.15">
      <c r="A80" s="1999" t="s">
        <v>565</v>
      </c>
      <c r="B80" s="2000"/>
      <c r="C80" s="1145">
        <f t="shared" ref="C80" si="82">SUM(D80:E80)</f>
        <v>8</v>
      </c>
      <c r="D80" s="540">
        <f t="shared" ref="D80" si="83">+F80+H80+J80+L80+N80+P80+R80+T80+V80+X80+Z80+AB80+AD80+AF80</f>
        <v>2</v>
      </c>
      <c r="E80" s="879">
        <f t="shared" ref="E80" si="84">+G80+I80+K80+M80+O80+Q80+S80+U80+W80+Y80+AA80+AC80+AE80+AG80</f>
        <v>6</v>
      </c>
      <c r="F80" s="403">
        <v>0</v>
      </c>
      <c r="G80" s="542">
        <v>0</v>
      </c>
      <c r="H80" s="413">
        <v>0</v>
      </c>
      <c r="I80" s="542">
        <v>0</v>
      </c>
      <c r="J80" s="413">
        <v>0</v>
      </c>
      <c r="K80" s="542">
        <v>0</v>
      </c>
      <c r="L80" s="413">
        <v>0</v>
      </c>
      <c r="M80" s="542">
        <v>0</v>
      </c>
      <c r="N80" s="413">
        <v>0</v>
      </c>
      <c r="O80" s="542">
        <v>0</v>
      </c>
      <c r="P80" s="413">
        <v>1</v>
      </c>
      <c r="Q80" s="542">
        <v>1</v>
      </c>
      <c r="R80" s="463">
        <v>0</v>
      </c>
      <c r="S80" s="542">
        <v>1</v>
      </c>
      <c r="T80" s="463">
        <v>0</v>
      </c>
      <c r="U80" s="542">
        <v>0</v>
      </c>
      <c r="V80" s="463">
        <v>0</v>
      </c>
      <c r="W80" s="542">
        <v>0</v>
      </c>
      <c r="X80" s="463">
        <v>0</v>
      </c>
      <c r="Y80" s="542">
        <v>2</v>
      </c>
      <c r="Z80" s="463">
        <v>0</v>
      </c>
      <c r="AA80" s="542">
        <v>2</v>
      </c>
      <c r="AB80" s="463">
        <v>0</v>
      </c>
      <c r="AC80" s="542">
        <v>0</v>
      </c>
      <c r="AD80" s="463">
        <v>0</v>
      </c>
      <c r="AE80" s="542">
        <v>0</v>
      </c>
      <c r="AF80" s="463">
        <v>1</v>
      </c>
      <c r="AG80" s="882">
        <v>0</v>
      </c>
      <c r="AH80" s="463">
        <v>1</v>
      </c>
      <c r="AI80" s="542">
        <v>5</v>
      </c>
      <c r="AJ80" s="463">
        <v>0</v>
      </c>
      <c r="AK80" s="542">
        <v>0</v>
      </c>
      <c r="AL80" s="107" t="str">
        <f t="shared" si="56"/>
        <v/>
      </c>
      <c r="CA80" s="191" t="str">
        <f t="shared" si="73"/>
        <v/>
      </c>
      <c r="CB80" s="191" t="str">
        <f t="shared" si="74"/>
        <v/>
      </c>
      <c r="CC80" s="191" t="str">
        <f t="shared" si="75"/>
        <v/>
      </c>
      <c r="CD80" s="191" t="str">
        <f t="shared" si="76"/>
        <v/>
      </c>
      <c r="DK80" s="1048">
        <f t="shared" si="49"/>
        <v>0</v>
      </c>
      <c r="DL80" s="1048">
        <f t="shared" si="50"/>
        <v>0</v>
      </c>
      <c r="DM80" s="1048">
        <f t="shared" si="51"/>
        <v>0</v>
      </c>
      <c r="DN80" s="1048">
        <f t="shared" si="52"/>
        <v>0</v>
      </c>
    </row>
    <row r="81" spans="1:146" ht="15" customHeight="1" x14ac:dyDescent="0.15">
      <c r="A81" s="2008" t="s">
        <v>566</v>
      </c>
      <c r="B81" s="2009"/>
      <c r="C81" s="1950"/>
      <c r="D81" s="1950"/>
      <c r="E81" s="1950"/>
      <c r="F81" s="1950"/>
      <c r="G81" s="1950"/>
      <c r="H81" s="1950"/>
      <c r="I81" s="1950"/>
      <c r="J81" s="1950"/>
      <c r="K81" s="1950"/>
      <c r="L81" s="1950"/>
      <c r="M81" s="1950"/>
      <c r="N81" s="1950"/>
      <c r="O81" s="1950"/>
      <c r="P81" s="1950"/>
      <c r="Q81" s="1950"/>
      <c r="R81" s="1950"/>
      <c r="S81" s="1950"/>
      <c r="T81" s="1950"/>
      <c r="U81" s="1950"/>
      <c r="V81" s="1950"/>
      <c r="W81" s="1950"/>
      <c r="X81" s="1950"/>
      <c r="Y81" s="1950"/>
      <c r="Z81" s="1950"/>
      <c r="AA81" s="1950"/>
      <c r="AB81" s="1950"/>
      <c r="AC81" s="1950"/>
      <c r="AD81" s="1950"/>
      <c r="AE81" s="1950"/>
      <c r="AF81" s="1950"/>
      <c r="AG81" s="1950"/>
      <c r="AH81" s="1950"/>
      <c r="AI81" s="1950"/>
      <c r="AJ81" s="1950"/>
      <c r="AK81" s="1887"/>
    </row>
    <row r="82" spans="1:146" ht="15" customHeight="1" x14ac:dyDescent="0.15">
      <c r="A82" s="1975" t="s">
        <v>567</v>
      </c>
      <c r="B82" s="1976"/>
      <c r="C82" s="1146">
        <f t="shared" ref="C82:C87" si="85">SUM(D82:E82)</f>
        <v>11</v>
      </c>
      <c r="D82" s="392">
        <f>+F82+H82+J82+L82+N82+P82+R82+T82+V82+X82</f>
        <v>5</v>
      </c>
      <c r="E82" s="447">
        <f>+G82+I82+K82+M82+O82+Q82+S82+U82+W82+Y82</f>
        <v>6</v>
      </c>
      <c r="F82" s="394">
        <v>0</v>
      </c>
      <c r="G82" s="395">
        <v>0</v>
      </c>
      <c r="H82" s="394">
        <v>0</v>
      </c>
      <c r="I82" s="395">
        <v>0</v>
      </c>
      <c r="J82" s="394">
        <v>0</v>
      </c>
      <c r="K82" s="395">
        <v>0</v>
      </c>
      <c r="L82" s="394">
        <v>0</v>
      </c>
      <c r="M82" s="395">
        <v>0</v>
      </c>
      <c r="N82" s="394">
        <v>0</v>
      </c>
      <c r="O82" s="395">
        <v>0</v>
      </c>
      <c r="P82" s="394">
        <v>1</v>
      </c>
      <c r="Q82" s="395">
        <v>0</v>
      </c>
      <c r="R82" s="394">
        <v>0</v>
      </c>
      <c r="S82" s="395">
        <v>0</v>
      </c>
      <c r="T82" s="394">
        <v>2</v>
      </c>
      <c r="U82" s="395">
        <v>0</v>
      </c>
      <c r="V82" s="394">
        <v>1</v>
      </c>
      <c r="W82" s="395">
        <v>2</v>
      </c>
      <c r="X82" s="394">
        <v>1</v>
      </c>
      <c r="Y82" s="395">
        <v>4</v>
      </c>
      <c r="Z82" s="433"/>
      <c r="AA82" s="434"/>
      <c r="AB82" s="433"/>
      <c r="AC82" s="434"/>
      <c r="AD82" s="433"/>
      <c r="AE82" s="434"/>
      <c r="AF82" s="885"/>
      <c r="AG82" s="571"/>
      <c r="AH82" s="468">
        <v>4</v>
      </c>
      <c r="AI82" s="395">
        <v>5</v>
      </c>
      <c r="AJ82" s="468">
        <v>0</v>
      </c>
      <c r="AK82" s="418">
        <v>0</v>
      </c>
      <c r="AL82" s="107" t="str">
        <f t="shared" si="56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6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7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8">IF(AND(E82&gt;0,OR(AK82=""))," * No olvide digitar la variable Migrantes Mujeres. Digite Cero si no tiene.",IF(AK82&gt;E82," * La variable Migrantes Mujeres no puede ser Mayor al Total Mujeres.",""))</f>
        <v/>
      </c>
      <c r="DK82" s="1048">
        <f t="shared" si="49"/>
        <v>0</v>
      </c>
      <c r="DL82" s="1048">
        <f t="shared" si="50"/>
        <v>0</v>
      </c>
      <c r="DM82" s="1048">
        <f t="shared" si="51"/>
        <v>0</v>
      </c>
      <c r="DN82" s="1048">
        <f t="shared" si="52"/>
        <v>0</v>
      </c>
    </row>
    <row r="83" spans="1:146" ht="15" customHeight="1" x14ac:dyDescent="0.15">
      <c r="A83" s="1962" t="s">
        <v>568</v>
      </c>
      <c r="B83" s="1963"/>
      <c r="C83" s="1143">
        <f t="shared" si="85"/>
        <v>12</v>
      </c>
      <c r="D83" s="387">
        <f>+Z83+AB83+AD83+AF83</f>
        <v>8</v>
      </c>
      <c r="E83" s="454">
        <f>+AA83+AC83+AE83+AG83</f>
        <v>4</v>
      </c>
      <c r="F83" s="546"/>
      <c r="G83" s="547"/>
      <c r="H83" s="546"/>
      <c r="I83" s="547"/>
      <c r="J83" s="546"/>
      <c r="K83" s="547"/>
      <c r="L83" s="546"/>
      <c r="M83" s="547"/>
      <c r="N83" s="546"/>
      <c r="O83" s="547"/>
      <c r="P83" s="546"/>
      <c r="Q83" s="547"/>
      <c r="R83" s="546"/>
      <c r="S83" s="547"/>
      <c r="T83" s="546"/>
      <c r="U83" s="547"/>
      <c r="V83" s="546"/>
      <c r="W83" s="547"/>
      <c r="X83" s="546"/>
      <c r="Y83" s="547"/>
      <c r="Z83" s="417">
        <v>2</v>
      </c>
      <c r="AA83" s="418">
        <v>1</v>
      </c>
      <c r="AB83" s="417">
        <v>3</v>
      </c>
      <c r="AC83" s="418">
        <v>1</v>
      </c>
      <c r="AD83" s="417">
        <v>2</v>
      </c>
      <c r="AE83" s="418">
        <v>1</v>
      </c>
      <c r="AF83" s="468">
        <v>1</v>
      </c>
      <c r="AG83" s="419">
        <v>1</v>
      </c>
      <c r="AH83" s="468">
        <v>7</v>
      </c>
      <c r="AI83" s="418">
        <v>2</v>
      </c>
      <c r="AJ83" s="468">
        <v>0</v>
      </c>
      <c r="AK83" s="418">
        <v>0</v>
      </c>
      <c r="AL83" s="107" t="str">
        <f t="shared" si="56"/>
        <v/>
      </c>
      <c r="CA83" s="191" t="str">
        <f t="shared" ref="CA83:CA95" si="89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6"/>
        <v/>
      </c>
      <c r="CC83" s="191" t="str">
        <f t="shared" si="87"/>
        <v/>
      </c>
      <c r="CD83" s="191" t="str">
        <f t="shared" si="88"/>
        <v/>
      </c>
      <c r="DK83" s="1048">
        <f t="shared" si="49"/>
        <v>0</v>
      </c>
      <c r="DL83" s="1048">
        <f t="shared" si="50"/>
        <v>0</v>
      </c>
      <c r="DM83" s="1048">
        <f t="shared" si="51"/>
        <v>0</v>
      </c>
      <c r="DN83" s="1048">
        <f t="shared" si="52"/>
        <v>0</v>
      </c>
    </row>
    <row r="84" spans="1:146" ht="15" customHeight="1" x14ac:dyDescent="0.15">
      <c r="A84" s="1962" t="s">
        <v>569</v>
      </c>
      <c r="B84" s="1963"/>
      <c r="C84" s="1148">
        <f t="shared" si="85"/>
        <v>34</v>
      </c>
      <c r="D84" s="397">
        <f>+F84+H84+J84+L84+N84+P84+R84+T84+V84+X84</f>
        <v>15</v>
      </c>
      <c r="E84" s="448">
        <f>+G84+I84+K84+M84+O84+Q84+S84+U84+W84+Y84</f>
        <v>19</v>
      </c>
      <c r="F84" s="398">
        <v>0</v>
      </c>
      <c r="G84" s="399">
        <v>0</v>
      </c>
      <c r="H84" s="398">
        <v>0</v>
      </c>
      <c r="I84" s="399">
        <v>0</v>
      </c>
      <c r="J84" s="398">
        <v>0</v>
      </c>
      <c r="K84" s="399">
        <v>0</v>
      </c>
      <c r="L84" s="398">
        <v>0</v>
      </c>
      <c r="M84" s="399">
        <v>1</v>
      </c>
      <c r="N84" s="398">
        <v>0</v>
      </c>
      <c r="O84" s="399">
        <v>3</v>
      </c>
      <c r="P84" s="398">
        <v>1</v>
      </c>
      <c r="Q84" s="399">
        <v>1</v>
      </c>
      <c r="R84" s="398">
        <v>1</v>
      </c>
      <c r="S84" s="399">
        <v>4</v>
      </c>
      <c r="T84" s="398">
        <v>7</v>
      </c>
      <c r="U84" s="399">
        <v>2</v>
      </c>
      <c r="V84" s="398">
        <v>1</v>
      </c>
      <c r="W84" s="399">
        <v>5</v>
      </c>
      <c r="X84" s="398">
        <v>5</v>
      </c>
      <c r="Y84" s="399">
        <v>3</v>
      </c>
      <c r="Z84" s="436"/>
      <c r="AA84" s="437"/>
      <c r="AB84" s="436"/>
      <c r="AC84" s="437"/>
      <c r="AD84" s="436"/>
      <c r="AE84" s="437"/>
      <c r="AF84" s="534"/>
      <c r="AG84" s="536"/>
      <c r="AH84" s="468">
        <v>10</v>
      </c>
      <c r="AI84" s="418">
        <v>15</v>
      </c>
      <c r="AJ84" s="468">
        <v>0</v>
      </c>
      <c r="AK84" s="418">
        <v>0</v>
      </c>
      <c r="AL84" s="107" t="str">
        <f t="shared" si="56"/>
        <v/>
      </c>
      <c r="CA84" s="191" t="str">
        <f t="shared" si="89"/>
        <v/>
      </c>
      <c r="CB84" s="191" t="str">
        <f t="shared" si="86"/>
        <v/>
      </c>
      <c r="CC84" s="191" t="str">
        <f t="shared" si="87"/>
        <v/>
      </c>
      <c r="CD84" s="191" t="str">
        <f t="shared" si="88"/>
        <v/>
      </c>
      <c r="DK84" s="1048">
        <f t="shared" si="49"/>
        <v>0</v>
      </c>
      <c r="DL84" s="1048">
        <f t="shared" si="50"/>
        <v>0</v>
      </c>
      <c r="DM84" s="1048">
        <f t="shared" si="51"/>
        <v>0</v>
      </c>
      <c r="DN84" s="1048">
        <f t="shared" si="52"/>
        <v>0</v>
      </c>
    </row>
    <row r="85" spans="1:146" ht="15" customHeight="1" x14ac:dyDescent="0.15">
      <c r="A85" s="1962" t="s">
        <v>570</v>
      </c>
      <c r="B85" s="1963"/>
      <c r="C85" s="1148">
        <f t="shared" si="85"/>
        <v>12</v>
      </c>
      <c r="D85" s="397">
        <f>+Z85+AB85+AD85+AF85</f>
        <v>4</v>
      </c>
      <c r="E85" s="385">
        <f>+AA85+AC85+AE85+AG85</f>
        <v>8</v>
      </c>
      <c r="F85" s="436"/>
      <c r="G85" s="437"/>
      <c r="H85" s="436"/>
      <c r="I85" s="437"/>
      <c r="J85" s="436"/>
      <c r="K85" s="437"/>
      <c r="L85" s="436"/>
      <c r="M85" s="437"/>
      <c r="N85" s="436"/>
      <c r="O85" s="437"/>
      <c r="P85" s="436"/>
      <c r="Q85" s="437"/>
      <c r="R85" s="436"/>
      <c r="S85" s="437"/>
      <c r="T85" s="436"/>
      <c r="U85" s="437"/>
      <c r="V85" s="436"/>
      <c r="W85" s="437"/>
      <c r="X85" s="436"/>
      <c r="Y85" s="437"/>
      <c r="Z85" s="398">
        <v>1</v>
      </c>
      <c r="AA85" s="399">
        <v>3</v>
      </c>
      <c r="AB85" s="398">
        <v>1</v>
      </c>
      <c r="AC85" s="399">
        <v>1</v>
      </c>
      <c r="AD85" s="398">
        <v>1</v>
      </c>
      <c r="AE85" s="399">
        <v>1</v>
      </c>
      <c r="AF85" s="465">
        <v>1</v>
      </c>
      <c r="AG85" s="407">
        <v>3</v>
      </c>
      <c r="AH85" s="465">
        <v>2</v>
      </c>
      <c r="AI85" s="399">
        <v>6</v>
      </c>
      <c r="AJ85" s="465">
        <v>0</v>
      </c>
      <c r="AK85" s="399">
        <v>0</v>
      </c>
      <c r="AL85" s="107" t="str">
        <f t="shared" si="56"/>
        <v/>
      </c>
      <c r="CA85" s="191" t="str">
        <f t="shared" si="89"/>
        <v/>
      </c>
      <c r="CB85" s="191" t="str">
        <f t="shared" si="86"/>
        <v/>
      </c>
      <c r="CC85" s="191" t="str">
        <f t="shared" si="87"/>
        <v/>
      </c>
      <c r="CD85" s="191" t="str">
        <f t="shared" si="88"/>
        <v/>
      </c>
      <c r="DK85" s="1048">
        <f t="shared" si="49"/>
        <v>0</v>
      </c>
      <c r="DL85" s="1048">
        <f t="shared" si="50"/>
        <v>0</v>
      </c>
      <c r="DM85" s="1048">
        <f t="shared" si="51"/>
        <v>0</v>
      </c>
      <c r="DN85" s="1048">
        <f t="shared" si="52"/>
        <v>0</v>
      </c>
    </row>
    <row r="86" spans="1:146" ht="15" customHeight="1" x14ac:dyDescent="0.15">
      <c r="A86" s="1995" t="s">
        <v>571</v>
      </c>
      <c r="B86" s="1996"/>
      <c r="C86" s="1144">
        <f>SUM(D86:E86)</f>
        <v>6</v>
      </c>
      <c r="D86" s="391">
        <f>+F86+H86+J86+L86+N86+P86+R86+T86+V86+X86+Z86+AB86+AD86+AF86</f>
        <v>5</v>
      </c>
      <c r="E86" s="391">
        <f>+G86+I86+K86+M86+O86+Q86+S86+U86+W86+Y86+AA86+AC86+AE86+AG86</f>
        <v>1</v>
      </c>
      <c r="F86" s="403">
        <v>0</v>
      </c>
      <c r="G86" s="404">
        <v>0</v>
      </c>
      <c r="H86" s="403">
        <v>0</v>
      </c>
      <c r="I86" s="404">
        <v>0</v>
      </c>
      <c r="J86" s="403">
        <v>0</v>
      </c>
      <c r="K86" s="404">
        <v>0</v>
      </c>
      <c r="L86" s="403">
        <v>0</v>
      </c>
      <c r="M86" s="404">
        <v>0</v>
      </c>
      <c r="N86" s="403">
        <v>0</v>
      </c>
      <c r="O86" s="404">
        <v>1</v>
      </c>
      <c r="P86" s="403">
        <v>0</v>
      </c>
      <c r="Q86" s="404">
        <v>0</v>
      </c>
      <c r="R86" s="403">
        <v>0</v>
      </c>
      <c r="S86" s="404">
        <v>0</v>
      </c>
      <c r="T86" s="403">
        <v>2</v>
      </c>
      <c r="U86" s="404">
        <v>0</v>
      </c>
      <c r="V86" s="403">
        <v>0</v>
      </c>
      <c r="W86" s="404">
        <v>0</v>
      </c>
      <c r="X86" s="403">
        <v>1</v>
      </c>
      <c r="Y86" s="404">
        <v>0</v>
      </c>
      <c r="Z86" s="403">
        <v>1</v>
      </c>
      <c r="AA86" s="404">
        <v>0</v>
      </c>
      <c r="AB86" s="403">
        <v>0</v>
      </c>
      <c r="AC86" s="404">
        <v>0</v>
      </c>
      <c r="AD86" s="403">
        <v>1</v>
      </c>
      <c r="AE86" s="404">
        <v>0</v>
      </c>
      <c r="AF86" s="464">
        <v>0</v>
      </c>
      <c r="AG86" s="431">
        <v>0</v>
      </c>
      <c r="AH86" s="464">
        <v>3</v>
      </c>
      <c r="AI86" s="404">
        <v>1</v>
      </c>
      <c r="AJ86" s="464">
        <v>0</v>
      </c>
      <c r="AK86" s="404">
        <v>0</v>
      </c>
      <c r="AL86" s="107" t="str">
        <f t="shared" si="56"/>
        <v/>
      </c>
      <c r="CA86" s="191" t="str">
        <f t="shared" si="89"/>
        <v/>
      </c>
      <c r="CB86" s="191" t="str">
        <f t="shared" si="86"/>
        <v/>
      </c>
      <c r="CC86" s="191" t="str">
        <f t="shared" si="87"/>
        <v/>
      </c>
      <c r="CD86" s="191" t="str">
        <f t="shared" si="88"/>
        <v/>
      </c>
      <c r="DK86" s="1048">
        <f t="shared" si="49"/>
        <v>0</v>
      </c>
      <c r="DL86" s="1048">
        <f t="shared" si="50"/>
        <v>0</v>
      </c>
      <c r="DM86" s="1048">
        <f t="shared" si="51"/>
        <v>0</v>
      </c>
      <c r="DN86" s="1048">
        <f t="shared" si="52"/>
        <v>0</v>
      </c>
    </row>
    <row r="87" spans="1:146" ht="15" customHeight="1" x14ac:dyDescent="0.15">
      <c r="A87" s="1944" t="s">
        <v>529</v>
      </c>
      <c r="B87" s="1945"/>
      <c r="C87" s="1145">
        <f t="shared" si="85"/>
        <v>3</v>
      </c>
      <c r="D87" s="540">
        <f>+F87+H87+J87+L87+N87+P87+R87+T87+V87+X87+Z87+AB87+AD87+AF87</f>
        <v>3</v>
      </c>
      <c r="E87" s="589">
        <f>+G87+I87+K87+M87+O87+Q87+S87+U87+W87+Y87+AA87+AC87+AE87+AG87</f>
        <v>0</v>
      </c>
      <c r="F87" s="413">
        <v>0</v>
      </c>
      <c r="G87" s="414">
        <v>0</v>
      </c>
      <c r="H87" s="413">
        <v>0</v>
      </c>
      <c r="I87" s="414">
        <v>0</v>
      </c>
      <c r="J87" s="413">
        <v>0</v>
      </c>
      <c r="K87" s="414">
        <v>0</v>
      </c>
      <c r="L87" s="413">
        <v>0</v>
      </c>
      <c r="M87" s="414">
        <v>0</v>
      </c>
      <c r="N87" s="413">
        <v>0</v>
      </c>
      <c r="O87" s="414">
        <v>0</v>
      </c>
      <c r="P87" s="413">
        <v>0</v>
      </c>
      <c r="Q87" s="414">
        <v>0</v>
      </c>
      <c r="R87" s="413">
        <v>0</v>
      </c>
      <c r="S87" s="414">
        <v>0</v>
      </c>
      <c r="T87" s="413">
        <v>2</v>
      </c>
      <c r="U87" s="414">
        <v>0</v>
      </c>
      <c r="V87" s="413">
        <v>0</v>
      </c>
      <c r="W87" s="414">
        <v>0</v>
      </c>
      <c r="X87" s="413">
        <v>0</v>
      </c>
      <c r="Y87" s="414">
        <v>0</v>
      </c>
      <c r="Z87" s="403">
        <v>1</v>
      </c>
      <c r="AA87" s="404">
        <v>0</v>
      </c>
      <c r="AB87" s="403">
        <v>0</v>
      </c>
      <c r="AC87" s="404">
        <v>0</v>
      </c>
      <c r="AD87" s="403">
        <v>0</v>
      </c>
      <c r="AE87" s="404">
        <v>0</v>
      </c>
      <c r="AF87" s="403">
        <v>0</v>
      </c>
      <c r="AG87" s="431">
        <v>0</v>
      </c>
      <c r="AH87" s="464">
        <v>2</v>
      </c>
      <c r="AI87" s="404">
        <v>0</v>
      </c>
      <c r="AJ87" s="464">
        <v>0</v>
      </c>
      <c r="AK87" s="404">
        <v>0</v>
      </c>
      <c r="AL87" s="107" t="str">
        <f t="shared" si="56"/>
        <v/>
      </c>
      <c r="CA87" s="191" t="str">
        <f t="shared" si="89"/>
        <v/>
      </c>
      <c r="CB87" s="191" t="str">
        <f t="shared" si="86"/>
        <v/>
      </c>
      <c r="CC87" s="191" t="str">
        <f t="shared" si="87"/>
        <v/>
      </c>
      <c r="CD87" s="191" t="str">
        <f t="shared" si="88"/>
        <v/>
      </c>
      <c r="DK87" s="1048">
        <f t="shared" si="49"/>
        <v>0</v>
      </c>
      <c r="DL87" s="1048">
        <f t="shared" si="50"/>
        <v>0</v>
      </c>
      <c r="DM87" s="1048">
        <f t="shared" si="51"/>
        <v>0</v>
      </c>
      <c r="DN87" s="1048">
        <f t="shared" si="52"/>
        <v>0</v>
      </c>
    </row>
    <row r="88" spans="1:146" ht="15" customHeight="1" x14ac:dyDescent="0.15">
      <c r="A88" s="1946" t="s">
        <v>572</v>
      </c>
      <c r="B88" s="1258" t="s">
        <v>573</v>
      </c>
      <c r="C88" s="1148">
        <f>SUM(D88:E88)</f>
        <v>42</v>
      </c>
      <c r="D88" s="387">
        <f t="shared" ref="D88:E95" si="90">+F88+H88+J88+L88+N88+P88+R88+T88+V88+X88+Z88+AB88+AD88+AF88</f>
        <v>19</v>
      </c>
      <c r="E88" s="385">
        <f t="shared" si="90"/>
        <v>23</v>
      </c>
      <c r="F88" s="417">
        <v>0</v>
      </c>
      <c r="G88" s="418">
        <v>0</v>
      </c>
      <c r="H88" s="417">
        <v>0</v>
      </c>
      <c r="I88" s="418">
        <v>0</v>
      </c>
      <c r="J88" s="417">
        <v>0</v>
      </c>
      <c r="K88" s="418">
        <v>0</v>
      </c>
      <c r="L88" s="417">
        <v>0</v>
      </c>
      <c r="M88" s="418">
        <v>1</v>
      </c>
      <c r="N88" s="417">
        <v>0</v>
      </c>
      <c r="O88" s="418">
        <v>3</v>
      </c>
      <c r="P88" s="417">
        <v>2</v>
      </c>
      <c r="Q88" s="418">
        <v>1</v>
      </c>
      <c r="R88" s="417">
        <v>1</v>
      </c>
      <c r="S88" s="418">
        <v>1</v>
      </c>
      <c r="T88" s="417">
        <v>4</v>
      </c>
      <c r="U88" s="418">
        <v>1</v>
      </c>
      <c r="V88" s="417">
        <v>2</v>
      </c>
      <c r="W88" s="418">
        <v>3</v>
      </c>
      <c r="X88" s="417">
        <v>1</v>
      </c>
      <c r="Y88" s="418">
        <v>3</v>
      </c>
      <c r="Z88" s="417">
        <v>2</v>
      </c>
      <c r="AA88" s="418">
        <v>3</v>
      </c>
      <c r="AB88" s="417">
        <v>2</v>
      </c>
      <c r="AC88" s="418">
        <v>0</v>
      </c>
      <c r="AD88" s="417">
        <v>3</v>
      </c>
      <c r="AE88" s="418">
        <v>1</v>
      </c>
      <c r="AF88" s="417">
        <v>2</v>
      </c>
      <c r="AG88" s="419">
        <v>6</v>
      </c>
      <c r="AH88" s="412">
        <v>9</v>
      </c>
      <c r="AI88" s="395">
        <v>12</v>
      </c>
      <c r="AJ88" s="462">
        <v>0</v>
      </c>
      <c r="AK88" s="533">
        <v>0</v>
      </c>
      <c r="AL88" s="107" t="str">
        <f t="shared" si="56"/>
        <v/>
      </c>
      <c r="CA88" s="191" t="str">
        <f t="shared" si="89"/>
        <v/>
      </c>
      <c r="CB88" s="191" t="str">
        <f t="shared" ref="CB88:CB95" si="91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2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3">IF(AND(E88&gt;0,OR(AK88=""))," * No olvide digitar la variable Migrantes Mujeres. Digite Cero si no tiene.",IF(AK88&gt;E88," * La variable Migrantes Mujeres no puede ser Mayor al Total Mujeres.",""))</f>
        <v/>
      </c>
      <c r="DK88" s="1048">
        <f t="shared" si="49"/>
        <v>0</v>
      </c>
      <c r="DL88" s="1048">
        <f t="shared" si="50"/>
        <v>0</v>
      </c>
      <c r="DM88" s="1048">
        <f t="shared" si="51"/>
        <v>0</v>
      </c>
      <c r="DN88" s="1048">
        <f t="shared" si="52"/>
        <v>0</v>
      </c>
    </row>
    <row r="89" spans="1:146" ht="15" customHeight="1" x14ac:dyDescent="0.15">
      <c r="A89" s="1946"/>
      <c r="B89" s="1259" t="s">
        <v>574</v>
      </c>
      <c r="C89" s="1148">
        <f t="shared" ref="C89:C95" si="94">SUM(D89:E89)</f>
        <v>38</v>
      </c>
      <c r="D89" s="397">
        <f t="shared" si="90"/>
        <v>17</v>
      </c>
      <c r="E89" s="448">
        <f t="shared" si="90"/>
        <v>21</v>
      </c>
      <c r="F89" s="398">
        <v>0</v>
      </c>
      <c r="G89" s="399">
        <v>0</v>
      </c>
      <c r="H89" s="398">
        <v>0</v>
      </c>
      <c r="I89" s="399">
        <v>0</v>
      </c>
      <c r="J89" s="398">
        <v>0</v>
      </c>
      <c r="K89" s="399">
        <v>0</v>
      </c>
      <c r="L89" s="398">
        <v>0</v>
      </c>
      <c r="M89" s="399">
        <v>0</v>
      </c>
      <c r="N89" s="398">
        <v>0</v>
      </c>
      <c r="O89" s="399">
        <v>0</v>
      </c>
      <c r="P89" s="398">
        <v>0</v>
      </c>
      <c r="Q89" s="399">
        <v>0</v>
      </c>
      <c r="R89" s="398">
        <v>0</v>
      </c>
      <c r="S89" s="399">
        <v>3</v>
      </c>
      <c r="T89" s="398">
        <v>4</v>
      </c>
      <c r="U89" s="399">
        <v>0</v>
      </c>
      <c r="V89" s="398">
        <v>0</v>
      </c>
      <c r="W89" s="399">
        <v>4</v>
      </c>
      <c r="X89" s="398">
        <v>4</v>
      </c>
      <c r="Y89" s="399">
        <v>3</v>
      </c>
      <c r="Z89" s="398">
        <v>3</v>
      </c>
      <c r="AA89" s="399">
        <v>1</v>
      </c>
      <c r="AB89" s="398">
        <v>2</v>
      </c>
      <c r="AC89" s="399">
        <v>4</v>
      </c>
      <c r="AD89" s="398">
        <v>1</v>
      </c>
      <c r="AE89" s="399">
        <v>2</v>
      </c>
      <c r="AF89" s="417">
        <v>3</v>
      </c>
      <c r="AG89" s="419">
        <v>4</v>
      </c>
      <c r="AH89" s="445">
        <v>15</v>
      </c>
      <c r="AI89" s="399">
        <v>17</v>
      </c>
      <c r="AJ89" s="660">
        <v>0</v>
      </c>
      <c r="AK89" s="533">
        <v>0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9"/>
        <v/>
      </c>
      <c r="CB89" s="191" t="str">
        <f t="shared" si="91"/>
        <v/>
      </c>
      <c r="CC89" s="191" t="str">
        <f t="shared" si="92"/>
        <v/>
      </c>
      <c r="CD89" s="191" t="str">
        <f t="shared" si="93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48">
        <f t="shared" si="49"/>
        <v>0</v>
      </c>
      <c r="DL89" s="1048">
        <f t="shared" si="50"/>
        <v>0</v>
      </c>
      <c r="DM89" s="1048">
        <f t="shared" si="51"/>
        <v>0</v>
      </c>
      <c r="DN89" s="1048">
        <f t="shared" si="52"/>
        <v>0</v>
      </c>
      <c r="DO89" s="1048">
        <f>IF(F$89+F$90+F$91+F$92+F$93+F$94&lt;=F$23,0,1)</f>
        <v>0</v>
      </c>
      <c r="DP89" s="1048">
        <f t="shared" ref="DP89:EP89" si="95">IF(G$89+G$90+G$91+G$92+G$93+G$94&lt;=G$23,0,1)</f>
        <v>0</v>
      </c>
      <c r="DQ89" s="1048">
        <f t="shared" si="95"/>
        <v>0</v>
      </c>
      <c r="DR89" s="1048">
        <f t="shared" si="95"/>
        <v>0</v>
      </c>
      <c r="DS89" s="1048">
        <f t="shared" si="95"/>
        <v>0</v>
      </c>
      <c r="DT89" s="1048">
        <f t="shared" si="95"/>
        <v>0</v>
      </c>
      <c r="DU89" s="1048">
        <f t="shared" si="95"/>
        <v>0</v>
      </c>
      <c r="DV89" s="1048">
        <f t="shared" si="95"/>
        <v>0</v>
      </c>
      <c r="DW89" s="1048">
        <f t="shared" si="95"/>
        <v>0</v>
      </c>
      <c r="DX89" s="1048">
        <f t="shared" si="95"/>
        <v>0</v>
      </c>
      <c r="DY89" s="1048">
        <f t="shared" si="95"/>
        <v>0</v>
      </c>
      <c r="DZ89" s="1048">
        <f t="shared" si="95"/>
        <v>0</v>
      </c>
      <c r="EA89" s="1048">
        <f t="shared" si="95"/>
        <v>0</v>
      </c>
      <c r="EB89" s="1048">
        <f t="shared" si="95"/>
        <v>0</v>
      </c>
      <c r="EC89" s="1048">
        <f t="shared" si="95"/>
        <v>0</v>
      </c>
      <c r="ED89" s="1048">
        <f t="shared" si="95"/>
        <v>0</v>
      </c>
      <c r="EE89" s="1048">
        <f t="shared" si="95"/>
        <v>0</v>
      </c>
      <c r="EF89" s="1048">
        <f t="shared" si="95"/>
        <v>0</v>
      </c>
      <c r="EG89" s="1048">
        <f t="shared" si="95"/>
        <v>0</v>
      </c>
      <c r="EH89" s="1048">
        <f t="shared" si="95"/>
        <v>0</v>
      </c>
      <c r="EI89" s="1048">
        <f t="shared" si="95"/>
        <v>0</v>
      </c>
      <c r="EJ89" s="1048">
        <f t="shared" si="95"/>
        <v>0</v>
      </c>
      <c r="EK89" s="1048">
        <f t="shared" si="95"/>
        <v>0</v>
      </c>
      <c r="EL89" s="1048">
        <f t="shared" si="95"/>
        <v>0</v>
      </c>
      <c r="EM89" s="1048">
        <f t="shared" si="95"/>
        <v>0</v>
      </c>
      <c r="EN89" s="1048">
        <f t="shared" si="95"/>
        <v>0</v>
      </c>
      <c r="EO89" s="1048">
        <f t="shared" si="95"/>
        <v>0</v>
      </c>
      <c r="EP89" s="1048">
        <f t="shared" si="95"/>
        <v>0</v>
      </c>
    </row>
    <row r="90" spans="1:146" ht="15" customHeight="1" x14ac:dyDescent="0.15">
      <c r="A90" s="1946"/>
      <c r="B90" s="1259" t="s">
        <v>575</v>
      </c>
      <c r="C90" s="1148">
        <f t="shared" si="94"/>
        <v>16</v>
      </c>
      <c r="D90" s="397">
        <f t="shared" si="90"/>
        <v>9</v>
      </c>
      <c r="E90" s="448">
        <f t="shared" si="90"/>
        <v>7</v>
      </c>
      <c r="F90" s="398">
        <v>0</v>
      </c>
      <c r="G90" s="399">
        <v>0</v>
      </c>
      <c r="H90" s="398">
        <v>0</v>
      </c>
      <c r="I90" s="399">
        <v>0</v>
      </c>
      <c r="J90" s="398">
        <v>0</v>
      </c>
      <c r="K90" s="399">
        <v>0</v>
      </c>
      <c r="L90" s="398">
        <v>0</v>
      </c>
      <c r="M90" s="399">
        <v>0</v>
      </c>
      <c r="N90" s="398">
        <v>0</v>
      </c>
      <c r="O90" s="399">
        <v>0</v>
      </c>
      <c r="P90" s="398">
        <v>0</v>
      </c>
      <c r="Q90" s="399">
        <v>0</v>
      </c>
      <c r="R90" s="398">
        <v>0</v>
      </c>
      <c r="S90" s="399">
        <v>0</v>
      </c>
      <c r="T90" s="398">
        <v>2</v>
      </c>
      <c r="U90" s="399">
        <v>1</v>
      </c>
      <c r="V90" s="398">
        <v>0</v>
      </c>
      <c r="W90" s="399">
        <v>1</v>
      </c>
      <c r="X90" s="398">
        <v>1</v>
      </c>
      <c r="Y90" s="399">
        <v>1</v>
      </c>
      <c r="Z90" s="398">
        <v>3</v>
      </c>
      <c r="AA90" s="399">
        <v>3</v>
      </c>
      <c r="AB90" s="398">
        <v>2</v>
      </c>
      <c r="AC90" s="399">
        <v>0</v>
      </c>
      <c r="AD90" s="398">
        <v>0</v>
      </c>
      <c r="AE90" s="399">
        <v>0</v>
      </c>
      <c r="AF90" s="417">
        <v>1</v>
      </c>
      <c r="AG90" s="419">
        <v>1</v>
      </c>
      <c r="AH90" s="445">
        <v>5</v>
      </c>
      <c r="AI90" s="399">
        <v>6</v>
      </c>
      <c r="AJ90" s="660">
        <v>0</v>
      </c>
      <c r="AK90" s="533">
        <v>0</v>
      </c>
      <c r="AL90" s="107" t="str">
        <f t="shared" si="56"/>
        <v/>
      </c>
      <c r="CA90" s="191" t="str">
        <f t="shared" si="89"/>
        <v/>
      </c>
      <c r="CB90" s="191" t="str">
        <f t="shared" si="91"/>
        <v/>
      </c>
      <c r="CC90" s="191" t="str">
        <f t="shared" si="92"/>
        <v/>
      </c>
      <c r="CD90" s="191" t="str">
        <f t="shared" si="93"/>
        <v/>
      </c>
      <c r="DK90" s="1048">
        <f t="shared" si="49"/>
        <v>0</v>
      </c>
      <c r="DL90" s="1048">
        <f t="shared" si="50"/>
        <v>0</v>
      </c>
      <c r="DM90" s="1048">
        <f t="shared" si="51"/>
        <v>0</v>
      </c>
      <c r="DN90" s="1048">
        <f t="shared" si="52"/>
        <v>0</v>
      </c>
    </row>
    <row r="91" spans="1:146" ht="15" customHeight="1" x14ac:dyDescent="0.15">
      <c r="A91" s="1946"/>
      <c r="B91" s="1259" t="s">
        <v>576</v>
      </c>
      <c r="C91" s="1148">
        <f t="shared" si="94"/>
        <v>3</v>
      </c>
      <c r="D91" s="397">
        <f t="shared" si="90"/>
        <v>0</v>
      </c>
      <c r="E91" s="448">
        <f t="shared" si="90"/>
        <v>3</v>
      </c>
      <c r="F91" s="398">
        <v>0</v>
      </c>
      <c r="G91" s="399">
        <v>0</v>
      </c>
      <c r="H91" s="398">
        <v>0</v>
      </c>
      <c r="I91" s="399">
        <v>0</v>
      </c>
      <c r="J91" s="398">
        <v>0</v>
      </c>
      <c r="K91" s="399">
        <v>0</v>
      </c>
      <c r="L91" s="398">
        <v>0</v>
      </c>
      <c r="M91" s="399">
        <v>0</v>
      </c>
      <c r="N91" s="398">
        <v>0</v>
      </c>
      <c r="O91" s="399">
        <v>0</v>
      </c>
      <c r="P91" s="398">
        <v>0</v>
      </c>
      <c r="Q91" s="399">
        <v>0</v>
      </c>
      <c r="R91" s="398">
        <v>0</v>
      </c>
      <c r="S91" s="399">
        <v>0</v>
      </c>
      <c r="T91" s="398">
        <v>0</v>
      </c>
      <c r="U91" s="399">
        <v>0</v>
      </c>
      <c r="V91" s="398">
        <v>0</v>
      </c>
      <c r="W91" s="399">
        <v>0</v>
      </c>
      <c r="X91" s="398">
        <v>0</v>
      </c>
      <c r="Y91" s="399">
        <v>0</v>
      </c>
      <c r="Z91" s="398">
        <v>0</v>
      </c>
      <c r="AA91" s="399">
        <v>0</v>
      </c>
      <c r="AB91" s="398">
        <v>0</v>
      </c>
      <c r="AC91" s="399">
        <v>0</v>
      </c>
      <c r="AD91" s="398">
        <v>0</v>
      </c>
      <c r="AE91" s="399">
        <v>1</v>
      </c>
      <c r="AF91" s="417">
        <v>0</v>
      </c>
      <c r="AG91" s="419">
        <v>2</v>
      </c>
      <c r="AH91" s="445">
        <v>0</v>
      </c>
      <c r="AI91" s="399">
        <v>2</v>
      </c>
      <c r="AJ91" s="465">
        <v>0</v>
      </c>
      <c r="AK91" s="533">
        <v>0</v>
      </c>
      <c r="AL91" s="107" t="str">
        <f t="shared" si="56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1"/>
        <v/>
      </c>
      <c r="CC91" s="191" t="str">
        <f t="shared" si="92"/>
        <v/>
      </c>
      <c r="CD91" s="191" t="str">
        <f t="shared" si="93"/>
        <v/>
      </c>
      <c r="DK91" s="1048">
        <f t="shared" si="49"/>
        <v>0</v>
      </c>
      <c r="DL91" s="1048">
        <f t="shared" si="50"/>
        <v>0</v>
      </c>
      <c r="DM91" s="1048">
        <f t="shared" si="51"/>
        <v>0</v>
      </c>
      <c r="DN91" s="1048">
        <f t="shared" si="52"/>
        <v>0</v>
      </c>
    </row>
    <row r="92" spans="1:146" ht="15" customHeight="1" x14ac:dyDescent="0.15">
      <c r="A92" s="1946"/>
      <c r="B92" s="1259" t="s">
        <v>577</v>
      </c>
      <c r="C92" s="1148">
        <f t="shared" si="94"/>
        <v>2</v>
      </c>
      <c r="D92" s="397">
        <f t="shared" si="90"/>
        <v>2</v>
      </c>
      <c r="E92" s="448">
        <f t="shared" si="90"/>
        <v>0</v>
      </c>
      <c r="F92" s="398">
        <v>0</v>
      </c>
      <c r="G92" s="399">
        <v>0</v>
      </c>
      <c r="H92" s="398">
        <v>0</v>
      </c>
      <c r="I92" s="399">
        <v>0</v>
      </c>
      <c r="J92" s="398">
        <v>0</v>
      </c>
      <c r="K92" s="399">
        <v>0</v>
      </c>
      <c r="L92" s="398">
        <v>0</v>
      </c>
      <c r="M92" s="399">
        <v>0</v>
      </c>
      <c r="N92" s="398">
        <v>0</v>
      </c>
      <c r="O92" s="399">
        <v>0</v>
      </c>
      <c r="P92" s="398">
        <v>0</v>
      </c>
      <c r="Q92" s="399">
        <v>0</v>
      </c>
      <c r="R92" s="398">
        <v>0</v>
      </c>
      <c r="S92" s="399">
        <v>0</v>
      </c>
      <c r="T92" s="398">
        <v>0</v>
      </c>
      <c r="U92" s="399">
        <v>0</v>
      </c>
      <c r="V92" s="398">
        <v>0</v>
      </c>
      <c r="W92" s="399">
        <v>0</v>
      </c>
      <c r="X92" s="398">
        <v>0</v>
      </c>
      <c r="Y92" s="399">
        <v>0</v>
      </c>
      <c r="Z92" s="398">
        <v>0</v>
      </c>
      <c r="AA92" s="399">
        <v>0</v>
      </c>
      <c r="AB92" s="398">
        <v>0</v>
      </c>
      <c r="AC92" s="399">
        <v>0</v>
      </c>
      <c r="AD92" s="398">
        <v>1</v>
      </c>
      <c r="AE92" s="399">
        <v>0</v>
      </c>
      <c r="AF92" s="417">
        <v>1</v>
      </c>
      <c r="AG92" s="419">
        <v>0</v>
      </c>
      <c r="AH92" s="445">
        <v>2</v>
      </c>
      <c r="AI92" s="399">
        <v>0</v>
      </c>
      <c r="AJ92" s="660">
        <v>0</v>
      </c>
      <c r="AK92" s="533">
        <v>0</v>
      </c>
      <c r="AL92" s="107" t="str">
        <f t="shared" si="56"/>
        <v/>
      </c>
      <c r="CA92" s="191" t="str">
        <f t="shared" si="89"/>
        <v/>
      </c>
      <c r="CB92" s="191" t="str">
        <f t="shared" si="91"/>
        <v/>
      </c>
      <c r="CC92" s="191" t="str">
        <f t="shared" si="92"/>
        <v/>
      </c>
      <c r="CD92" s="191" t="str">
        <f t="shared" si="93"/>
        <v/>
      </c>
      <c r="DK92" s="1048">
        <f t="shared" si="49"/>
        <v>0</v>
      </c>
      <c r="DL92" s="1048">
        <f t="shared" si="50"/>
        <v>0</v>
      </c>
      <c r="DM92" s="1048">
        <f t="shared" si="51"/>
        <v>0</v>
      </c>
      <c r="DN92" s="1048">
        <f t="shared" si="52"/>
        <v>0</v>
      </c>
    </row>
    <row r="93" spans="1:146" ht="15" customHeight="1" x14ac:dyDescent="0.15">
      <c r="A93" s="1946"/>
      <c r="B93" s="1259" t="s">
        <v>578</v>
      </c>
      <c r="C93" s="1148">
        <f t="shared" si="94"/>
        <v>0</v>
      </c>
      <c r="D93" s="397">
        <f t="shared" si="90"/>
        <v>0</v>
      </c>
      <c r="E93" s="448">
        <f t="shared" si="90"/>
        <v>0</v>
      </c>
      <c r="F93" s="398">
        <v>0</v>
      </c>
      <c r="G93" s="399">
        <v>0</v>
      </c>
      <c r="H93" s="398">
        <v>0</v>
      </c>
      <c r="I93" s="399">
        <v>0</v>
      </c>
      <c r="J93" s="398">
        <v>0</v>
      </c>
      <c r="K93" s="399">
        <v>0</v>
      </c>
      <c r="L93" s="398">
        <v>0</v>
      </c>
      <c r="M93" s="399">
        <v>0</v>
      </c>
      <c r="N93" s="398">
        <v>0</v>
      </c>
      <c r="O93" s="399">
        <v>0</v>
      </c>
      <c r="P93" s="398">
        <v>0</v>
      </c>
      <c r="Q93" s="399">
        <v>0</v>
      </c>
      <c r="R93" s="398">
        <v>0</v>
      </c>
      <c r="S93" s="399">
        <v>0</v>
      </c>
      <c r="T93" s="398">
        <v>0</v>
      </c>
      <c r="U93" s="399">
        <v>0</v>
      </c>
      <c r="V93" s="398">
        <v>0</v>
      </c>
      <c r="W93" s="399">
        <v>0</v>
      </c>
      <c r="X93" s="398">
        <v>0</v>
      </c>
      <c r="Y93" s="399">
        <v>0</v>
      </c>
      <c r="Z93" s="398">
        <v>0</v>
      </c>
      <c r="AA93" s="399">
        <v>0</v>
      </c>
      <c r="AB93" s="398">
        <v>0</v>
      </c>
      <c r="AC93" s="399">
        <v>0</v>
      </c>
      <c r="AD93" s="398">
        <v>0</v>
      </c>
      <c r="AE93" s="399">
        <v>0</v>
      </c>
      <c r="AF93" s="417">
        <v>0</v>
      </c>
      <c r="AG93" s="419">
        <v>0</v>
      </c>
      <c r="AH93" s="445">
        <v>0</v>
      </c>
      <c r="AI93" s="399">
        <v>0</v>
      </c>
      <c r="AJ93" s="465">
        <v>0</v>
      </c>
      <c r="AK93" s="533">
        <v>0</v>
      </c>
      <c r="AL93" s="107" t="str">
        <f t="shared" si="56"/>
        <v/>
      </c>
      <c r="CA93" s="191" t="str">
        <f t="shared" si="89"/>
        <v/>
      </c>
      <c r="CB93" s="191" t="str">
        <f t="shared" si="91"/>
        <v/>
      </c>
      <c r="CC93" s="191" t="str">
        <f t="shared" si="92"/>
        <v/>
      </c>
      <c r="CD93" s="191" t="str">
        <f t="shared" si="93"/>
        <v/>
      </c>
      <c r="DK93" s="1048">
        <f t="shared" si="49"/>
        <v>0</v>
      </c>
      <c r="DL93" s="1048">
        <f t="shared" si="50"/>
        <v>0</v>
      </c>
      <c r="DM93" s="1048">
        <f t="shared" si="51"/>
        <v>0</v>
      </c>
      <c r="DN93" s="1048">
        <f t="shared" si="52"/>
        <v>0</v>
      </c>
    </row>
    <row r="94" spans="1:146" ht="15" customHeight="1" x14ac:dyDescent="0.15">
      <c r="A94" s="1946"/>
      <c r="B94" s="1260" t="s">
        <v>579</v>
      </c>
      <c r="C94" s="1148">
        <f>SUM(D94:E94)</f>
        <v>0</v>
      </c>
      <c r="D94" s="397">
        <f>+F94+H94+J94+L94+N94+P94+R94+T94+V94+X94+Z94+AB94+AD94+AF94</f>
        <v>0</v>
      </c>
      <c r="E94" s="448">
        <f>+G94+I94+K94+M94+O94+Q94+S94+U94+W94+Y94+AA94+AC94+AE94+AG94</f>
        <v>0</v>
      </c>
      <c r="F94" s="408">
        <v>0</v>
      </c>
      <c r="G94" s="409">
        <v>0</v>
      </c>
      <c r="H94" s="408">
        <v>0</v>
      </c>
      <c r="I94" s="409">
        <v>0</v>
      </c>
      <c r="J94" s="408">
        <v>0</v>
      </c>
      <c r="K94" s="409">
        <v>0</v>
      </c>
      <c r="L94" s="408">
        <v>0</v>
      </c>
      <c r="M94" s="409">
        <v>0</v>
      </c>
      <c r="N94" s="408">
        <v>0</v>
      </c>
      <c r="O94" s="409">
        <v>0</v>
      </c>
      <c r="P94" s="408">
        <v>0</v>
      </c>
      <c r="Q94" s="409">
        <v>0</v>
      </c>
      <c r="R94" s="408">
        <v>0</v>
      </c>
      <c r="S94" s="409">
        <v>0</v>
      </c>
      <c r="T94" s="408">
        <v>0</v>
      </c>
      <c r="U94" s="409">
        <v>0</v>
      </c>
      <c r="V94" s="408">
        <v>0</v>
      </c>
      <c r="W94" s="409">
        <v>0</v>
      </c>
      <c r="X94" s="408">
        <v>0</v>
      </c>
      <c r="Y94" s="409">
        <v>0</v>
      </c>
      <c r="Z94" s="408">
        <v>0</v>
      </c>
      <c r="AA94" s="409">
        <v>0</v>
      </c>
      <c r="AB94" s="408">
        <v>0</v>
      </c>
      <c r="AC94" s="409">
        <v>0</v>
      </c>
      <c r="AD94" s="408">
        <v>0</v>
      </c>
      <c r="AE94" s="409">
        <v>0</v>
      </c>
      <c r="AF94" s="408">
        <v>0</v>
      </c>
      <c r="AG94" s="410">
        <v>0</v>
      </c>
      <c r="AH94" s="449">
        <v>0</v>
      </c>
      <c r="AI94" s="409">
        <v>0</v>
      </c>
      <c r="AJ94" s="660">
        <v>0</v>
      </c>
      <c r="AK94" s="533">
        <v>0</v>
      </c>
      <c r="AL94" s="107" t="str">
        <f t="shared" si="56"/>
        <v/>
      </c>
      <c r="CA94" s="191" t="str">
        <f t="shared" si="89"/>
        <v/>
      </c>
      <c r="CB94" s="191" t="str">
        <f t="shared" si="91"/>
        <v/>
      </c>
      <c r="CC94" s="191" t="str">
        <f t="shared" si="92"/>
        <v/>
      </c>
      <c r="CD94" s="191" t="str">
        <f t="shared" si="93"/>
        <v/>
      </c>
      <c r="DK94" s="1048">
        <f t="shared" si="49"/>
        <v>0</v>
      </c>
      <c r="DL94" s="1048">
        <f t="shared" si="50"/>
        <v>0</v>
      </c>
      <c r="DM94" s="1048">
        <f t="shared" si="51"/>
        <v>0</v>
      </c>
      <c r="DN94" s="1048">
        <f t="shared" si="52"/>
        <v>0</v>
      </c>
    </row>
    <row r="95" spans="1:146" ht="15" customHeight="1" x14ac:dyDescent="0.15">
      <c r="A95" s="1946"/>
      <c r="B95" s="1261" t="s">
        <v>580</v>
      </c>
      <c r="C95" s="1144">
        <f t="shared" si="94"/>
        <v>0</v>
      </c>
      <c r="D95" s="391">
        <f t="shared" si="90"/>
        <v>0</v>
      </c>
      <c r="E95" s="458">
        <f t="shared" si="90"/>
        <v>0</v>
      </c>
      <c r="F95" s="403">
        <v>0</v>
      </c>
      <c r="G95" s="404">
        <v>0</v>
      </c>
      <c r="H95" s="403">
        <v>0</v>
      </c>
      <c r="I95" s="404">
        <v>0</v>
      </c>
      <c r="J95" s="403">
        <v>0</v>
      </c>
      <c r="K95" s="404">
        <v>0</v>
      </c>
      <c r="L95" s="403">
        <v>0</v>
      </c>
      <c r="M95" s="404">
        <v>0</v>
      </c>
      <c r="N95" s="403">
        <v>0</v>
      </c>
      <c r="O95" s="404">
        <v>0</v>
      </c>
      <c r="P95" s="403">
        <v>0</v>
      </c>
      <c r="Q95" s="404">
        <v>0</v>
      </c>
      <c r="R95" s="403">
        <v>0</v>
      </c>
      <c r="S95" s="404">
        <v>0</v>
      </c>
      <c r="T95" s="403">
        <v>0</v>
      </c>
      <c r="U95" s="404">
        <v>0</v>
      </c>
      <c r="V95" s="403">
        <v>0</v>
      </c>
      <c r="W95" s="404">
        <v>0</v>
      </c>
      <c r="X95" s="403">
        <v>0</v>
      </c>
      <c r="Y95" s="404">
        <v>0</v>
      </c>
      <c r="Z95" s="403">
        <v>0</v>
      </c>
      <c r="AA95" s="404">
        <v>0</v>
      </c>
      <c r="AB95" s="403">
        <v>0</v>
      </c>
      <c r="AC95" s="404">
        <v>0</v>
      </c>
      <c r="AD95" s="403">
        <v>0</v>
      </c>
      <c r="AE95" s="404">
        <v>0</v>
      </c>
      <c r="AF95" s="403">
        <v>0</v>
      </c>
      <c r="AG95" s="431">
        <v>0</v>
      </c>
      <c r="AH95" s="416">
        <v>0</v>
      </c>
      <c r="AI95" s="404">
        <v>0</v>
      </c>
      <c r="AJ95" s="660">
        <v>0</v>
      </c>
      <c r="AK95" s="533">
        <v>0</v>
      </c>
      <c r="AL95" s="107" t="str">
        <f t="shared" si="56"/>
        <v/>
      </c>
      <c r="CA95" s="191" t="str">
        <f t="shared" si="89"/>
        <v/>
      </c>
      <c r="CB95" s="191" t="str">
        <f t="shared" si="91"/>
        <v/>
      </c>
      <c r="CC95" s="191" t="str">
        <f t="shared" si="92"/>
        <v/>
      </c>
      <c r="CD95" s="191" t="str">
        <f t="shared" si="93"/>
        <v/>
      </c>
      <c r="DK95" s="1048">
        <f t="shared" si="49"/>
        <v>0</v>
      </c>
      <c r="DL95" s="1048">
        <f t="shared" si="50"/>
        <v>0</v>
      </c>
      <c r="DM95" s="1048">
        <f t="shared" si="51"/>
        <v>0</v>
      </c>
      <c r="DN95" s="1048">
        <f t="shared" si="52"/>
        <v>0</v>
      </c>
    </row>
    <row r="96" spans="1:146" ht="15" customHeight="1" x14ac:dyDescent="0.15">
      <c r="A96" s="1946"/>
      <c r="B96" s="1261" t="s">
        <v>54</v>
      </c>
      <c r="C96" s="1144">
        <f>SUM(D96:E96)</f>
        <v>101</v>
      </c>
      <c r="D96" s="391">
        <f>+F96+H96+J96+L96+N96+P96+R96+T96+V96+X96+Z96+AB96+AD96+AF96</f>
        <v>47</v>
      </c>
      <c r="E96" s="458">
        <f>+G96+I96+K96+M96+O96+Q96+S96+U96+W96+Y96+AA96+AC96+AE96+AG96</f>
        <v>54</v>
      </c>
      <c r="F96" s="1485">
        <f>SUM(F88:F95)</f>
        <v>0</v>
      </c>
      <c r="G96" s="1033">
        <f t="shared" ref="G96:AK96" si="96">SUM(G88:G95)</f>
        <v>0</v>
      </c>
      <c r="H96" s="1485">
        <f t="shared" si="96"/>
        <v>0</v>
      </c>
      <c r="I96" s="1033">
        <f t="shared" si="96"/>
        <v>0</v>
      </c>
      <c r="J96" s="1485">
        <f t="shared" si="96"/>
        <v>0</v>
      </c>
      <c r="K96" s="1033">
        <f t="shared" si="96"/>
        <v>0</v>
      </c>
      <c r="L96" s="1485">
        <f t="shared" si="96"/>
        <v>0</v>
      </c>
      <c r="M96" s="1033">
        <f t="shared" si="96"/>
        <v>1</v>
      </c>
      <c r="N96" s="1485">
        <f t="shared" si="96"/>
        <v>0</v>
      </c>
      <c r="O96" s="1033">
        <f t="shared" si="96"/>
        <v>3</v>
      </c>
      <c r="P96" s="1485">
        <f t="shared" si="96"/>
        <v>2</v>
      </c>
      <c r="Q96" s="1033">
        <f t="shared" si="96"/>
        <v>1</v>
      </c>
      <c r="R96" s="1485">
        <f t="shared" si="96"/>
        <v>1</v>
      </c>
      <c r="S96" s="1033">
        <f t="shared" si="96"/>
        <v>4</v>
      </c>
      <c r="T96" s="1485">
        <f t="shared" si="96"/>
        <v>10</v>
      </c>
      <c r="U96" s="1033">
        <f t="shared" si="96"/>
        <v>2</v>
      </c>
      <c r="V96" s="1485">
        <f t="shared" si="96"/>
        <v>2</v>
      </c>
      <c r="W96" s="1033">
        <f t="shared" si="96"/>
        <v>8</v>
      </c>
      <c r="X96" s="1485">
        <f t="shared" si="96"/>
        <v>6</v>
      </c>
      <c r="Y96" s="1033">
        <f t="shared" si="96"/>
        <v>7</v>
      </c>
      <c r="Z96" s="1485">
        <f t="shared" si="96"/>
        <v>8</v>
      </c>
      <c r="AA96" s="1033">
        <f t="shared" si="96"/>
        <v>7</v>
      </c>
      <c r="AB96" s="1485">
        <f t="shared" si="96"/>
        <v>6</v>
      </c>
      <c r="AC96" s="1033">
        <f t="shared" si="96"/>
        <v>4</v>
      </c>
      <c r="AD96" s="1485">
        <f t="shared" si="96"/>
        <v>5</v>
      </c>
      <c r="AE96" s="1033">
        <f t="shared" si="96"/>
        <v>4</v>
      </c>
      <c r="AF96" s="1485">
        <f t="shared" si="96"/>
        <v>7</v>
      </c>
      <c r="AG96" s="460">
        <f t="shared" si="96"/>
        <v>13</v>
      </c>
      <c r="AH96" s="1034">
        <f t="shared" si="96"/>
        <v>31</v>
      </c>
      <c r="AI96" s="1033">
        <f t="shared" si="96"/>
        <v>37</v>
      </c>
      <c r="AJ96" s="1483">
        <f t="shared" si="96"/>
        <v>0</v>
      </c>
      <c r="AK96" s="1484">
        <f t="shared" si="96"/>
        <v>0</v>
      </c>
    </row>
    <row r="97" spans="1:26" ht="14.25" customHeight="1" x14ac:dyDescent="0.15">
      <c r="A97" s="107" t="s">
        <v>581</v>
      </c>
    </row>
    <row r="98" spans="1:26" x14ac:dyDescent="0.15">
      <c r="Z98" s="35"/>
    </row>
    <row r="110" spans="1:26" hidden="1" x14ac:dyDescent="0.15">
      <c r="A110" s="1479">
        <f>SUM(C12:C23,C28:C42,C48:C73,C75:C80,C82:C95)</f>
        <v>1075</v>
      </c>
      <c r="B110" s="189" t="s">
        <v>211</v>
      </c>
    </row>
    <row r="111" spans="1:26" hidden="1" x14ac:dyDescent="0.15">
      <c r="A111" s="1479">
        <f>SUM(DK13:ER95)</f>
        <v>0</v>
      </c>
      <c r="B111" s="189" t="s">
        <v>212</v>
      </c>
    </row>
  </sheetData>
  <sheetProtection algorithmName="SHA-512" hashValue="yRgM4WmupoOVxg2GY9iSYFaCNaw48WZvhp7qF8c2lm8a6mKJLm1gv5li7yHAeatplbrWQ1jkSaKAiLlnogdYaQ==" saltValue="j1mkr+TIQAWaOyVwtAgMow==" spinCount="100000" sheet="1" objects="1" scenarios="1"/>
  <mergeCells count="117"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27" zoomScaleNormal="100" workbookViewId="0">
      <selection activeCell="N57" sqref="N57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26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JUNIO   ( 06 )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19" t="s">
        <v>582</v>
      </c>
      <c r="B7" s="2019"/>
      <c r="C7" s="2019"/>
      <c r="D7" s="2019"/>
      <c r="E7" s="2019"/>
      <c r="F7" s="2019"/>
      <c r="G7" s="2019"/>
      <c r="H7" s="2019"/>
      <c r="I7" s="2019"/>
      <c r="J7" s="2019"/>
      <c r="K7" s="2019"/>
      <c r="L7" s="2019"/>
      <c r="M7" s="2019"/>
      <c r="N7" s="2019"/>
      <c r="O7" s="2019"/>
      <c r="P7" s="2019"/>
      <c r="Q7" s="2019"/>
      <c r="R7" s="2019"/>
      <c r="S7" s="2019"/>
      <c r="T7" s="2019"/>
      <c r="U7" s="2019"/>
    </row>
    <row r="8" spans="1:98" s="1105" customFormat="1" ht="17.100000000000001" customHeight="1" x14ac:dyDescent="0.2">
      <c r="A8" s="1108" t="s">
        <v>583</v>
      </c>
      <c r="B8" s="1108"/>
      <c r="C8" s="1108"/>
      <c r="D8" s="1108"/>
      <c r="E8" s="1109"/>
      <c r="F8" s="1109"/>
      <c r="G8" s="1109"/>
      <c r="H8" s="1106"/>
      <c r="M8" s="1107"/>
      <c r="AB8" s="1326"/>
      <c r="AC8" s="1104"/>
      <c r="AD8" s="1104"/>
      <c r="AE8" s="1104"/>
      <c r="AF8" s="1104"/>
      <c r="AG8" s="1104"/>
      <c r="AH8" s="1104"/>
      <c r="AI8" s="1104"/>
      <c r="AJ8" s="1104"/>
      <c r="AK8" s="1104"/>
      <c r="AL8" s="1104"/>
      <c r="AM8" s="1104"/>
      <c r="AN8" s="1104"/>
      <c r="AO8" s="1104"/>
      <c r="AP8" s="1104"/>
      <c r="AQ8" s="1104"/>
      <c r="AR8" s="1104"/>
      <c r="AS8" s="1104"/>
      <c r="AT8" s="1104"/>
      <c r="AU8" s="1104"/>
      <c r="AV8" s="1104"/>
      <c r="AW8" s="1104"/>
      <c r="AX8" s="1104"/>
      <c r="AY8" s="1104"/>
      <c r="CB8" s="1713" t="s">
        <v>56</v>
      </c>
      <c r="CC8" s="1656"/>
      <c r="CD8" s="1713" t="s">
        <v>584</v>
      </c>
      <c r="CE8" s="1656"/>
      <c r="CF8" s="1713" t="s">
        <v>585</v>
      </c>
      <c r="CG8" s="1656"/>
      <c r="CJ8" s="1110"/>
      <c r="CK8" s="1110"/>
      <c r="CL8" s="1110"/>
      <c r="CM8" s="1110"/>
      <c r="CO8" s="1713" t="s">
        <v>56</v>
      </c>
      <c r="CP8" s="1656"/>
      <c r="CQ8" s="1713" t="s">
        <v>584</v>
      </c>
      <c r="CR8" s="1656"/>
      <c r="CS8" s="1713" t="s">
        <v>585</v>
      </c>
      <c r="CT8" s="1656"/>
    </row>
    <row r="9" spans="1:98" ht="21" customHeight="1" x14ac:dyDescent="0.25">
      <c r="A9" s="2041" t="s">
        <v>586</v>
      </c>
      <c r="B9" s="2042"/>
      <c r="C9" s="2020" t="s">
        <v>54</v>
      </c>
      <c r="D9" s="2020"/>
      <c r="E9" s="2020"/>
      <c r="F9" s="2024" t="s">
        <v>382</v>
      </c>
      <c r="G9" s="2025"/>
      <c r="H9" s="2025"/>
      <c r="I9" s="2025"/>
      <c r="J9" s="2025"/>
      <c r="K9" s="2025"/>
      <c r="L9" s="2025"/>
      <c r="M9" s="2025"/>
      <c r="N9" s="2025"/>
      <c r="O9" s="2025"/>
      <c r="P9" s="2025"/>
      <c r="Q9" s="2025"/>
      <c r="R9" s="2025"/>
      <c r="S9" s="2025"/>
      <c r="T9" s="2025"/>
      <c r="U9" s="2026"/>
      <c r="V9" s="1805" t="s">
        <v>56</v>
      </c>
      <c r="W9" s="1804"/>
      <c r="X9" s="1803" t="s">
        <v>57</v>
      </c>
      <c r="Y9" s="1804"/>
      <c r="Z9" s="1803" t="s">
        <v>585</v>
      </c>
      <c r="AA9" s="1804"/>
      <c r="CB9" s="1714"/>
      <c r="CC9" s="1657"/>
      <c r="CD9" s="1714"/>
      <c r="CE9" s="1657"/>
      <c r="CF9" s="1714"/>
      <c r="CG9" s="1657"/>
      <c r="CJ9" s="184"/>
      <c r="CK9" s="184"/>
      <c r="CL9" s="184"/>
      <c r="CM9" s="184"/>
      <c r="CO9" s="1714"/>
      <c r="CP9" s="1657"/>
      <c r="CQ9" s="1714"/>
      <c r="CR9" s="1657"/>
      <c r="CS9" s="1714"/>
      <c r="CT9" s="1657"/>
    </row>
    <row r="10" spans="1:98" ht="18" customHeight="1" x14ac:dyDescent="0.25">
      <c r="A10" s="2043"/>
      <c r="B10" s="2044"/>
      <c r="C10" s="2020"/>
      <c r="D10" s="2020"/>
      <c r="E10" s="2020"/>
      <c r="F10" s="1886" t="s">
        <v>72</v>
      </c>
      <c r="G10" s="1881"/>
      <c r="H10" s="1880" t="s">
        <v>412</v>
      </c>
      <c r="I10" s="1881"/>
      <c r="J10" s="1880" t="s">
        <v>413</v>
      </c>
      <c r="K10" s="1881"/>
      <c r="L10" s="1880" t="s">
        <v>587</v>
      </c>
      <c r="M10" s="1886"/>
      <c r="N10" s="1880" t="s">
        <v>588</v>
      </c>
      <c r="O10" s="1886"/>
      <c r="P10" s="1880" t="s">
        <v>589</v>
      </c>
      <c r="Q10" s="1886"/>
      <c r="R10" s="1880" t="s">
        <v>590</v>
      </c>
      <c r="S10" s="1886"/>
      <c r="T10" s="1880" t="s">
        <v>591</v>
      </c>
      <c r="U10" s="1886"/>
      <c r="V10" s="1805"/>
      <c r="W10" s="1804"/>
      <c r="X10" s="1803"/>
      <c r="Y10" s="1804"/>
      <c r="Z10" s="1803"/>
      <c r="AA10" s="1804"/>
      <c r="CB10" s="1493" t="s">
        <v>91</v>
      </c>
      <c r="CC10" s="1493" t="s">
        <v>232</v>
      </c>
      <c r="CD10" s="1493" t="s">
        <v>91</v>
      </c>
      <c r="CE10" s="1493" t="s">
        <v>232</v>
      </c>
      <c r="CF10" s="1493" t="s">
        <v>91</v>
      </c>
      <c r="CG10" s="1493" t="s">
        <v>232</v>
      </c>
      <c r="CJ10" s="1065"/>
      <c r="CK10" s="1065"/>
      <c r="CL10" s="1065"/>
      <c r="CM10" s="1065"/>
      <c r="CO10" s="1493" t="s">
        <v>91</v>
      </c>
      <c r="CP10" s="1493" t="s">
        <v>232</v>
      </c>
      <c r="CQ10" s="1493" t="s">
        <v>91</v>
      </c>
      <c r="CR10" s="1493" t="s">
        <v>232</v>
      </c>
      <c r="CS10" s="1493" t="s">
        <v>91</v>
      </c>
      <c r="CT10" s="1493" t="s">
        <v>232</v>
      </c>
    </row>
    <row r="11" spans="1:98" ht="21" x14ac:dyDescent="0.25">
      <c r="A11" s="2045"/>
      <c r="B11" s="2046"/>
      <c r="C11" s="1445" t="s">
        <v>415</v>
      </c>
      <c r="D11" s="1494" t="s">
        <v>91</v>
      </c>
      <c r="E11" s="1215" t="s">
        <v>232</v>
      </c>
      <c r="F11" s="1466" t="s">
        <v>416</v>
      </c>
      <c r="G11" s="875" t="s">
        <v>232</v>
      </c>
      <c r="H11" s="1466" t="s">
        <v>416</v>
      </c>
      <c r="I11" s="875" t="s">
        <v>232</v>
      </c>
      <c r="J11" s="1466" t="s">
        <v>416</v>
      </c>
      <c r="K11" s="875" t="s">
        <v>232</v>
      </c>
      <c r="L11" s="1466" t="s">
        <v>416</v>
      </c>
      <c r="M11" s="86" t="s">
        <v>232</v>
      </c>
      <c r="N11" s="1466" t="s">
        <v>416</v>
      </c>
      <c r="O11" s="86" t="s">
        <v>232</v>
      </c>
      <c r="P11" s="1466" t="s">
        <v>416</v>
      </c>
      <c r="Q11" s="86" t="s">
        <v>232</v>
      </c>
      <c r="R11" s="1466" t="s">
        <v>416</v>
      </c>
      <c r="S11" s="86" t="s">
        <v>232</v>
      </c>
      <c r="T11" s="1466" t="s">
        <v>416</v>
      </c>
      <c r="U11" s="86" t="s">
        <v>232</v>
      </c>
      <c r="V11" s="190" t="s">
        <v>91</v>
      </c>
      <c r="W11" s="1374" t="s">
        <v>232</v>
      </c>
      <c r="X11" s="1354" t="s">
        <v>91</v>
      </c>
      <c r="Y11" s="1374" t="s">
        <v>232</v>
      </c>
      <c r="Z11" s="1354" t="s">
        <v>91</v>
      </c>
      <c r="AA11" s="1374" t="s">
        <v>232</v>
      </c>
    </row>
    <row r="12" spans="1:98" ht="15" customHeight="1" x14ac:dyDescent="0.25">
      <c r="A12" s="2047" t="s">
        <v>592</v>
      </c>
      <c r="B12" s="2048"/>
      <c r="C12" s="1155">
        <f t="shared" ref="C12:C21" si="0">SUM(D12:E12)</f>
        <v>25</v>
      </c>
      <c r="D12" s="471">
        <f>+F12+H12+J12+L12+N12+P12+R12+T12</f>
        <v>13</v>
      </c>
      <c r="E12" s="472">
        <f>+G12+I12+K12+M12+O12+Q12+S12+U12</f>
        <v>12</v>
      </c>
      <c r="F12" s="473">
        <v>9</v>
      </c>
      <c r="G12" s="474">
        <v>4</v>
      </c>
      <c r="H12" s="473">
        <v>3</v>
      </c>
      <c r="I12" s="474">
        <v>4</v>
      </c>
      <c r="J12" s="473">
        <v>1</v>
      </c>
      <c r="K12" s="474">
        <v>1</v>
      </c>
      <c r="L12" s="473">
        <v>0</v>
      </c>
      <c r="M12" s="475">
        <v>3</v>
      </c>
      <c r="N12" s="473">
        <v>0</v>
      </c>
      <c r="O12" s="475">
        <v>0</v>
      </c>
      <c r="P12" s="473">
        <v>0</v>
      </c>
      <c r="Q12" s="475">
        <v>0</v>
      </c>
      <c r="R12" s="473">
        <v>0</v>
      </c>
      <c r="S12" s="475">
        <v>0</v>
      </c>
      <c r="T12" s="473">
        <v>0</v>
      </c>
      <c r="U12" s="475">
        <v>0</v>
      </c>
      <c r="V12" s="476">
        <v>13</v>
      </c>
      <c r="W12" s="474">
        <v>12</v>
      </c>
      <c r="X12" s="477">
        <v>0</v>
      </c>
      <c r="Y12" s="474">
        <v>0</v>
      </c>
      <c r="Z12" s="477">
        <v>0</v>
      </c>
      <c r="AA12" s="474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48">
        <f>IF(AND(D12&gt;0,OR(V12="")),1,IF(V12&gt;D12,1,0))</f>
        <v>0</v>
      </c>
      <c r="CP12" s="1048">
        <f>IF(AND(E12&gt;0,OR(W12="")),1,IF(W12&gt;E12,1,0))</f>
        <v>0</v>
      </c>
      <c r="CQ12" s="1048">
        <f>IF(AND($D12&gt;0,OR(X12="")),1,IF(X12&gt;$D12,1,0))</f>
        <v>0</v>
      </c>
      <c r="CR12" s="1048">
        <f>IF(AND(E12&gt;0,OR(Y12="")),1,IF(Y12&gt;E12,1,0))</f>
        <v>0</v>
      </c>
      <c r="CS12" s="1048">
        <f>IF(AND($D12&gt;0,OR(Z12="")),1,IF(Z12&gt;$D12,1,0))</f>
        <v>0</v>
      </c>
      <c r="CT12" s="1048">
        <f>IF(AND($E12&gt;0,OR(AA12="")),1,IF(AA12&gt;$E12,1,0))</f>
        <v>0</v>
      </c>
    </row>
    <row r="13" spans="1:98" ht="15" customHeight="1" x14ac:dyDescent="0.25">
      <c r="A13" s="2049" t="s">
        <v>593</v>
      </c>
      <c r="B13" s="2050"/>
      <c r="C13" s="1156">
        <f t="shared" si="0"/>
        <v>17</v>
      </c>
      <c r="D13" s="478">
        <f t="shared" ref="D13:D14" si="1">+F13+H13+J13+L13+N13+P13+R13+T13</f>
        <v>13</v>
      </c>
      <c r="E13" s="479">
        <f t="shared" ref="E13:E14" si="2">+G13+I13+K13+M13+O13+Q13+S13+U13</f>
        <v>4</v>
      </c>
      <c r="F13" s="480">
        <v>6</v>
      </c>
      <c r="G13" s="481">
        <v>2</v>
      </c>
      <c r="H13" s="480">
        <v>4</v>
      </c>
      <c r="I13" s="481">
        <v>1</v>
      </c>
      <c r="J13" s="480">
        <v>2</v>
      </c>
      <c r="K13" s="481">
        <v>1</v>
      </c>
      <c r="L13" s="480">
        <v>1</v>
      </c>
      <c r="M13" s="482">
        <v>0</v>
      </c>
      <c r="N13" s="480">
        <v>0</v>
      </c>
      <c r="O13" s="482">
        <v>0</v>
      </c>
      <c r="P13" s="480">
        <v>0</v>
      </c>
      <c r="Q13" s="482">
        <v>0</v>
      </c>
      <c r="R13" s="480">
        <v>0</v>
      </c>
      <c r="S13" s="482">
        <v>0</v>
      </c>
      <c r="T13" s="480">
        <v>0</v>
      </c>
      <c r="U13" s="482">
        <v>0</v>
      </c>
      <c r="V13" s="483">
        <v>13</v>
      </c>
      <c r="W13" s="481">
        <v>2</v>
      </c>
      <c r="X13" s="484">
        <v>0</v>
      </c>
      <c r="Y13" s="481">
        <v>0</v>
      </c>
      <c r="Z13" s="484">
        <v>0</v>
      </c>
      <c r="AA13" s="481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48">
        <f t="shared" ref="CO13:CP14" si="3">IF(AND(D13&gt;0,OR(V13="")),1,IF(V13&gt;D13,1,0))</f>
        <v>0</v>
      </c>
      <c r="CP13" s="1048">
        <f t="shared" si="3"/>
        <v>0</v>
      </c>
      <c r="CQ13" s="1048">
        <f>IF(AND($D13&gt;0,OR(X13="")),1,IF(X13&gt;$D13,1,0))</f>
        <v>0</v>
      </c>
      <c r="CR13" s="1048">
        <f>IF(AND(E13&gt;0,OR(Y13="")),1,IF(Y13&gt;E13,1,0))</f>
        <v>0</v>
      </c>
      <c r="CS13" s="1048">
        <f>IF(AND($D13&gt;0,OR(Z13="")),1,IF(Z13&gt;$D13,1,0))</f>
        <v>0</v>
      </c>
      <c r="CT13" s="1048">
        <f>IF(AND($E13&gt;0,OR(AA13="")),1,IF(AA13&gt;$E13,1,0))</f>
        <v>0</v>
      </c>
    </row>
    <row r="14" spans="1:98" ht="15" customHeight="1" x14ac:dyDescent="0.25">
      <c r="A14" s="2051" t="s">
        <v>594</v>
      </c>
      <c r="B14" s="2052"/>
      <c r="C14" s="1156">
        <f t="shared" si="0"/>
        <v>26</v>
      </c>
      <c r="D14" s="478">
        <f t="shared" si="1"/>
        <v>11</v>
      </c>
      <c r="E14" s="479">
        <f t="shared" si="2"/>
        <v>15</v>
      </c>
      <c r="F14" s="485">
        <v>1</v>
      </c>
      <c r="G14" s="486">
        <v>1</v>
      </c>
      <c r="H14" s="485">
        <v>1</v>
      </c>
      <c r="I14" s="486">
        <v>1</v>
      </c>
      <c r="J14" s="485">
        <v>1</v>
      </c>
      <c r="K14" s="486">
        <v>2</v>
      </c>
      <c r="L14" s="485">
        <v>3</v>
      </c>
      <c r="M14" s="487">
        <v>2</v>
      </c>
      <c r="N14" s="485">
        <v>4</v>
      </c>
      <c r="O14" s="487">
        <v>9</v>
      </c>
      <c r="P14" s="485">
        <v>0</v>
      </c>
      <c r="Q14" s="487">
        <v>0</v>
      </c>
      <c r="R14" s="485">
        <v>1</v>
      </c>
      <c r="S14" s="487">
        <v>0</v>
      </c>
      <c r="T14" s="987">
        <v>0</v>
      </c>
      <c r="U14" s="487">
        <v>0</v>
      </c>
      <c r="V14" s="488">
        <v>10</v>
      </c>
      <c r="W14" s="486">
        <v>14</v>
      </c>
      <c r="X14" s="489">
        <v>0</v>
      </c>
      <c r="Y14" s="486">
        <v>0</v>
      </c>
      <c r="Z14" s="489">
        <v>0</v>
      </c>
      <c r="AA14" s="486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48">
        <f t="shared" si="3"/>
        <v>0</v>
      </c>
      <c r="CP14" s="1048">
        <f t="shared" si="3"/>
        <v>0</v>
      </c>
      <c r="CQ14" s="1048">
        <f>IF(AND($D14&gt;0,OR(X14="")),1,IF(X14&gt;$D14,1,0))</f>
        <v>0</v>
      </c>
      <c r="CR14" s="1048">
        <f>IF(AND(E14&gt;0,OR(Y14="")),1,IF(Y14&gt;E14,1,0))</f>
        <v>0</v>
      </c>
      <c r="CS14" s="1048">
        <f>IF(AND($D14&gt;0,OR(Z14="")),1,IF(Z14&gt;$D14,1,0))</f>
        <v>0</v>
      </c>
      <c r="CT14" s="1048">
        <f>IF(AND($E14&gt;0,OR(AA14="")),1,IF(AA14&gt;$E14,1,0))</f>
        <v>0</v>
      </c>
    </row>
    <row r="15" spans="1:98" ht="15" customHeight="1" x14ac:dyDescent="0.25">
      <c r="A15" s="2053" t="s">
        <v>595</v>
      </c>
      <c r="B15" s="2054"/>
      <c r="C15" s="1495">
        <f>SUM(D15:E15)</f>
        <v>68</v>
      </c>
      <c r="D15" s="1496">
        <f>+F15+H15+J15+L15+N15+P15+R15+T15</f>
        <v>37</v>
      </c>
      <c r="E15" s="1216">
        <f>+G15+I15+K15+M15+O15+Q15+S15+U15</f>
        <v>31</v>
      </c>
      <c r="F15" s="1497">
        <f>SUM(F12:F14)</f>
        <v>16</v>
      </c>
      <c r="G15" s="1216">
        <f t="shared" ref="G15:X15" si="4">SUM(G12:G14)</f>
        <v>7</v>
      </c>
      <c r="H15" s="1497">
        <f t="shared" si="4"/>
        <v>8</v>
      </c>
      <c r="I15" s="1216">
        <f t="shared" si="4"/>
        <v>6</v>
      </c>
      <c r="J15" s="1497">
        <f t="shared" si="4"/>
        <v>4</v>
      </c>
      <c r="K15" s="1216">
        <f t="shared" si="4"/>
        <v>4</v>
      </c>
      <c r="L15" s="1497">
        <f t="shared" si="4"/>
        <v>4</v>
      </c>
      <c r="M15" s="490">
        <f t="shared" si="4"/>
        <v>5</v>
      </c>
      <c r="N15" s="1497">
        <f t="shared" ref="N15:O15" si="5">SUM(N12:N14)</f>
        <v>4</v>
      </c>
      <c r="O15" s="490">
        <f t="shared" si="5"/>
        <v>9</v>
      </c>
      <c r="P15" s="1497">
        <f t="shared" ref="P15:Q15" si="6">SUM(P12:P14)</f>
        <v>0</v>
      </c>
      <c r="Q15" s="490">
        <f t="shared" si="6"/>
        <v>0</v>
      </c>
      <c r="R15" s="1497">
        <f t="shared" ref="R15:S15" si="7">SUM(R12:R14)</f>
        <v>1</v>
      </c>
      <c r="S15" s="490">
        <f t="shared" si="7"/>
        <v>0</v>
      </c>
      <c r="T15" s="1497">
        <f t="shared" si="4"/>
        <v>0</v>
      </c>
      <c r="U15" s="490">
        <f t="shared" si="4"/>
        <v>0</v>
      </c>
      <c r="V15" s="491">
        <f>SUM(V12:V14)</f>
        <v>36</v>
      </c>
      <c r="W15" s="1216">
        <f>SUM(W12:W14)</f>
        <v>28</v>
      </c>
      <c r="X15" s="1496">
        <f t="shared" si="4"/>
        <v>0</v>
      </c>
      <c r="Y15" s="1216">
        <f>SUM(Y12:Y14)</f>
        <v>0</v>
      </c>
      <c r="Z15" s="1496">
        <f t="shared" ref="Z15" si="8">SUM(Z12:Z14)</f>
        <v>0</v>
      </c>
      <c r="AA15" s="1216">
        <f>SUM(AA12:AA14)</f>
        <v>0</v>
      </c>
      <c r="AB15" s="1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</row>
    <row r="16" spans="1:98" ht="15" customHeight="1" x14ac:dyDescent="0.25">
      <c r="A16" s="2047" t="s">
        <v>596</v>
      </c>
      <c r="B16" s="2048"/>
      <c r="C16" s="1155">
        <f t="shared" si="0"/>
        <v>4</v>
      </c>
      <c r="D16" s="471">
        <f>+F16+H16+J16+L16+N16+P16+R16+T16</f>
        <v>3</v>
      </c>
      <c r="E16" s="472">
        <f t="shared" ref="E16:E19" si="9">+G16+I16+K16+M16+O16+Q16+S16+U16</f>
        <v>1</v>
      </c>
      <c r="F16" s="473">
        <v>0</v>
      </c>
      <c r="G16" s="474">
        <v>0</v>
      </c>
      <c r="H16" s="473">
        <v>0</v>
      </c>
      <c r="I16" s="474">
        <v>0</v>
      </c>
      <c r="J16" s="473">
        <v>1</v>
      </c>
      <c r="K16" s="474">
        <v>0</v>
      </c>
      <c r="L16" s="473">
        <v>1</v>
      </c>
      <c r="M16" s="475">
        <v>0</v>
      </c>
      <c r="N16" s="473">
        <v>1</v>
      </c>
      <c r="O16" s="475">
        <v>1</v>
      </c>
      <c r="P16" s="473">
        <v>0</v>
      </c>
      <c r="Q16" s="475">
        <v>0</v>
      </c>
      <c r="R16" s="473">
        <v>0</v>
      </c>
      <c r="S16" s="475">
        <v>0</v>
      </c>
      <c r="T16" s="473">
        <v>0</v>
      </c>
      <c r="U16" s="475">
        <v>0</v>
      </c>
      <c r="V16" s="476">
        <v>1</v>
      </c>
      <c r="W16" s="474">
        <v>1</v>
      </c>
      <c r="X16" s="477">
        <v>0</v>
      </c>
      <c r="Y16" s="474">
        <v>0</v>
      </c>
      <c r="Z16" s="477">
        <v>0</v>
      </c>
      <c r="AA16" s="474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48">
        <f t="shared" ref="CO16:CP19" si="10">IF(AND(D16&gt;0,OR(V16="")),1,IF(V16&gt;D16,1,0))</f>
        <v>0</v>
      </c>
      <c r="CP16" s="1048">
        <f t="shared" si="10"/>
        <v>0</v>
      </c>
      <c r="CQ16" s="1048">
        <f>IF(AND($D16&gt;0,OR(X16="")),1,IF(X16&gt;$D16,1,0))</f>
        <v>0</v>
      </c>
      <c r="CR16" s="1048">
        <f>IF(AND($E16&gt;0,OR(Y16="")),1,IF(Y16&gt;$E16,1,0))</f>
        <v>0</v>
      </c>
      <c r="CS16" s="1048">
        <f>IF(AND($D16&gt;0,OR(Z16="")),1,IF(Z16&gt;$D16,1,0))</f>
        <v>0</v>
      </c>
      <c r="CT16" s="1048">
        <f>IF(AND($E16&gt;0,OR(AA16="")),1,IF(AA16&gt;$E16,1,0))</f>
        <v>0</v>
      </c>
    </row>
    <row r="17" spans="1:100" ht="15" customHeight="1" x14ac:dyDescent="0.25">
      <c r="A17" s="2033" t="s">
        <v>597</v>
      </c>
      <c r="B17" s="2034"/>
      <c r="C17" s="1156">
        <f t="shared" si="0"/>
        <v>0</v>
      </c>
      <c r="D17" s="478">
        <f t="shared" ref="D17:D18" si="11">+F17+H17+J17+L17+N17+P17+R17+T17</f>
        <v>0</v>
      </c>
      <c r="E17" s="492">
        <f t="shared" si="9"/>
        <v>0</v>
      </c>
      <c r="F17" s="480">
        <v>0</v>
      </c>
      <c r="G17" s="481">
        <v>0</v>
      </c>
      <c r="H17" s="480">
        <v>0</v>
      </c>
      <c r="I17" s="481">
        <v>0</v>
      </c>
      <c r="J17" s="480">
        <v>0</v>
      </c>
      <c r="K17" s="481">
        <v>0</v>
      </c>
      <c r="L17" s="480">
        <v>0</v>
      </c>
      <c r="M17" s="482">
        <v>0</v>
      </c>
      <c r="N17" s="480">
        <v>0</v>
      </c>
      <c r="O17" s="482">
        <v>0</v>
      </c>
      <c r="P17" s="480">
        <v>0</v>
      </c>
      <c r="Q17" s="482">
        <v>0</v>
      </c>
      <c r="R17" s="480">
        <v>0</v>
      </c>
      <c r="S17" s="482">
        <v>0</v>
      </c>
      <c r="T17" s="480">
        <v>0</v>
      </c>
      <c r="U17" s="482">
        <v>0</v>
      </c>
      <c r="V17" s="483">
        <v>0</v>
      </c>
      <c r="W17" s="481">
        <v>0</v>
      </c>
      <c r="X17" s="484">
        <v>0</v>
      </c>
      <c r="Y17" s="481">
        <v>0</v>
      </c>
      <c r="Z17" s="484">
        <v>0</v>
      </c>
      <c r="AA17" s="481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48">
        <f t="shared" si="10"/>
        <v>0</v>
      </c>
      <c r="CP17" s="1048">
        <f t="shared" si="10"/>
        <v>0</v>
      </c>
      <c r="CQ17" s="1048">
        <f>IF(AND($D17&gt;0,OR(X17="")),1,IF(X17&gt;$D17,1,0))</f>
        <v>0</v>
      </c>
      <c r="CR17" s="1048">
        <f>IF(AND($E17&gt;0,OR(Y17="")),1,IF(Y17&gt;$E17,1,0))</f>
        <v>0</v>
      </c>
      <c r="CS17" s="1048">
        <f>IF(AND($D17&gt;0,OR(Z17="")),1,IF(Z17&gt;$D17,1,0))</f>
        <v>0</v>
      </c>
      <c r="CT17" s="1048">
        <f>IF(AND($E17&gt;0,OR(AA17="")),1,IF(AA17&gt;$E17,1,0))</f>
        <v>0</v>
      </c>
    </row>
    <row r="18" spans="1:100" ht="15" customHeight="1" x14ac:dyDescent="0.25">
      <c r="A18" s="2033" t="s">
        <v>598</v>
      </c>
      <c r="B18" s="2034"/>
      <c r="C18" s="1156">
        <f t="shared" si="0"/>
        <v>0</v>
      </c>
      <c r="D18" s="478">
        <f t="shared" si="11"/>
        <v>0</v>
      </c>
      <c r="E18" s="492">
        <f t="shared" si="9"/>
        <v>0</v>
      </c>
      <c r="F18" s="480">
        <v>0</v>
      </c>
      <c r="G18" s="481">
        <v>0</v>
      </c>
      <c r="H18" s="480">
        <v>0</v>
      </c>
      <c r="I18" s="481">
        <v>0</v>
      </c>
      <c r="J18" s="480">
        <v>0</v>
      </c>
      <c r="K18" s="481">
        <v>0</v>
      </c>
      <c r="L18" s="480">
        <v>0</v>
      </c>
      <c r="M18" s="482">
        <v>0</v>
      </c>
      <c r="N18" s="480">
        <v>0</v>
      </c>
      <c r="O18" s="482">
        <v>0</v>
      </c>
      <c r="P18" s="480">
        <v>0</v>
      </c>
      <c r="Q18" s="482">
        <v>0</v>
      </c>
      <c r="R18" s="480">
        <v>0</v>
      </c>
      <c r="S18" s="482">
        <v>0</v>
      </c>
      <c r="T18" s="480">
        <v>0</v>
      </c>
      <c r="U18" s="482">
        <v>0</v>
      </c>
      <c r="V18" s="483">
        <v>0</v>
      </c>
      <c r="W18" s="481">
        <v>0</v>
      </c>
      <c r="X18" s="484">
        <v>0</v>
      </c>
      <c r="Y18" s="481">
        <v>0</v>
      </c>
      <c r="Z18" s="484">
        <v>0</v>
      </c>
      <c r="AA18" s="481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48">
        <f t="shared" si="10"/>
        <v>0</v>
      </c>
      <c r="CP18" s="1048">
        <f t="shared" si="10"/>
        <v>0</v>
      </c>
      <c r="CQ18" s="1048">
        <f>IF(AND($D18&gt;0,OR(X18="")),1,IF(X18&gt;$D18,1,0))</f>
        <v>0</v>
      </c>
      <c r="CR18" s="1048">
        <f>IF(AND($E18&gt;0,OR(Y18="")),1,IF(Y18&gt;$E18,1,0))</f>
        <v>0</v>
      </c>
      <c r="CS18" s="1048">
        <f>IF(AND($D18&gt;0,OR(Z18="")),1,IF(Z18&gt;$D18,1,0))</f>
        <v>0</v>
      </c>
      <c r="CT18" s="1048">
        <f>IF(AND($E18&gt;0,OR(AA18="")),1,IF(AA18&gt;$E18,1,0))</f>
        <v>0</v>
      </c>
    </row>
    <row r="19" spans="1:100" ht="15" customHeight="1" x14ac:dyDescent="0.25">
      <c r="A19" s="2027" t="s">
        <v>599</v>
      </c>
      <c r="B19" s="2028"/>
      <c r="C19" s="1306">
        <f t="shared" si="0"/>
        <v>0</v>
      </c>
      <c r="D19" s="493">
        <f>+F19+H19+J19+L19+N19+P19+R19+T19</f>
        <v>0</v>
      </c>
      <c r="E19" s="494">
        <f t="shared" si="9"/>
        <v>0</v>
      </c>
      <c r="F19" s="495">
        <v>0</v>
      </c>
      <c r="G19" s="496">
        <v>0</v>
      </c>
      <c r="H19" s="495">
        <v>0</v>
      </c>
      <c r="I19" s="496">
        <v>0</v>
      </c>
      <c r="J19" s="495">
        <v>0</v>
      </c>
      <c r="K19" s="496">
        <v>0</v>
      </c>
      <c r="L19" s="495">
        <v>0</v>
      </c>
      <c r="M19" s="497">
        <v>0</v>
      </c>
      <c r="N19" s="495">
        <v>0</v>
      </c>
      <c r="O19" s="497">
        <v>0</v>
      </c>
      <c r="P19" s="495">
        <v>0</v>
      </c>
      <c r="Q19" s="497">
        <v>0</v>
      </c>
      <c r="R19" s="495">
        <v>0</v>
      </c>
      <c r="S19" s="497">
        <v>0</v>
      </c>
      <c r="T19" s="495">
        <v>0</v>
      </c>
      <c r="U19" s="497">
        <v>0</v>
      </c>
      <c r="V19" s="498">
        <v>0</v>
      </c>
      <c r="W19" s="496">
        <v>0</v>
      </c>
      <c r="X19" s="500">
        <v>0</v>
      </c>
      <c r="Y19" s="496">
        <v>0</v>
      </c>
      <c r="Z19" s="500">
        <v>0</v>
      </c>
      <c r="AA19" s="496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48">
        <f t="shared" si="10"/>
        <v>0</v>
      </c>
      <c r="CP19" s="1048">
        <f t="shared" si="10"/>
        <v>0</v>
      </c>
      <c r="CQ19" s="1048">
        <f>IF(AND($D19&gt;0,OR(X19="")),1,IF(X19&gt;$D19,1,0))</f>
        <v>0</v>
      </c>
      <c r="CR19" s="1048">
        <f>IF(AND($E19&gt;0,OR(Y19="")),1,IF(Y19&gt;$E19,1,0))</f>
        <v>0</v>
      </c>
      <c r="CS19" s="1048">
        <f>IF(AND($D19&gt;0,OR(Z19="")),1,IF(Z19&gt;$D19,1,0))</f>
        <v>0</v>
      </c>
      <c r="CT19" s="1048">
        <f>IF(AND($E19&gt;0,OR(AA19="")),1,IF(AA19&gt;$E19,1,0))</f>
        <v>0</v>
      </c>
    </row>
    <row r="20" spans="1:100" ht="15" customHeight="1" x14ac:dyDescent="0.25">
      <c r="A20" s="2055" t="s">
        <v>600</v>
      </c>
      <c r="B20" s="2056"/>
      <c r="C20" s="1495">
        <f>SUM(D20:E20)</f>
        <v>4</v>
      </c>
      <c r="D20" s="1496">
        <f>+F20+H20+J20+L20+N20+P20+R20+T20</f>
        <v>3</v>
      </c>
      <c r="E20" s="1498">
        <f>+G20+I20+K20+M20+O20+Q20+S20+U20</f>
        <v>1</v>
      </c>
      <c r="F20" s="1499">
        <f>SUM(F16:F19)</f>
        <v>0</v>
      </c>
      <c r="G20" s="1500">
        <f t="shared" ref="G20:X20" si="12">SUM(G16:G19)</f>
        <v>0</v>
      </c>
      <c r="H20" s="1499">
        <f t="shared" si="12"/>
        <v>0</v>
      </c>
      <c r="I20" s="1500">
        <f t="shared" si="12"/>
        <v>0</v>
      </c>
      <c r="J20" s="501">
        <f t="shared" si="12"/>
        <v>1</v>
      </c>
      <c r="K20" s="1500">
        <f t="shared" si="12"/>
        <v>0</v>
      </c>
      <c r="L20" s="1499">
        <f t="shared" si="12"/>
        <v>1</v>
      </c>
      <c r="M20" s="502">
        <f t="shared" si="12"/>
        <v>0</v>
      </c>
      <c r="N20" s="1499">
        <f t="shared" ref="N20:O20" si="13">SUM(N16:N19)</f>
        <v>1</v>
      </c>
      <c r="O20" s="502">
        <f t="shared" si="13"/>
        <v>1</v>
      </c>
      <c r="P20" s="1499">
        <f t="shared" ref="P20:Q20" si="14">SUM(P16:P19)</f>
        <v>0</v>
      </c>
      <c r="Q20" s="502">
        <f t="shared" si="14"/>
        <v>0</v>
      </c>
      <c r="R20" s="1499">
        <f t="shared" ref="R20:S20" si="15">SUM(R16:R19)</f>
        <v>0</v>
      </c>
      <c r="S20" s="502">
        <f t="shared" si="15"/>
        <v>0</v>
      </c>
      <c r="T20" s="1499">
        <f t="shared" si="12"/>
        <v>0</v>
      </c>
      <c r="U20" s="502">
        <f t="shared" si="12"/>
        <v>0</v>
      </c>
      <c r="V20" s="503">
        <f>SUM(V16:V19)</f>
        <v>1</v>
      </c>
      <c r="W20" s="1217">
        <f>SUM(W16:W19)</f>
        <v>1</v>
      </c>
      <c r="X20" s="1501">
        <f t="shared" si="12"/>
        <v>0</v>
      </c>
      <c r="Y20" s="1217">
        <f>SUM(Y16:Y19)</f>
        <v>0</v>
      </c>
      <c r="Z20" s="1501">
        <f t="shared" ref="Z20" si="16">SUM(Z16:Z19)</f>
        <v>0</v>
      </c>
      <c r="AA20" s="1217">
        <f>SUM(AA16:AA19)</f>
        <v>0</v>
      </c>
      <c r="AB20" s="107"/>
      <c r="BC20" s="607"/>
      <c r="BD20" s="607"/>
      <c r="BE20" s="607"/>
      <c r="BF20" s="607"/>
      <c r="BG20" s="607"/>
      <c r="BH20" s="607"/>
      <c r="BI20" s="607"/>
      <c r="BJ20" s="607"/>
      <c r="BK20" s="607"/>
      <c r="BL20" s="607"/>
      <c r="BM20" s="607"/>
    </row>
    <row r="21" spans="1:100" ht="15" customHeight="1" x14ac:dyDescent="0.25">
      <c r="A21" s="2053" t="s">
        <v>601</v>
      </c>
      <c r="B21" s="2054"/>
      <c r="C21" s="1495">
        <f t="shared" si="0"/>
        <v>72</v>
      </c>
      <c r="D21" s="1496">
        <f>+F21+H21+J21+L21+N21+P21+R21+T21</f>
        <v>40</v>
      </c>
      <c r="E21" s="1498">
        <f>+G21+I21+K21+M21+O21+Q21+S21+U21</f>
        <v>32</v>
      </c>
      <c r="F21" s="1499">
        <f>+F15+F20</f>
        <v>16</v>
      </c>
      <c r="G21" s="1500">
        <f t="shared" ref="G21:X21" si="17">+G15+G20</f>
        <v>7</v>
      </c>
      <c r="H21" s="1499">
        <f t="shared" si="17"/>
        <v>8</v>
      </c>
      <c r="I21" s="1500">
        <f t="shared" si="17"/>
        <v>6</v>
      </c>
      <c r="J21" s="1499">
        <f t="shared" si="17"/>
        <v>5</v>
      </c>
      <c r="K21" s="1500">
        <f t="shared" si="17"/>
        <v>4</v>
      </c>
      <c r="L21" s="1499">
        <f t="shared" si="17"/>
        <v>5</v>
      </c>
      <c r="M21" s="502">
        <f t="shared" si="17"/>
        <v>5</v>
      </c>
      <c r="N21" s="1499">
        <f t="shared" ref="N21:O21" si="18">+N15+N20</f>
        <v>5</v>
      </c>
      <c r="O21" s="502">
        <f t="shared" si="18"/>
        <v>10</v>
      </c>
      <c r="P21" s="1499">
        <f t="shared" ref="P21:Q21" si="19">+P15+P20</f>
        <v>0</v>
      </c>
      <c r="Q21" s="502">
        <f t="shared" si="19"/>
        <v>0</v>
      </c>
      <c r="R21" s="1499">
        <f t="shared" ref="R21:S21" si="20">+R15+R20</f>
        <v>1</v>
      </c>
      <c r="S21" s="502">
        <f t="shared" si="20"/>
        <v>0</v>
      </c>
      <c r="T21" s="1499">
        <f t="shared" si="17"/>
        <v>0</v>
      </c>
      <c r="U21" s="502">
        <f t="shared" si="17"/>
        <v>0</v>
      </c>
      <c r="V21" s="503">
        <f>+V15+V20</f>
        <v>37</v>
      </c>
      <c r="W21" s="1500">
        <f>+W15+W20</f>
        <v>29</v>
      </c>
      <c r="X21" s="1501">
        <f t="shared" si="17"/>
        <v>0</v>
      </c>
      <c r="Y21" s="1500">
        <f>+Y15+Y20</f>
        <v>0</v>
      </c>
      <c r="Z21" s="1501">
        <f t="shared" ref="Z21" si="21">+Z15+Z20</f>
        <v>0</v>
      </c>
      <c r="AA21" s="1500">
        <f>+AA15+AA20</f>
        <v>0</v>
      </c>
      <c r="AB21" s="107"/>
    </row>
    <row r="22" spans="1:100" s="1105" customFormat="1" ht="17.100000000000001" customHeight="1" x14ac:dyDescent="0.2">
      <c r="A22" s="1502" t="s">
        <v>602</v>
      </c>
      <c r="B22" s="1502"/>
      <c r="C22" s="1502"/>
      <c r="D22" s="1502"/>
      <c r="E22" s="1502"/>
      <c r="F22" s="1502"/>
      <c r="G22" s="1502"/>
      <c r="H22" s="1502"/>
      <c r="I22" s="1503"/>
      <c r="J22" s="1503"/>
      <c r="K22" s="1503"/>
      <c r="L22" s="1503"/>
      <c r="M22" s="1503"/>
      <c r="N22" s="1503"/>
      <c r="O22" s="1503"/>
      <c r="P22" s="1503"/>
      <c r="Q22" s="1504"/>
      <c r="R22" s="1505"/>
      <c r="S22" s="1505"/>
      <c r="T22" s="1505"/>
      <c r="U22" s="1505"/>
      <c r="V22" s="1505"/>
      <c r="W22" s="1505"/>
      <c r="X22" s="1505"/>
      <c r="Y22" s="1505"/>
      <c r="Z22" s="1505"/>
      <c r="AA22" s="1505"/>
      <c r="AB22" s="1326"/>
      <c r="AC22" s="1104"/>
      <c r="AD22" s="1104"/>
      <c r="AE22" s="1104"/>
      <c r="AF22" s="1104"/>
      <c r="AG22" s="1104"/>
      <c r="AH22" s="1104"/>
      <c r="AI22" s="1104"/>
      <c r="AJ22" s="1104"/>
      <c r="AK22" s="1104"/>
      <c r="AL22" s="1104"/>
      <c r="AM22" s="1104"/>
      <c r="AN22" s="1104"/>
      <c r="AO22" s="1104"/>
      <c r="AP22" s="1104"/>
      <c r="AQ22" s="1104"/>
      <c r="AR22" s="1104"/>
      <c r="AS22" s="1104"/>
      <c r="AT22" s="1104"/>
      <c r="AU22" s="1104"/>
      <c r="AV22" s="1104"/>
      <c r="AW22" s="1104"/>
      <c r="AX22" s="1104"/>
      <c r="AY22" s="1104"/>
    </row>
    <row r="23" spans="1:100" ht="19.5" customHeight="1" x14ac:dyDescent="0.25">
      <c r="A23" s="2041" t="s">
        <v>586</v>
      </c>
      <c r="B23" s="2042"/>
      <c r="C23" s="2020" t="s">
        <v>54</v>
      </c>
      <c r="D23" s="2020"/>
      <c r="E23" s="2020"/>
      <c r="F23" s="2057" t="s">
        <v>382</v>
      </c>
      <c r="G23" s="2058"/>
      <c r="H23" s="2058"/>
      <c r="I23" s="2058"/>
      <c r="J23" s="2058"/>
      <c r="K23" s="2058"/>
      <c r="L23" s="2058"/>
      <c r="M23" s="2058"/>
      <c r="N23" s="2058"/>
      <c r="O23" s="2058"/>
      <c r="P23" s="2058"/>
      <c r="Q23" s="2058"/>
      <c r="R23" s="2058"/>
      <c r="S23" s="2058"/>
      <c r="T23" s="2058"/>
      <c r="U23" s="2058"/>
      <c r="V23" s="2058"/>
      <c r="W23" s="2059"/>
      <c r="X23" s="1630" t="s">
        <v>56</v>
      </c>
      <c r="Y23" s="1659"/>
      <c r="Z23" s="1657" t="s">
        <v>57</v>
      </c>
      <c r="AA23" s="1659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43"/>
      <c r="B24" s="2044"/>
      <c r="C24" s="2020"/>
      <c r="D24" s="2020"/>
      <c r="E24" s="2020"/>
      <c r="F24" s="1880" t="s">
        <v>71</v>
      </c>
      <c r="G24" s="1881"/>
      <c r="H24" s="1880" t="s">
        <v>72</v>
      </c>
      <c r="I24" s="1881"/>
      <c r="J24" s="1880" t="s">
        <v>412</v>
      </c>
      <c r="K24" s="1881"/>
      <c r="L24" s="1880" t="s">
        <v>413</v>
      </c>
      <c r="M24" s="1881"/>
      <c r="N24" s="1880" t="s">
        <v>587</v>
      </c>
      <c r="O24" s="1886"/>
      <c r="P24" s="1880" t="s">
        <v>588</v>
      </c>
      <c r="Q24" s="1886"/>
      <c r="R24" s="1880" t="s">
        <v>589</v>
      </c>
      <c r="S24" s="1886"/>
      <c r="T24" s="1880" t="s">
        <v>590</v>
      </c>
      <c r="U24" s="1886"/>
      <c r="V24" s="1880" t="s">
        <v>591</v>
      </c>
      <c r="W24" s="1886"/>
      <c r="X24" s="1805"/>
      <c r="Y24" s="1804"/>
      <c r="Z24" s="1803"/>
      <c r="AA24" s="1804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45"/>
      <c r="B25" s="2046"/>
      <c r="C25" s="1445" t="s">
        <v>415</v>
      </c>
      <c r="D25" s="1494" t="s">
        <v>91</v>
      </c>
      <c r="E25" s="1491" t="s">
        <v>232</v>
      </c>
      <c r="F25" s="1466" t="s">
        <v>416</v>
      </c>
      <c r="G25" s="875" t="s">
        <v>232</v>
      </c>
      <c r="H25" s="1466" t="s">
        <v>416</v>
      </c>
      <c r="I25" s="875" t="s">
        <v>232</v>
      </c>
      <c r="J25" s="1466" t="s">
        <v>416</v>
      </c>
      <c r="K25" s="875" t="s">
        <v>232</v>
      </c>
      <c r="L25" s="1466" t="s">
        <v>416</v>
      </c>
      <c r="M25" s="875" t="s">
        <v>232</v>
      </c>
      <c r="N25" s="1466" t="s">
        <v>416</v>
      </c>
      <c r="O25" s="86" t="s">
        <v>232</v>
      </c>
      <c r="P25" s="1466" t="s">
        <v>416</v>
      </c>
      <c r="Q25" s="875" t="s">
        <v>232</v>
      </c>
      <c r="R25" s="1466" t="s">
        <v>416</v>
      </c>
      <c r="S25" s="875" t="s">
        <v>232</v>
      </c>
      <c r="T25" s="1466" t="s">
        <v>416</v>
      </c>
      <c r="U25" s="86" t="s">
        <v>232</v>
      </c>
      <c r="V25" s="1466" t="s">
        <v>416</v>
      </c>
      <c r="W25" s="86" t="s">
        <v>232</v>
      </c>
      <c r="X25" s="190" t="s">
        <v>91</v>
      </c>
      <c r="Y25" s="1374" t="s">
        <v>232</v>
      </c>
      <c r="Z25" s="1354" t="s">
        <v>91</v>
      </c>
      <c r="AA25" s="1374" t="s">
        <v>232</v>
      </c>
      <c r="CB25" s="37"/>
      <c r="CC25" s="37"/>
      <c r="CD25" s="37"/>
      <c r="CE25" s="37"/>
      <c r="CF25" s="1065"/>
      <c r="CG25" s="1065"/>
      <c r="CJ25" s="1065"/>
      <c r="CK25" s="1065"/>
      <c r="CL25" s="1065"/>
      <c r="CM25" s="1065"/>
      <c r="CO25" s="37"/>
      <c r="CP25" s="37"/>
      <c r="CQ25" s="37"/>
      <c r="CR25" s="37"/>
      <c r="CS25" s="1065"/>
      <c r="CT25" s="1065"/>
    </row>
    <row r="26" spans="1:100" ht="15" customHeight="1" x14ac:dyDescent="0.25">
      <c r="A26" s="2047" t="s">
        <v>592</v>
      </c>
      <c r="B26" s="2048"/>
      <c r="C26" s="1155">
        <f>SUM(D26:E26)</f>
        <v>0</v>
      </c>
      <c r="D26" s="471">
        <f>+F26+H26+J26+L26+N26+P26+R26+T26+V26</f>
        <v>0</v>
      </c>
      <c r="E26" s="505">
        <f>+G26+I26+K26+M26+O26+Q26+S26+U26+W26</f>
        <v>0</v>
      </c>
      <c r="F26" s="506">
        <v>0</v>
      </c>
      <c r="G26" s="507">
        <v>0</v>
      </c>
      <c r="H26" s="506">
        <v>0</v>
      </c>
      <c r="I26" s="507">
        <v>0</v>
      </c>
      <c r="J26" s="506">
        <v>0</v>
      </c>
      <c r="K26" s="507">
        <v>0</v>
      </c>
      <c r="L26" s="506">
        <v>0</v>
      </c>
      <c r="M26" s="507">
        <v>0</v>
      </c>
      <c r="N26" s="506">
        <v>0</v>
      </c>
      <c r="O26" s="508">
        <v>0</v>
      </c>
      <c r="P26" s="506">
        <v>0</v>
      </c>
      <c r="Q26" s="507">
        <v>0</v>
      </c>
      <c r="R26" s="506">
        <v>0</v>
      </c>
      <c r="S26" s="507">
        <v>0</v>
      </c>
      <c r="T26" s="506">
        <v>0</v>
      </c>
      <c r="U26" s="508">
        <v>0</v>
      </c>
      <c r="V26" s="506">
        <v>0</v>
      </c>
      <c r="W26" s="508">
        <v>0</v>
      </c>
      <c r="X26" s="509">
        <v>0</v>
      </c>
      <c r="Y26" s="507">
        <v>0</v>
      </c>
      <c r="Z26" s="477">
        <v>0</v>
      </c>
      <c r="AA26" s="474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48">
        <f>IF(AND(D26&gt;0,OR(X26="")),1,IF(X26&gt;D26,1,0))</f>
        <v>0</v>
      </c>
      <c r="CP26" s="1048">
        <f>IF(AND(E26&gt;0,OR(Y26="")),1,IF(Y26&gt;E26,1,0))</f>
        <v>0</v>
      </c>
      <c r="CQ26" s="1048">
        <f>IF(AND($D26&gt;0,OR(Z26="")),1,IF(Z26&gt;$D26,1,0))</f>
        <v>0</v>
      </c>
      <c r="CR26" s="1048">
        <f>IF(AND($E26&gt;0,OR(AA26="")),1,IF(AA26&gt;$E26,1,0))</f>
        <v>0</v>
      </c>
    </row>
    <row r="27" spans="1:100" ht="15" customHeight="1" x14ac:dyDescent="0.25">
      <c r="A27" s="2049" t="s">
        <v>593</v>
      </c>
      <c r="B27" s="2050"/>
      <c r="C27" s="1161">
        <f>SUM(D27:E27)</f>
        <v>0</v>
      </c>
      <c r="D27" s="1157">
        <f>H27+J27+L27+N27+P27+R27+T27+V27</f>
        <v>0</v>
      </c>
      <c r="E27" s="511">
        <f>I27+K27+M27+O27+Q27+S27+U27+W27</f>
        <v>0</v>
      </c>
      <c r="F27" s="874"/>
      <c r="G27" s="873"/>
      <c r="H27" s="512">
        <v>0</v>
      </c>
      <c r="I27" s="513">
        <v>0</v>
      </c>
      <c r="J27" s="512">
        <v>0</v>
      </c>
      <c r="K27" s="513">
        <v>0</v>
      </c>
      <c r="L27" s="512">
        <v>0</v>
      </c>
      <c r="M27" s="513">
        <v>0</v>
      </c>
      <c r="N27" s="512">
        <v>0</v>
      </c>
      <c r="O27" s="514">
        <v>0</v>
      </c>
      <c r="P27" s="512">
        <v>0</v>
      </c>
      <c r="Q27" s="513">
        <v>0</v>
      </c>
      <c r="R27" s="512">
        <v>0</v>
      </c>
      <c r="S27" s="513">
        <v>0</v>
      </c>
      <c r="T27" s="512">
        <v>0</v>
      </c>
      <c r="U27" s="514">
        <v>0</v>
      </c>
      <c r="V27" s="512">
        <v>0</v>
      </c>
      <c r="W27" s="514">
        <v>0</v>
      </c>
      <c r="X27" s="515">
        <v>0</v>
      </c>
      <c r="Y27" s="513">
        <v>0</v>
      </c>
      <c r="Z27" s="484">
        <v>0</v>
      </c>
      <c r="AA27" s="481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48">
        <f t="shared" ref="CO27:CP28" si="24">IF(AND(D27&gt;0,OR(X27="")),1,IF(X27&gt;D27,1,0))</f>
        <v>0</v>
      </c>
      <c r="CP27" s="1048">
        <f t="shared" si="24"/>
        <v>0</v>
      </c>
      <c r="CQ27" s="1048">
        <f>IF(AND($D27&gt;0,OR(Z27="")),1,IF(Z27&gt;$D27,1,0))</f>
        <v>0</v>
      </c>
      <c r="CR27" s="1048">
        <f>IF(AND($E27&gt;0,OR(AA27="")),1,IF(AA27&gt;$E27,1,0))</f>
        <v>0</v>
      </c>
    </row>
    <row r="28" spans="1:100" ht="15" customHeight="1" x14ac:dyDescent="0.25">
      <c r="A28" s="2051" t="s">
        <v>594</v>
      </c>
      <c r="B28" s="2052"/>
      <c r="C28" s="1162">
        <f>SUM(D28:E28)</f>
        <v>0</v>
      </c>
      <c r="D28" s="1157">
        <f>H28+J28+L28+N28+P28+R28+T28+V28</f>
        <v>0</v>
      </c>
      <c r="E28" s="511">
        <f>I28+K28+M28+O28+Q28+S28+U28+W28</f>
        <v>0</v>
      </c>
      <c r="F28" s="872"/>
      <c r="G28" s="871"/>
      <c r="H28" s="495">
        <v>0</v>
      </c>
      <c r="I28" s="496">
        <v>0</v>
      </c>
      <c r="J28" s="495">
        <v>0</v>
      </c>
      <c r="K28" s="496">
        <v>0</v>
      </c>
      <c r="L28" s="495">
        <v>0</v>
      </c>
      <c r="M28" s="496">
        <v>0</v>
      </c>
      <c r="N28" s="495">
        <v>0</v>
      </c>
      <c r="O28" s="497">
        <v>0</v>
      </c>
      <c r="P28" s="495">
        <v>0</v>
      </c>
      <c r="Q28" s="496">
        <v>0</v>
      </c>
      <c r="R28" s="495">
        <v>0</v>
      </c>
      <c r="S28" s="496">
        <v>0</v>
      </c>
      <c r="T28" s="495">
        <v>0</v>
      </c>
      <c r="U28" s="497">
        <v>0</v>
      </c>
      <c r="V28" s="495">
        <v>0</v>
      </c>
      <c r="W28" s="497">
        <v>0</v>
      </c>
      <c r="X28" s="498">
        <v>0</v>
      </c>
      <c r="Y28" s="496">
        <v>0</v>
      </c>
      <c r="Z28" s="489">
        <v>0</v>
      </c>
      <c r="AA28" s="486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48">
        <f t="shared" si="24"/>
        <v>0</v>
      </c>
      <c r="CP28" s="1048">
        <f t="shared" si="24"/>
        <v>0</v>
      </c>
      <c r="CQ28" s="1048">
        <f>IF(AND($D28&gt;0,OR(Z28="")),1,IF(Z28&gt;$D28,1,0))</f>
        <v>0</v>
      </c>
      <c r="CR28" s="1048">
        <f>IF(AND($E28&gt;0,OR(AA28="")),1,IF(AA28&gt;$E28,1,0))</f>
        <v>0</v>
      </c>
    </row>
    <row r="29" spans="1:100" ht="15" customHeight="1" x14ac:dyDescent="0.25">
      <c r="A29" s="2053" t="s">
        <v>603</v>
      </c>
      <c r="B29" s="2054"/>
      <c r="C29" s="1495">
        <f>SUM(D29:E29)</f>
        <v>0</v>
      </c>
      <c r="D29" s="1496">
        <f>+F29+H29+J29+L29+N29+P29+R29+T29+V29</f>
        <v>0</v>
      </c>
      <c r="E29" s="1498">
        <f>+G29+I29+K29+M29+O29+Q29+S29+U29+W29</f>
        <v>0</v>
      </c>
      <c r="F29" s="1497">
        <f>SUM(F26)</f>
        <v>0</v>
      </c>
      <c r="G29" s="1496">
        <f>SUM(G26)</f>
        <v>0</v>
      </c>
      <c r="H29" s="1497">
        <f>SUM(H26:H28)</f>
        <v>0</v>
      </c>
      <c r="I29" s="1216">
        <f t="shared" ref="I29:O29" si="25">SUM(I26:I28)</f>
        <v>0</v>
      </c>
      <c r="J29" s="1497">
        <f t="shared" si="25"/>
        <v>0</v>
      </c>
      <c r="K29" s="1216">
        <f t="shared" si="25"/>
        <v>0</v>
      </c>
      <c r="L29" s="1497">
        <f t="shared" si="25"/>
        <v>0</v>
      </c>
      <c r="M29" s="1216">
        <f t="shared" si="25"/>
        <v>0</v>
      </c>
      <c r="N29" s="1497">
        <f t="shared" si="25"/>
        <v>0</v>
      </c>
      <c r="O29" s="490">
        <f t="shared" si="25"/>
        <v>0</v>
      </c>
      <c r="P29" s="1497">
        <f t="shared" ref="P29:U29" si="26">SUM(P26:P28)</f>
        <v>0</v>
      </c>
      <c r="Q29" s="1216">
        <f t="shared" si="26"/>
        <v>0</v>
      </c>
      <c r="R29" s="1497">
        <f t="shared" si="26"/>
        <v>0</v>
      </c>
      <c r="S29" s="1216">
        <f t="shared" si="26"/>
        <v>0</v>
      </c>
      <c r="T29" s="1497">
        <f t="shared" si="26"/>
        <v>0</v>
      </c>
      <c r="U29" s="490">
        <f t="shared" si="26"/>
        <v>0</v>
      </c>
      <c r="V29" s="1497">
        <f t="shared" ref="V29:W29" si="27">SUM(V26:V28)</f>
        <v>0</v>
      </c>
      <c r="W29" s="490">
        <f t="shared" si="27"/>
        <v>0</v>
      </c>
      <c r="X29" s="491">
        <f>SUM(X26:X28)</f>
        <v>0</v>
      </c>
      <c r="Y29" s="1216">
        <f>SUM(Y26:Y28)</f>
        <v>0</v>
      </c>
      <c r="Z29" s="1496">
        <f>SUM(Z26:Z28)</f>
        <v>0</v>
      </c>
      <c r="AA29" s="1216">
        <f>SUM(AA26:AA28)</f>
        <v>0</v>
      </c>
      <c r="BC29" s="607"/>
      <c r="BD29" s="607"/>
      <c r="BE29" s="607"/>
      <c r="BF29" s="607"/>
      <c r="BG29" s="607"/>
      <c r="BH29" s="607"/>
      <c r="BI29" s="607"/>
      <c r="BJ29" s="607"/>
      <c r="BK29" s="607"/>
      <c r="BL29" s="607"/>
    </row>
    <row r="30" spans="1:100" s="1105" customFormat="1" ht="17.100000000000001" customHeight="1" x14ac:dyDescent="0.2">
      <c r="A30" s="1502" t="s">
        <v>604</v>
      </c>
      <c r="B30" s="1502"/>
      <c r="C30" s="1502"/>
      <c r="D30" s="1502"/>
      <c r="E30" s="1502"/>
      <c r="F30" s="1502"/>
      <c r="G30" s="1502"/>
      <c r="H30" s="1106"/>
      <c r="L30" s="1107"/>
      <c r="AB30" s="1326"/>
      <c r="AC30" s="1104"/>
      <c r="AD30" s="1104"/>
      <c r="AE30" s="1104"/>
      <c r="AF30" s="1104"/>
      <c r="AG30" s="1104"/>
      <c r="AH30" s="1104"/>
      <c r="AI30" s="1104"/>
      <c r="AJ30" s="1104"/>
      <c r="AK30" s="1104"/>
      <c r="AL30" s="1104"/>
      <c r="AM30" s="1104"/>
      <c r="AN30" s="1104"/>
      <c r="AO30" s="1104"/>
      <c r="AP30" s="1104"/>
      <c r="AQ30" s="1104"/>
      <c r="AR30" s="1104"/>
      <c r="AS30" s="1104"/>
      <c r="AT30" s="1104"/>
      <c r="AU30" s="1104"/>
      <c r="AV30" s="1104"/>
      <c r="AW30" s="1104"/>
      <c r="AX30" s="1104"/>
      <c r="AY30" s="1104"/>
    </row>
    <row r="31" spans="1:100" ht="23.25" customHeight="1" x14ac:dyDescent="0.25">
      <c r="A31" s="2021" t="s">
        <v>605</v>
      </c>
      <c r="B31" s="2021"/>
      <c r="C31" s="2020" t="s">
        <v>54</v>
      </c>
      <c r="D31" s="2020"/>
      <c r="E31" s="2020"/>
      <c r="F31" s="2024" t="s">
        <v>382</v>
      </c>
      <c r="G31" s="2025"/>
      <c r="H31" s="2025"/>
      <c r="I31" s="2025"/>
      <c r="J31" s="2025"/>
      <c r="K31" s="2025"/>
      <c r="L31" s="2025"/>
      <c r="M31" s="2025"/>
      <c r="N31" s="2025"/>
      <c r="O31" s="2025"/>
      <c r="P31" s="2025"/>
      <c r="Q31" s="2025"/>
      <c r="R31" s="2025"/>
      <c r="S31" s="2025"/>
      <c r="T31" s="2025"/>
      <c r="U31" s="2026"/>
      <c r="V31" s="1805" t="s">
        <v>56</v>
      </c>
      <c r="W31" s="1804"/>
      <c r="X31" s="1803" t="s">
        <v>113</v>
      </c>
      <c r="Y31" s="1804"/>
      <c r="Z31" s="1803" t="s">
        <v>585</v>
      </c>
      <c r="AA31" s="1804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97"/>
    </row>
    <row r="32" spans="1:100" ht="15.75" customHeight="1" x14ac:dyDescent="0.25">
      <c r="A32" s="2021"/>
      <c r="B32" s="2021"/>
      <c r="C32" s="2020"/>
      <c r="D32" s="2020"/>
      <c r="E32" s="2020"/>
      <c r="F32" s="1886" t="s">
        <v>72</v>
      </c>
      <c r="G32" s="1881"/>
      <c r="H32" s="1880" t="s">
        <v>412</v>
      </c>
      <c r="I32" s="1881"/>
      <c r="J32" s="1880" t="s">
        <v>413</v>
      </c>
      <c r="K32" s="1881"/>
      <c r="L32" s="1880" t="s">
        <v>587</v>
      </c>
      <c r="M32" s="1881"/>
      <c r="N32" s="1886" t="s">
        <v>588</v>
      </c>
      <c r="O32" s="1886"/>
      <c r="P32" s="1880" t="s">
        <v>589</v>
      </c>
      <c r="Q32" s="1886"/>
      <c r="R32" s="1880" t="s">
        <v>590</v>
      </c>
      <c r="S32" s="1881"/>
      <c r="T32" s="1886" t="s">
        <v>591</v>
      </c>
      <c r="U32" s="1886"/>
      <c r="V32" s="1805"/>
      <c r="W32" s="1804"/>
      <c r="X32" s="1803"/>
      <c r="Y32" s="1804"/>
      <c r="Z32" s="1803"/>
      <c r="AA32" s="1804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97"/>
    </row>
    <row r="33" spans="1:100" ht="21" x14ac:dyDescent="0.25">
      <c r="A33" s="2021"/>
      <c r="B33" s="2021"/>
      <c r="C33" s="1445" t="s">
        <v>415</v>
      </c>
      <c r="D33" s="1506" t="s">
        <v>91</v>
      </c>
      <c r="E33" s="1218" t="s">
        <v>232</v>
      </c>
      <c r="F33" s="1467" t="s">
        <v>416</v>
      </c>
      <c r="G33" s="875" t="s">
        <v>232</v>
      </c>
      <c r="H33" s="1466" t="s">
        <v>416</v>
      </c>
      <c r="I33" s="875" t="s">
        <v>232</v>
      </c>
      <c r="J33" s="1466" t="s">
        <v>416</v>
      </c>
      <c r="K33" s="875" t="s">
        <v>232</v>
      </c>
      <c r="L33" s="1507" t="s">
        <v>91</v>
      </c>
      <c r="M33" s="1215" t="s">
        <v>232</v>
      </c>
      <c r="N33" s="1467" t="s">
        <v>416</v>
      </c>
      <c r="O33" s="875" t="s">
        <v>232</v>
      </c>
      <c r="P33" s="1467" t="s">
        <v>416</v>
      </c>
      <c r="Q33" s="875" t="s">
        <v>232</v>
      </c>
      <c r="R33" s="1507" t="s">
        <v>91</v>
      </c>
      <c r="S33" s="1215" t="s">
        <v>232</v>
      </c>
      <c r="T33" s="1494" t="s">
        <v>91</v>
      </c>
      <c r="U33" s="106" t="s">
        <v>232</v>
      </c>
      <c r="V33" s="190" t="s">
        <v>91</v>
      </c>
      <c r="W33" s="1374" t="s">
        <v>232</v>
      </c>
      <c r="X33" s="1354" t="s">
        <v>91</v>
      </c>
      <c r="Y33" s="1374" t="s">
        <v>232</v>
      </c>
      <c r="Z33" s="1354" t="s">
        <v>91</v>
      </c>
      <c r="AA33" s="1374" t="s">
        <v>232</v>
      </c>
      <c r="AZ33"/>
      <c r="BA33"/>
      <c r="CB33" s="37"/>
      <c r="CC33" s="37"/>
      <c r="CD33" s="37"/>
      <c r="CE33" s="37"/>
      <c r="CF33" s="1065"/>
      <c r="CG33" s="1065"/>
      <c r="CJ33" s="1065"/>
      <c r="CK33" s="1065"/>
      <c r="CL33" s="1065"/>
      <c r="CM33" s="1065"/>
      <c r="CO33" s="37"/>
      <c r="CP33" s="37"/>
      <c r="CQ33" s="37"/>
      <c r="CR33" s="37"/>
      <c r="CS33" s="1065"/>
      <c r="CT33" s="1065"/>
      <c r="CU33" s="1065"/>
      <c r="CV33" s="1065"/>
    </row>
    <row r="34" spans="1:100" ht="15" customHeight="1" x14ac:dyDescent="0.25">
      <c r="A34" s="2031" t="s">
        <v>181</v>
      </c>
      <c r="B34" s="2032"/>
      <c r="C34" s="1155">
        <f>SUM(D34:E34)</f>
        <v>15</v>
      </c>
      <c r="D34" s="1158">
        <f>+F34+H34+J34+L34+N34+P34+R34+T34</f>
        <v>6</v>
      </c>
      <c r="E34" s="517">
        <f>+G34+I34+K34+M34+O34+Q34+S34+U34</f>
        <v>9</v>
      </c>
      <c r="F34" s="506">
        <v>0</v>
      </c>
      <c r="G34" s="508">
        <v>1</v>
      </c>
      <c r="H34" s="506">
        <v>0</v>
      </c>
      <c r="I34" s="507">
        <v>0</v>
      </c>
      <c r="J34" s="506">
        <v>2</v>
      </c>
      <c r="K34" s="507">
        <v>1</v>
      </c>
      <c r="L34" s="518">
        <v>2</v>
      </c>
      <c r="M34" s="507">
        <v>0</v>
      </c>
      <c r="N34" s="518">
        <v>1</v>
      </c>
      <c r="O34" s="507">
        <v>7</v>
      </c>
      <c r="P34" s="518">
        <v>0</v>
      </c>
      <c r="Q34" s="507">
        <v>0</v>
      </c>
      <c r="R34" s="518">
        <v>1</v>
      </c>
      <c r="S34" s="507">
        <v>0</v>
      </c>
      <c r="T34" s="518">
        <v>0</v>
      </c>
      <c r="U34" s="510">
        <v>0</v>
      </c>
      <c r="V34" s="509">
        <v>0</v>
      </c>
      <c r="W34" s="657">
        <v>0</v>
      </c>
      <c r="X34" s="518">
        <v>0</v>
      </c>
      <c r="Y34" s="507">
        <v>0</v>
      </c>
      <c r="Z34" s="518">
        <v>0</v>
      </c>
      <c r="AA34" s="507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48">
        <f t="shared" ref="CO34:CP37" si="28">IF(AND(D34&gt;0,OR(V34="")),1,IF(V34&gt;D34,1,0))</f>
        <v>0</v>
      </c>
      <c r="CP34" s="1048">
        <f t="shared" si="28"/>
        <v>0</v>
      </c>
      <c r="CQ34" s="1048">
        <f>IF(AND($D34&gt;0,OR(X34="")),1,IF(X34&gt;$D34,1,0))</f>
        <v>0</v>
      </c>
      <c r="CR34" s="1048">
        <f>IF(AND($E34&gt;0,OR(Y34="")),1,IF(Y34&gt;$E34,1,0))</f>
        <v>0</v>
      </c>
      <c r="CS34" s="1048">
        <f>IF(AND($D34&gt;0,OR(Z34="")),1,IF(Z34&gt;$D34,1,0))</f>
        <v>0</v>
      </c>
      <c r="CT34" s="1048">
        <f>IF(AND($E34&gt;0,OR(AA34="")),1,IF(AA34&gt;$E34,1,0))</f>
        <v>0</v>
      </c>
    </row>
    <row r="35" spans="1:100" ht="15" customHeight="1" x14ac:dyDescent="0.25">
      <c r="A35" s="2033" t="s">
        <v>131</v>
      </c>
      <c r="B35" s="2034"/>
      <c r="C35" s="1156">
        <f>SUM(D35:E35)</f>
        <v>26</v>
      </c>
      <c r="D35" s="1159">
        <f t="shared" ref="D35:D37" si="29">+F35+H35+J35+L35+N35+P35+R35+T35</f>
        <v>17</v>
      </c>
      <c r="E35" s="492">
        <f t="shared" ref="E35:E37" si="30">+G35+I35+K35+M35+O35+Q35+S35+U35</f>
        <v>9</v>
      </c>
      <c r="F35" s="512">
        <v>8</v>
      </c>
      <c r="G35" s="514">
        <v>2</v>
      </c>
      <c r="H35" s="512">
        <v>4</v>
      </c>
      <c r="I35" s="513">
        <v>2</v>
      </c>
      <c r="J35" s="512">
        <v>0</v>
      </c>
      <c r="K35" s="513">
        <v>2</v>
      </c>
      <c r="L35" s="519">
        <v>1</v>
      </c>
      <c r="M35" s="513">
        <v>2</v>
      </c>
      <c r="N35" s="519">
        <v>4</v>
      </c>
      <c r="O35" s="513">
        <v>1</v>
      </c>
      <c r="P35" s="519">
        <v>0</v>
      </c>
      <c r="Q35" s="513">
        <v>0</v>
      </c>
      <c r="R35" s="519">
        <v>0</v>
      </c>
      <c r="S35" s="513">
        <v>0</v>
      </c>
      <c r="T35" s="519">
        <v>0</v>
      </c>
      <c r="U35" s="516">
        <v>0</v>
      </c>
      <c r="V35" s="515">
        <v>0</v>
      </c>
      <c r="W35" s="658">
        <v>0</v>
      </c>
      <c r="X35" s="519">
        <v>0</v>
      </c>
      <c r="Y35" s="513">
        <v>0</v>
      </c>
      <c r="Z35" s="519">
        <v>0</v>
      </c>
      <c r="AA35" s="513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48">
        <f t="shared" si="28"/>
        <v>0</v>
      </c>
      <c r="CP35" s="1048">
        <f t="shared" si="28"/>
        <v>0</v>
      </c>
      <c r="CQ35" s="1048">
        <f>IF(AND($D35&gt;0,OR(X35="")),1,IF(X35&gt;$D35,1,0))</f>
        <v>0</v>
      </c>
      <c r="CR35" s="1048">
        <f>IF(AND($E35&gt;0,OR(Y35="")),1,IF(Y35&gt;$E35,1,0))</f>
        <v>0</v>
      </c>
      <c r="CS35" s="1048">
        <f>IF(AND($D35&gt;0,OR(Z35="")),1,IF(Z35&gt;$D35,1,0))</f>
        <v>0</v>
      </c>
      <c r="CT35" s="1048">
        <f>IF(AND($E35&gt;0,OR(AA35="")),1,IF(AA35&gt;$E35,1,0))</f>
        <v>0</v>
      </c>
    </row>
    <row r="36" spans="1:100" ht="15" customHeight="1" x14ac:dyDescent="0.25">
      <c r="A36" s="2033" t="s">
        <v>130</v>
      </c>
      <c r="B36" s="2034"/>
      <c r="C36" s="1156">
        <f>SUM(D36:E36)</f>
        <v>18</v>
      </c>
      <c r="D36" s="1159">
        <f t="shared" si="29"/>
        <v>12</v>
      </c>
      <c r="E36" s="492">
        <f t="shared" si="30"/>
        <v>6</v>
      </c>
      <c r="F36" s="512">
        <v>7</v>
      </c>
      <c r="G36" s="514">
        <v>2</v>
      </c>
      <c r="H36" s="512">
        <v>3</v>
      </c>
      <c r="I36" s="513">
        <v>2</v>
      </c>
      <c r="J36" s="512">
        <v>1</v>
      </c>
      <c r="K36" s="513">
        <v>1</v>
      </c>
      <c r="L36" s="519">
        <v>1</v>
      </c>
      <c r="M36" s="513">
        <v>1</v>
      </c>
      <c r="N36" s="519">
        <v>0</v>
      </c>
      <c r="O36" s="513">
        <v>0</v>
      </c>
      <c r="P36" s="519">
        <v>0</v>
      </c>
      <c r="Q36" s="513">
        <v>0</v>
      </c>
      <c r="R36" s="519">
        <v>0</v>
      </c>
      <c r="S36" s="513">
        <v>0</v>
      </c>
      <c r="T36" s="519">
        <v>0</v>
      </c>
      <c r="U36" s="516">
        <v>0</v>
      </c>
      <c r="V36" s="515">
        <v>0</v>
      </c>
      <c r="W36" s="658">
        <v>0</v>
      </c>
      <c r="X36" s="519">
        <v>0</v>
      </c>
      <c r="Y36" s="513">
        <v>0</v>
      </c>
      <c r="Z36" s="519">
        <v>0</v>
      </c>
      <c r="AA36" s="513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48">
        <f t="shared" si="28"/>
        <v>0</v>
      </c>
      <c r="CP36" s="1048">
        <f t="shared" si="28"/>
        <v>0</v>
      </c>
      <c r="CQ36" s="1048">
        <f>IF(AND($D36&gt;0,OR(X36="")),1,IF(X36&gt;$D36,1,0))</f>
        <v>0</v>
      </c>
      <c r="CR36" s="1048">
        <f>IF(AND($E36&gt;0,OR(Y36="")),1,IF(Y36&gt;$E36,1,0))</f>
        <v>0</v>
      </c>
      <c r="CS36" s="1048">
        <f>IF(AND($D36&gt;0,OR(Z36="")),1,IF(Z36&gt;$D36,1,0))</f>
        <v>0</v>
      </c>
      <c r="CT36" s="1048">
        <f>IF(AND($E36&gt;0,OR(AA36="")),1,IF(AA36&gt;$E36,1,0))</f>
        <v>0</v>
      </c>
    </row>
    <row r="37" spans="1:100" ht="15" customHeight="1" x14ac:dyDescent="0.25">
      <c r="A37" s="2027" t="s">
        <v>246</v>
      </c>
      <c r="B37" s="2028"/>
      <c r="C37" s="1163">
        <f>SUM(D37:E37)</f>
        <v>13</v>
      </c>
      <c r="D37" s="1160">
        <f t="shared" si="29"/>
        <v>5</v>
      </c>
      <c r="E37" s="520">
        <f t="shared" si="30"/>
        <v>8</v>
      </c>
      <c r="F37" s="495">
        <v>1</v>
      </c>
      <c r="G37" s="497">
        <v>2</v>
      </c>
      <c r="H37" s="495">
        <v>1</v>
      </c>
      <c r="I37" s="496">
        <v>2</v>
      </c>
      <c r="J37" s="495">
        <v>2</v>
      </c>
      <c r="K37" s="496">
        <v>0</v>
      </c>
      <c r="L37" s="500">
        <v>1</v>
      </c>
      <c r="M37" s="496">
        <v>2</v>
      </c>
      <c r="N37" s="500">
        <v>0</v>
      </c>
      <c r="O37" s="496">
        <v>2</v>
      </c>
      <c r="P37" s="500">
        <v>0</v>
      </c>
      <c r="Q37" s="496">
        <v>0</v>
      </c>
      <c r="R37" s="500">
        <v>0</v>
      </c>
      <c r="S37" s="496">
        <v>0</v>
      </c>
      <c r="T37" s="500">
        <v>0</v>
      </c>
      <c r="U37" s="499">
        <v>0</v>
      </c>
      <c r="V37" s="498">
        <v>0</v>
      </c>
      <c r="W37" s="659">
        <v>0</v>
      </c>
      <c r="X37" s="500">
        <v>0</v>
      </c>
      <c r="Y37" s="496">
        <v>0</v>
      </c>
      <c r="Z37" s="500">
        <v>0</v>
      </c>
      <c r="AA37" s="496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48">
        <f t="shared" si="28"/>
        <v>0</v>
      </c>
      <c r="CP37" s="1048">
        <f t="shared" si="28"/>
        <v>0</v>
      </c>
      <c r="CQ37" s="1048">
        <f>IF(AND($D37&gt;0,OR(X37="")),1,IF(X37&gt;$D37,1,0))</f>
        <v>0</v>
      </c>
      <c r="CR37" s="1048">
        <f>IF(AND($E37&gt;0,OR(Y37="")),1,IF(Y37&gt;$E37,1,0))</f>
        <v>0</v>
      </c>
      <c r="CS37" s="1048">
        <f>IF(AND($D37&gt;0,OR(Z37="")),1,IF(Z37&gt;$D37,1,0))</f>
        <v>0</v>
      </c>
      <c r="CT37" s="1048">
        <f>IF(AND($E37&gt;0,OR(AA37="")),1,IF(AA37&gt;$E37,1,0))</f>
        <v>0</v>
      </c>
    </row>
    <row r="38" spans="1:100" ht="15" customHeight="1" x14ac:dyDescent="0.25">
      <c r="A38" s="2029" t="s">
        <v>503</v>
      </c>
      <c r="B38" s="2030"/>
      <c r="C38" s="1495">
        <f>SUM(D38:E38)</f>
        <v>72</v>
      </c>
      <c r="D38" s="1501">
        <f>+F38+H38+J38+L38+N38+P38+R38+T38</f>
        <v>40</v>
      </c>
      <c r="E38" s="1217">
        <f>+G38+I38+K38+M38+O38+Q38+S38+U38</f>
        <v>32</v>
      </c>
      <c r="F38" s="1501">
        <f>SUM(F34:F37)</f>
        <v>16</v>
      </c>
      <c r="G38" s="1217">
        <f t="shared" ref="G38:Y38" si="31">SUM(G34:G37)</f>
        <v>7</v>
      </c>
      <c r="H38" s="1499">
        <f t="shared" si="31"/>
        <v>8</v>
      </c>
      <c r="I38" s="1217">
        <f t="shared" si="31"/>
        <v>6</v>
      </c>
      <c r="J38" s="1499">
        <f t="shared" ref="J38:M38" si="32">SUM(J34:J37)</f>
        <v>5</v>
      </c>
      <c r="K38" s="1217">
        <f t="shared" si="32"/>
        <v>4</v>
      </c>
      <c r="L38" s="1499">
        <f t="shared" si="32"/>
        <v>5</v>
      </c>
      <c r="M38" s="1217">
        <f t="shared" si="32"/>
        <v>5</v>
      </c>
      <c r="N38" s="1501">
        <f t="shared" si="31"/>
        <v>5</v>
      </c>
      <c r="O38" s="1217">
        <f t="shared" si="31"/>
        <v>10</v>
      </c>
      <c r="P38" s="1501">
        <f t="shared" ref="P38:S38" si="33">SUM(P34:P37)</f>
        <v>0</v>
      </c>
      <c r="Q38" s="1217">
        <f t="shared" si="33"/>
        <v>0</v>
      </c>
      <c r="R38" s="1499">
        <f t="shared" si="33"/>
        <v>1</v>
      </c>
      <c r="S38" s="1217">
        <f t="shared" si="33"/>
        <v>0</v>
      </c>
      <c r="T38" s="1501">
        <f t="shared" si="31"/>
        <v>0</v>
      </c>
      <c r="U38" s="504">
        <f t="shared" si="31"/>
        <v>0</v>
      </c>
      <c r="V38" s="503">
        <f>SUM(V34:V37)</f>
        <v>0</v>
      </c>
      <c r="W38" s="1217">
        <f>SUM(W34:W37)</f>
        <v>0</v>
      </c>
      <c r="X38" s="1501">
        <f t="shared" si="31"/>
        <v>0</v>
      </c>
      <c r="Y38" s="1217">
        <f t="shared" si="31"/>
        <v>0</v>
      </c>
      <c r="Z38" s="1501">
        <f t="shared" ref="Z38:AA38" si="34">SUM(Z34:Z37)</f>
        <v>0</v>
      </c>
      <c r="AA38" s="1217">
        <f t="shared" si="34"/>
        <v>0</v>
      </c>
      <c r="AZ38"/>
      <c r="BA38"/>
      <c r="BC38" s="607"/>
      <c r="BD38" s="607"/>
      <c r="BE38" s="607"/>
      <c r="BF38" s="607"/>
      <c r="BG38" s="607"/>
      <c r="BH38" s="607"/>
      <c r="BI38" s="607"/>
      <c r="BJ38" s="607"/>
      <c r="BK38" s="607"/>
      <c r="BL38" s="607"/>
    </row>
    <row r="39" spans="1:100" s="1105" customFormat="1" ht="17.100000000000001" customHeight="1" x14ac:dyDescent="0.2">
      <c r="A39" s="2022" t="s">
        <v>606</v>
      </c>
      <c r="B39" s="2022"/>
      <c r="C39" s="2022"/>
      <c r="D39" s="2022"/>
      <c r="E39" s="2022"/>
      <c r="F39" s="2023"/>
      <c r="G39" s="2023"/>
      <c r="H39" s="1111"/>
      <c r="I39" s="1111"/>
      <c r="J39" s="1111"/>
      <c r="K39" s="1111"/>
      <c r="L39" s="1107"/>
      <c r="AB39" s="1326"/>
      <c r="AC39" s="1104"/>
      <c r="AD39" s="1104"/>
      <c r="AE39" s="1104"/>
      <c r="AF39" s="1104"/>
      <c r="AG39" s="1104"/>
      <c r="AH39" s="1104"/>
      <c r="AI39" s="1104"/>
      <c r="AJ39" s="1104"/>
      <c r="AK39" s="1104"/>
      <c r="AL39" s="1104"/>
      <c r="AM39" s="1104"/>
      <c r="AN39" s="1104"/>
      <c r="AO39" s="1104"/>
      <c r="AP39" s="1104"/>
      <c r="AQ39" s="1104"/>
      <c r="AR39" s="1104"/>
      <c r="AS39" s="1104"/>
      <c r="AT39" s="1104"/>
      <c r="AU39" s="1104"/>
      <c r="AV39" s="1104"/>
      <c r="AW39" s="1104"/>
      <c r="AX39" s="1104"/>
      <c r="AY39" s="1104"/>
    </row>
    <row r="40" spans="1:100" ht="22.5" customHeight="1" x14ac:dyDescent="0.25">
      <c r="A40" s="2021" t="s">
        <v>451</v>
      </c>
      <c r="B40" s="2021"/>
      <c r="C40" s="2020" t="s">
        <v>54</v>
      </c>
      <c r="D40" s="2020"/>
      <c r="E40" s="2020"/>
      <c r="F40" s="2024" t="s">
        <v>382</v>
      </c>
      <c r="G40" s="2025"/>
      <c r="H40" s="2025"/>
      <c r="I40" s="2025"/>
      <c r="J40" s="2025"/>
      <c r="K40" s="2025"/>
      <c r="L40" s="2025"/>
      <c r="M40" s="2025"/>
      <c r="N40" s="2025"/>
      <c r="O40" s="2025"/>
      <c r="P40" s="2025"/>
      <c r="Q40" s="2025"/>
      <c r="R40" s="2025"/>
      <c r="S40" s="2025"/>
      <c r="T40" s="2025"/>
      <c r="U40" s="2026"/>
      <c r="V40" s="1873" t="s">
        <v>56</v>
      </c>
      <c r="W40" s="1870"/>
      <c r="X40" s="1873" t="s">
        <v>113</v>
      </c>
      <c r="Y40" s="1870"/>
      <c r="Z40" s="1873" t="s">
        <v>585</v>
      </c>
      <c r="AA40" s="1870"/>
    </row>
    <row r="41" spans="1:100" ht="17.25" customHeight="1" x14ac:dyDescent="0.25">
      <c r="A41" s="2021"/>
      <c r="B41" s="2021"/>
      <c r="C41" s="2020"/>
      <c r="D41" s="2020"/>
      <c r="E41" s="2020"/>
      <c r="F41" s="1880" t="s">
        <v>72</v>
      </c>
      <c r="G41" s="1881"/>
      <c r="H41" s="1880" t="s">
        <v>412</v>
      </c>
      <c r="I41" s="1881"/>
      <c r="J41" s="1880" t="s">
        <v>413</v>
      </c>
      <c r="K41" s="1881"/>
      <c r="L41" s="1880" t="s">
        <v>587</v>
      </c>
      <c r="M41" s="1881"/>
      <c r="N41" s="1886" t="s">
        <v>588</v>
      </c>
      <c r="O41" s="1886"/>
      <c r="P41" s="1880" t="s">
        <v>589</v>
      </c>
      <c r="Q41" s="1886"/>
      <c r="R41" s="1880" t="s">
        <v>590</v>
      </c>
      <c r="S41" s="1881"/>
      <c r="T41" s="1880" t="s">
        <v>591</v>
      </c>
      <c r="U41" s="1888"/>
      <c r="V41" s="1871"/>
      <c r="W41" s="1872"/>
      <c r="X41" s="1871"/>
      <c r="Y41" s="1872"/>
      <c r="Z41" s="1871"/>
      <c r="AA41" s="1872"/>
    </row>
    <row r="42" spans="1:100" ht="31.15" customHeight="1" x14ac:dyDescent="0.25">
      <c r="A42" s="2021"/>
      <c r="B42" s="2021"/>
      <c r="C42" s="1445" t="s">
        <v>415</v>
      </c>
      <c r="D42" s="1506" t="s">
        <v>91</v>
      </c>
      <c r="E42" s="1508" t="s">
        <v>232</v>
      </c>
      <c r="F42" s="1466" t="s">
        <v>416</v>
      </c>
      <c r="G42" s="875" t="s">
        <v>232</v>
      </c>
      <c r="H42" s="1466" t="s">
        <v>416</v>
      </c>
      <c r="I42" s="875" t="s">
        <v>232</v>
      </c>
      <c r="J42" s="1466" t="s">
        <v>416</v>
      </c>
      <c r="K42" s="875" t="s">
        <v>232</v>
      </c>
      <c r="L42" s="1507" t="s">
        <v>91</v>
      </c>
      <c r="M42" s="1215" t="s">
        <v>232</v>
      </c>
      <c r="N42" s="1507" t="s">
        <v>91</v>
      </c>
      <c r="O42" s="1215" t="s">
        <v>232</v>
      </c>
      <c r="P42" s="1507" t="s">
        <v>91</v>
      </c>
      <c r="Q42" s="1215" t="s">
        <v>232</v>
      </c>
      <c r="R42" s="1507" t="s">
        <v>91</v>
      </c>
      <c r="S42" s="1215" t="s">
        <v>232</v>
      </c>
      <c r="T42" s="1507" t="s">
        <v>91</v>
      </c>
      <c r="U42" s="106" t="s">
        <v>232</v>
      </c>
      <c r="V42" s="1354" t="s">
        <v>91</v>
      </c>
      <c r="W42" s="1374" t="s">
        <v>232</v>
      </c>
      <c r="X42" s="1354" t="s">
        <v>91</v>
      </c>
      <c r="Y42" s="1374" t="s">
        <v>232</v>
      </c>
      <c r="Z42" s="1354" t="s">
        <v>91</v>
      </c>
      <c r="AA42" s="1374" t="s">
        <v>232</v>
      </c>
    </row>
    <row r="43" spans="1:100" ht="15" customHeight="1" x14ac:dyDescent="0.25">
      <c r="A43" s="2033" t="s">
        <v>607</v>
      </c>
      <c r="B43" s="2034"/>
      <c r="C43" s="1495">
        <f>SUM(D43:E43)</f>
        <v>0</v>
      </c>
      <c r="D43" s="1501">
        <f>+F43+H43+J43+L43+N43+P43+R43+T43</f>
        <v>0</v>
      </c>
      <c r="E43" s="1500">
        <f>+G43+I43+K43+M43+O43+Q43+S43+U43</f>
        <v>0</v>
      </c>
      <c r="F43" s="1509">
        <v>0</v>
      </c>
      <c r="G43" s="1219">
        <v>0</v>
      </c>
      <c r="H43" s="1509">
        <v>0</v>
      </c>
      <c r="I43" s="1219">
        <v>0</v>
      </c>
      <c r="J43" s="1509">
        <v>0</v>
      </c>
      <c r="K43" s="1219">
        <v>0</v>
      </c>
      <c r="L43" s="1509">
        <v>0</v>
      </c>
      <c r="M43" s="1219">
        <v>0</v>
      </c>
      <c r="N43" s="1509">
        <v>0</v>
      </c>
      <c r="O43" s="1219">
        <v>0</v>
      </c>
      <c r="P43" s="1509">
        <v>0</v>
      </c>
      <c r="Q43" s="1219">
        <v>0</v>
      </c>
      <c r="R43" s="1509">
        <v>0</v>
      </c>
      <c r="S43" s="1219">
        <v>0</v>
      </c>
      <c r="T43" s="1509">
        <v>0</v>
      </c>
      <c r="U43" s="737">
        <v>0</v>
      </c>
      <c r="V43" s="1510">
        <v>0</v>
      </c>
      <c r="W43" s="1219">
        <v>0</v>
      </c>
      <c r="X43" s="1509">
        <v>0</v>
      </c>
      <c r="Y43" s="1219">
        <v>0</v>
      </c>
      <c r="Z43" s="1509">
        <v>0</v>
      </c>
      <c r="AA43" s="1219">
        <v>0</v>
      </c>
      <c r="AB43" s="107" t="str">
        <f>CA43&amp;CB43&amp;CC43&amp;CD43&amp;CE43&amp;CF43&amp;CG43</f>
        <v/>
      </c>
      <c r="BC43" s="607"/>
      <c r="BD43" s="607"/>
      <c r="BE43" s="607"/>
      <c r="BF43" s="607"/>
      <c r="BG43" s="607"/>
      <c r="BH43" s="607"/>
      <c r="BI43" s="607"/>
      <c r="BJ43" s="607"/>
      <c r="BK43" s="607"/>
      <c r="BL43" s="607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48">
        <f>IF(C43&gt;C21,1,0)</f>
        <v>0</v>
      </c>
      <c r="CO43" s="1048">
        <f>IF(AND(D43&gt;0,OR(V43="")),1,IF(V43&gt;D43,1,0))</f>
        <v>0</v>
      </c>
      <c r="CP43" s="1048">
        <f>IF(AND(E43&gt;0,OR(W43="")),1,IF(W43&gt;E43,1,0))</f>
        <v>0</v>
      </c>
      <c r="CQ43" s="1048">
        <f>IF(AND($D43&gt;0,OR(X43="")),1,IF(X43&gt;$D43,1,0))</f>
        <v>0</v>
      </c>
      <c r="CR43" s="1048">
        <f>IF(AND($E43&gt;0,OR(Y43="")),1,IF(Y43&gt;$E43,1,0))</f>
        <v>0</v>
      </c>
      <c r="CS43" s="1048">
        <f>IF(AND($D43&gt;0,OR(Z43="")),1,IF(Z43&gt;$D43,1,0))</f>
        <v>0</v>
      </c>
      <c r="CT43" s="1048">
        <f>IF(AND($E43&gt;0,OR(AA43="")),1,IF(AA43&gt;$E43,1,0))</f>
        <v>0</v>
      </c>
    </row>
    <row r="44" spans="1:100" s="1105" customFormat="1" ht="17.100000000000001" customHeight="1" x14ac:dyDescent="0.2">
      <c r="A44" s="2036" t="s">
        <v>608</v>
      </c>
      <c r="B44" s="2036"/>
      <c r="C44" s="2036"/>
      <c r="D44" s="2036"/>
      <c r="E44" s="2036"/>
      <c r="F44" s="2037"/>
      <c r="G44" s="2037"/>
      <c r="H44" s="2037"/>
      <c r="I44" s="1111"/>
      <c r="J44" s="1111"/>
      <c r="K44" s="1111"/>
      <c r="L44" s="1107"/>
      <c r="AB44" s="1326"/>
      <c r="AC44" s="1104"/>
      <c r="AD44" s="1104"/>
      <c r="AE44" s="1104"/>
      <c r="AF44" s="1104"/>
      <c r="AG44" s="1104"/>
      <c r="AH44" s="1104"/>
      <c r="AI44" s="1104"/>
      <c r="AJ44" s="1104"/>
      <c r="AK44" s="1104"/>
      <c r="AL44" s="1104"/>
      <c r="AM44" s="1104"/>
      <c r="AN44" s="1104"/>
      <c r="AO44" s="1104"/>
      <c r="AP44" s="1104"/>
      <c r="AQ44" s="1104"/>
      <c r="AR44" s="1104"/>
      <c r="AS44" s="1104"/>
      <c r="AT44" s="1104"/>
      <c r="AU44" s="1104"/>
      <c r="AV44" s="1104"/>
      <c r="AW44" s="1104"/>
      <c r="AX44" s="1104"/>
      <c r="AY44" s="1104"/>
    </row>
    <row r="45" spans="1:100" ht="20.25" customHeight="1" x14ac:dyDescent="0.25">
      <c r="A45" s="2021" t="s">
        <v>451</v>
      </c>
      <c r="B45" s="2021"/>
      <c r="C45" s="2020" t="s">
        <v>54</v>
      </c>
      <c r="D45" s="2020"/>
      <c r="E45" s="2020"/>
      <c r="F45" s="2024" t="s">
        <v>382</v>
      </c>
      <c r="G45" s="2025"/>
      <c r="H45" s="2025"/>
      <c r="I45" s="2025"/>
      <c r="J45" s="2025"/>
      <c r="K45" s="2025"/>
      <c r="L45" s="2025"/>
      <c r="M45" s="2025"/>
      <c r="N45" s="2025"/>
      <c r="O45" s="2025"/>
      <c r="P45" s="2025"/>
      <c r="Q45" s="2025"/>
      <c r="R45" s="2025"/>
      <c r="S45" s="2025"/>
      <c r="T45" s="2025"/>
      <c r="U45" s="2026"/>
      <c r="V45" s="1873" t="s">
        <v>56</v>
      </c>
      <c r="W45" s="1870"/>
      <c r="X45" s="1873" t="s">
        <v>113</v>
      </c>
      <c r="Y45" s="1870"/>
      <c r="Z45" s="1873" t="s">
        <v>585</v>
      </c>
      <c r="AA45" s="1870"/>
    </row>
    <row r="46" spans="1:100" ht="19.5" customHeight="1" x14ac:dyDescent="0.25">
      <c r="A46" s="2021"/>
      <c r="B46" s="2021"/>
      <c r="C46" s="2020"/>
      <c r="D46" s="2020"/>
      <c r="E46" s="2020"/>
      <c r="F46" s="1880" t="s">
        <v>72</v>
      </c>
      <c r="G46" s="1881"/>
      <c r="H46" s="1880" t="s">
        <v>412</v>
      </c>
      <c r="I46" s="1881"/>
      <c r="J46" s="1880" t="s">
        <v>413</v>
      </c>
      <c r="K46" s="1881"/>
      <c r="L46" s="1880" t="s">
        <v>587</v>
      </c>
      <c r="M46" s="1881"/>
      <c r="N46" s="1886" t="s">
        <v>588</v>
      </c>
      <c r="O46" s="1886"/>
      <c r="P46" s="1880" t="s">
        <v>589</v>
      </c>
      <c r="Q46" s="1886"/>
      <c r="R46" s="1880" t="s">
        <v>590</v>
      </c>
      <c r="S46" s="1881"/>
      <c r="T46" s="1880" t="s">
        <v>591</v>
      </c>
      <c r="U46" s="1888"/>
      <c r="V46" s="1871"/>
      <c r="W46" s="1872"/>
      <c r="X46" s="1871"/>
      <c r="Y46" s="1872"/>
      <c r="Z46" s="1871"/>
      <c r="AA46" s="1872"/>
    </row>
    <row r="47" spans="1:100" ht="21" x14ac:dyDescent="0.25">
      <c r="A47" s="2021"/>
      <c r="B47" s="2021"/>
      <c r="C47" s="1445" t="s">
        <v>415</v>
      </c>
      <c r="D47" s="1506" t="s">
        <v>91</v>
      </c>
      <c r="E47" s="1218" t="s">
        <v>232</v>
      </c>
      <c r="F47" s="1466" t="s">
        <v>416</v>
      </c>
      <c r="G47" s="875" t="s">
        <v>232</v>
      </c>
      <c r="H47" s="1466" t="s">
        <v>416</v>
      </c>
      <c r="I47" s="875" t="s">
        <v>232</v>
      </c>
      <c r="J47" s="1466" t="s">
        <v>416</v>
      </c>
      <c r="K47" s="875" t="s">
        <v>232</v>
      </c>
      <c r="L47" s="1507" t="s">
        <v>91</v>
      </c>
      <c r="M47" s="1215" t="s">
        <v>232</v>
      </c>
      <c r="N47" s="1507" t="s">
        <v>91</v>
      </c>
      <c r="O47" s="1215" t="s">
        <v>232</v>
      </c>
      <c r="P47" s="1507" t="s">
        <v>91</v>
      </c>
      <c r="Q47" s="1215" t="s">
        <v>232</v>
      </c>
      <c r="R47" s="1507" t="s">
        <v>91</v>
      </c>
      <c r="S47" s="1215" t="s">
        <v>232</v>
      </c>
      <c r="T47" s="1507" t="s">
        <v>91</v>
      </c>
      <c r="U47" s="106" t="s">
        <v>232</v>
      </c>
      <c r="V47" s="1354" t="s">
        <v>91</v>
      </c>
      <c r="W47" s="1374" t="s">
        <v>232</v>
      </c>
      <c r="X47" s="1354" t="s">
        <v>91</v>
      </c>
      <c r="Y47" s="1374" t="s">
        <v>232</v>
      </c>
      <c r="Z47" s="1354" t="s">
        <v>91</v>
      </c>
      <c r="AA47" s="1374" t="s">
        <v>232</v>
      </c>
    </row>
    <row r="48" spans="1:100" ht="15" customHeight="1" x14ac:dyDescent="0.25">
      <c r="A48" s="2033" t="s">
        <v>609</v>
      </c>
      <c r="B48" s="2034"/>
      <c r="C48" s="1495">
        <f>SUM(D48:E48)</f>
        <v>0</v>
      </c>
      <c r="D48" s="1501">
        <f>+F48+H48+J48+L48+N48+P48+R48+T48</f>
        <v>0</v>
      </c>
      <c r="E48" s="1217">
        <f>+G48+I48+K48+M48+O48+Q48+S48+U48</f>
        <v>0</v>
      </c>
      <c r="F48" s="1509">
        <v>0</v>
      </c>
      <c r="G48" s="1219">
        <v>0</v>
      </c>
      <c r="H48" s="1509">
        <v>0</v>
      </c>
      <c r="I48" s="1219">
        <v>0</v>
      </c>
      <c r="J48" s="1509">
        <v>0</v>
      </c>
      <c r="K48" s="1219">
        <v>0</v>
      </c>
      <c r="L48" s="1509">
        <v>0</v>
      </c>
      <c r="M48" s="1219">
        <v>0</v>
      </c>
      <c r="N48" s="1509">
        <v>0</v>
      </c>
      <c r="O48" s="1219">
        <v>0</v>
      </c>
      <c r="P48" s="1509">
        <v>0</v>
      </c>
      <c r="Q48" s="1219">
        <v>0</v>
      </c>
      <c r="R48" s="1509">
        <v>0</v>
      </c>
      <c r="S48" s="1219">
        <v>0</v>
      </c>
      <c r="T48" s="1509">
        <v>0</v>
      </c>
      <c r="U48" s="737">
        <v>0</v>
      </c>
      <c r="V48" s="1510">
        <v>0</v>
      </c>
      <c r="W48" s="1219">
        <v>0</v>
      </c>
      <c r="X48" s="1509">
        <v>0</v>
      </c>
      <c r="Y48" s="1219">
        <v>0</v>
      </c>
      <c r="Z48" s="1509">
        <v>0</v>
      </c>
      <c r="AA48" s="1219">
        <v>0</v>
      </c>
      <c r="AB48" s="107" t="str">
        <f>CA48&amp;CB48&amp;CC48&amp;CD48&amp;CE48&amp;CF48&amp;CG48</f>
        <v/>
      </c>
      <c r="BC48" s="607"/>
      <c r="BD48" s="607"/>
      <c r="BE48" s="607"/>
      <c r="BF48" s="607"/>
      <c r="BG48" s="607"/>
      <c r="BH48" s="607"/>
      <c r="BI48" s="607"/>
      <c r="BJ48" s="607"/>
      <c r="BK48" s="607"/>
      <c r="BL48" s="607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48">
        <f>IF($C$48&lt;=$C$15,0,1)</f>
        <v>0</v>
      </c>
      <c r="CO48" s="1048">
        <f>IF(AND(D48&gt;0,OR(V48="")),1,IF(V48&gt;D48,1,0))</f>
        <v>0</v>
      </c>
      <c r="CP48" s="1048">
        <f>IF(AND(E48&gt;0,OR(W48="")),1,IF(W48&gt;E48,1,0))</f>
        <v>0</v>
      </c>
      <c r="CQ48" s="1048">
        <f>IF(AND($D48&gt;0,OR(X48="")),1,IF(X48&gt;$D48,1,0))</f>
        <v>0</v>
      </c>
      <c r="CR48" s="1048">
        <f>IF(AND($E48&gt;0,OR(Y48="")),1,IF(Y48&gt;$E48,1,0))</f>
        <v>0</v>
      </c>
      <c r="CS48" s="1048">
        <f>IF(AND($D48&gt;0,OR(Z48="")),1,IF(Z48&gt;$D48,1,0))</f>
        <v>0</v>
      </c>
      <c r="CT48" s="1048">
        <f>IF(AND($E48&gt;0,OR(AA48="")),1,IF(AA48&gt;$E48,1,0))</f>
        <v>0</v>
      </c>
    </row>
    <row r="49" spans="1:98" s="1105" customFormat="1" ht="17.100000000000001" customHeight="1" x14ac:dyDescent="0.2">
      <c r="A49" s="2035" t="s">
        <v>610</v>
      </c>
      <c r="B49" s="2035"/>
      <c r="C49" s="2035"/>
      <c r="D49" s="2035"/>
      <c r="E49" s="2035"/>
      <c r="F49" s="2035"/>
      <c r="G49" s="2035"/>
      <c r="H49" s="2035"/>
      <c r="I49" s="2035"/>
      <c r="AB49" s="1326"/>
      <c r="AC49" s="1104"/>
      <c r="AD49" s="1104"/>
      <c r="AE49" s="1104"/>
      <c r="AF49" s="1104"/>
      <c r="AG49" s="1104"/>
      <c r="AH49" s="1104"/>
      <c r="AI49" s="1104"/>
      <c r="AJ49" s="1104"/>
      <c r="AK49" s="1104"/>
      <c r="AL49" s="1104"/>
      <c r="AM49" s="1104"/>
      <c r="AN49" s="1104"/>
      <c r="AO49" s="1104"/>
      <c r="AP49" s="1104"/>
      <c r="AQ49" s="1104"/>
      <c r="AR49" s="1104"/>
      <c r="AS49" s="1104"/>
      <c r="AT49" s="1104"/>
      <c r="AU49" s="1104"/>
      <c r="AV49" s="1104"/>
      <c r="AW49" s="1104"/>
      <c r="AX49" s="1104"/>
      <c r="AY49" s="1104"/>
    </row>
    <row r="50" spans="1:98" ht="25.5" customHeight="1" x14ac:dyDescent="0.25">
      <c r="A50" s="1658" t="s">
        <v>611</v>
      </c>
      <c r="B50" s="2038" t="s">
        <v>612</v>
      </c>
      <c r="C50" s="2020" t="s">
        <v>54</v>
      </c>
      <c r="D50" s="2020"/>
      <c r="E50" s="2020"/>
      <c r="F50" s="2024" t="s">
        <v>382</v>
      </c>
      <c r="G50" s="2025"/>
      <c r="H50" s="2025"/>
      <c r="I50" s="2025"/>
      <c r="J50" s="2025"/>
      <c r="K50" s="2025"/>
      <c r="L50" s="2025"/>
      <c r="M50" s="2025"/>
      <c r="N50" s="2025"/>
      <c r="O50" s="2025"/>
      <c r="P50" s="2025"/>
      <c r="Q50" s="2025"/>
      <c r="R50" s="2025"/>
      <c r="S50" s="2025"/>
      <c r="T50" s="2025"/>
      <c r="U50" s="2026"/>
      <c r="V50" s="1873" t="s">
        <v>56</v>
      </c>
      <c r="W50" s="1870"/>
      <c r="X50" s="1873" t="s">
        <v>113</v>
      </c>
      <c r="Y50" s="1870"/>
      <c r="Z50" s="1873" t="s">
        <v>585</v>
      </c>
      <c r="AA50" s="1870"/>
    </row>
    <row r="51" spans="1:98" ht="15.75" customHeight="1" x14ac:dyDescent="0.25">
      <c r="A51" s="1935"/>
      <c r="B51" s="2039"/>
      <c r="C51" s="2020"/>
      <c r="D51" s="2020"/>
      <c r="E51" s="2020"/>
      <c r="F51" s="1886" t="s">
        <v>72</v>
      </c>
      <c r="G51" s="1881"/>
      <c r="H51" s="1880" t="s">
        <v>412</v>
      </c>
      <c r="I51" s="1881"/>
      <c r="J51" s="1880" t="s">
        <v>413</v>
      </c>
      <c r="K51" s="1881"/>
      <c r="L51" s="1880" t="s">
        <v>587</v>
      </c>
      <c r="M51" s="1881"/>
      <c r="N51" s="1886" t="s">
        <v>588</v>
      </c>
      <c r="O51" s="1886"/>
      <c r="P51" s="1880" t="s">
        <v>589</v>
      </c>
      <c r="Q51" s="1886"/>
      <c r="R51" s="1880" t="s">
        <v>590</v>
      </c>
      <c r="S51" s="1881"/>
      <c r="T51" s="1880" t="s">
        <v>591</v>
      </c>
      <c r="U51" s="1888"/>
      <c r="V51" s="1871"/>
      <c r="W51" s="1872"/>
      <c r="X51" s="1871"/>
      <c r="Y51" s="1872"/>
      <c r="Z51" s="1871"/>
      <c r="AA51" s="1872"/>
    </row>
    <row r="52" spans="1:98" ht="24.75" customHeight="1" x14ac:dyDescent="0.25">
      <c r="A52" s="1659"/>
      <c r="B52" s="2040"/>
      <c r="C52" s="1445" t="s">
        <v>415</v>
      </c>
      <c r="D52" s="1506" t="s">
        <v>91</v>
      </c>
      <c r="E52" s="1218" t="s">
        <v>232</v>
      </c>
      <c r="F52" s="1466" t="s">
        <v>416</v>
      </c>
      <c r="G52" s="875" t="s">
        <v>232</v>
      </c>
      <c r="H52" s="1466" t="s">
        <v>416</v>
      </c>
      <c r="I52" s="875" t="s">
        <v>232</v>
      </c>
      <c r="J52" s="1466" t="s">
        <v>416</v>
      </c>
      <c r="K52" s="875" t="s">
        <v>232</v>
      </c>
      <c r="L52" s="1507" t="s">
        <v>91</v>
      </c>
      <c r="M52" s="1215" t="s">
        <v>232</v>
      </c>
      <c r="N52" s="1507" t="s">
        <v>91</v>
      </c>
      <c r="O52" s="1215" t="s">
        <v>232</v>
      </c>
      <c r="P52" s="1507" t="s">
        <v>91</v>
      </c>
      <c r="Q52" s="1215" t="s">
        <v>232</v>
      </c>
      <c r="R52" s="1507" t="s">
        <v>91</v>
      </c>
      <c r="S52" s="1215" t="s">
        <v>232</v>
      </c>
      <c r="T52" s="1507" t="s">
        <v>91</v>
      </c>
      <c r="U52" s="106" t="s">
        <v>232</v>
      </c>
      <c r="V52" s="1354" t="s">
        <v>91</v>
      </c>
      <c r="W52" s="1374" t="s">
        <v>232</v>
      </c>
      <c r="X52" s="1354" t="s">
        <v>91</v>
      </c>
      <c r="Y52" s="1374" t="s">
        <v>232</v>
      </c>
      <c r="Z52" s="1354" t="s">
        <v>91</v>
      </c>
      <c r="AA52" s="1374" t="s">
        <v>232</v>
      </c>
    </row>
    <row r="53" spans="1:98" ht="15" customHeight="1" x14ac:dyDescent="0.25">
      <c r="A53" s="1658" t="s">
        <v>613</v>
      </c>
      <c r="B53" s="744" t="s">
        <v>131</v>
      </c>
      <c r="C53" s="1511">
        <f>SUM(D53:E53)</f>
        <v>43</v>
      </c>
      <c r="D53" s="1512">
        <f>+F53+H53+J53+L53+N53+P53+R53+T53</f>
        <v>25</v>
      </c>
      <c r="E53" s="1513">
        <f>+G53+I53+K53+M53+O53+Q53+S53+U53</f>
        <v>18</v>
      </c>
      <c r="F53" s="506">
        <v>15</v>
      </c>
      <c r="G53" s="507">
        <v>7</v>
      </c>
      <c r="H53" s="506">
        <v>7</v>
      </c>
      <c r="I53" s="507">
        <v>6</v>
      </c>
      <c r="J53" s="506">
        <v>3</v>
      </c>
      <c r="K53" s="507">
        <v>2</v>
      </c>
      <c r="L53" s="506">
        <v>0</v>
      </c>
      <c r="M53" s="507">
        <v>3</v>
      </c>
      <c r="N53" s="506">
        <v>0</v>
      </c>
      <c r="O53" s="507">
        <v>0</v>
      </c>
      <c r="P53" s="506">
        <v>0</v>
      </c>
      <c r="Q53" s="507">
        <v>0</v>
      </c>
      <c r="R53" s="506">
        <v>0</v>
      </c>
      <c r="S53" s="507">
        <v>0</v>
      </c>
      <c r="T53" s="506">
        <v>0</v>
      </c>
      <c r="U53" s="510">
        <v>0</v>
      </c>
      <c r="V53" s="518">
        <v>0</v>
      </c>
      <c r="W53" s="507">
        <v>0</v>
      </c>
      <c r="X53" s="506">
        <v>0</v>
      </c>
      <c r="Y53" s="507">
        <v>0</v>
      </c>
      <c r="Z53" s="506">
        <v>0</v>
      </c>
      <c r="AA53" s="507">
        <v>0</v>
      </c>
      <c r="AB53" s="107" t="str">
        <f>CA53&amp;CB53&amp;CC53&amp;CD53&amp;CE53&amp;CF53&amp;CG53</f>
        <v/>
      </c>
      <c r="BC53" s="607"/>
      <c r="BD53" s="607"/>
      <c r="BE53" s="607"/>
      <c r="BF53" s="607"/>
      <c r="BG53" s="607"/>
      <c r="BH53" s="607"/>
      <c r="BI53" s="607"/>
      <c r="BJ53" s="607"/>
      <c r="BK53" s="607"/>
      <c r="BL53" s="607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48">
        <f t="shared" ref="CN53:CN57" si="35">IF($C$48&lt;=$C$15,0,1)</f>
        <v>0</v>
      </c>
      <c r="CO53" s="1048">
        <f t="shared" ref="CO53:CO57" si="36">IF(AND(D53&gt;0,OR(V53="")),1,IF(V53&gt;D53,1,0))</f>
        <v>0</v>
      </c>
      <c r="CP53" s="1048">
        <f t="shared" ref="CP53:CP57" si="37">IF(AND(E53&gt;0,OR(W53="")),1,IF(W53&gt;E53,1,0))</f>
        <v>0</v>
      </c>
      <c r="CQ53" s="1048">
        <f t="shared" ref="CQ53:CQ57" si="38">IF(AND($D53&gt;0,OR(X53="")),1,IF(X53&gt;$D53,1,0))</f>
        <v>0</v>
      </c>
      <c r="CR53" s="1048">
        <f>IF(AND($E53&gt;0,OR(Y53="")),1,IF(Y53&gt;$E53,1,0))</f>
        <v>0</v>
      </c>
      <c r="CS53" s="1048">
        <f t="shared" ref="CS53:CS57" si="39">IF(AND($D53&gt;0,OR(Z53="")),1,IF(Z53&gt;$D53,1,0))</f>
        <v>0</v>
      </c>
      <c r="CT53" s="1048">
        <f t="shared" ref="CT53:CT57" si="40">IF(AND($E53&gt;0,OR(AA53="")),1,IF(AA53&gt;$E53,1,0))</f>
        <v>0</v>
      </c>
    </row>
    <row r="54" spans="1:98" ht="15" customHeight="1" x14ac:dyDescent="0.25">
      <c r="A54" s="1935"/>
      <c r="B54" s="745" t="s">
        <v>287</v>
      </c>
      <c r="C54" s="1156">
        <f>SUM(D54:E54)</f>
        <v>13</v>
      </c>
      <c r="D54" s="521">
        <f>+F54+H54+J54+L54+N54+P54+R54+T54</f>
        <v>7</v>
      </c>
      <c r="E54" s="522">
        <f t="shared" ref="E54:E57" si="41">+G54+I54+K54+M54+O54+Q54+S54+U54</f>
        <v>6</v>
      </c>
      <c r="F54" s="512">
        <v>0</v>
      </c>
      <c r="G54" s="513">
        <v>0</v>
      </c>
      <c r="H54" s="512">
        <v>0</v>
      </c>
      <c r="I54" s="513">
        <v>0</v>
      </c>
      <c r="J54" s="512">
        <v>1</v>
      </c>
      <c r="K54" s="513">
        <v>2</v>
      </c>
      <c r="L54" s="512">
        <v>2</v>
      </c>
      <c r="M54" s="513">
        <v>2</v>
      </c>
      <c r="N54" s="512">
        <v>4</v>
      </c>
      <c r="O54" s="513">
        <v>2</v>
      </c>
      <c r="P54" s="512">
        <v>0</v>
      </c>
      <c r="Q54" s="513">
        <v>0</v>
      </c>
      <c r="R54" s="512">
        <v>0</v>
      </c>
      <c r="S54" s="513">
        <v>0</v>
      </c>
      <c r="T54" s="512">
        <v>0</v>
      </c>
      <c r="U54" s="516">
        <v>0</v>
      </c>
      <c r="V54" s="519">
        <v>0</v>
      </c>
      <c r="W54" s="513">
        <v>0</v>
      </c>
      <c r="X54" s="512">
        <v>0</v>
      </c>
      <c r="Y54" s="513">
        <v>0</v>
      </c>
      <c r="Z54" s="512">
        <v>0</v>
      </c>
      <c r="AA54" s="513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48">
        <f t="shared" si="35"/>
        <v>0</v>
      </c>
      <c r="CO54" s="1048">
        <f t="shared" si="36"/>
        <v>0</v>
      </c>
      <c r="CP54" s="1048">
        <f t="shared" si="37"/>
        <v>0</v>
      </c>
      <c r="CQ54" s="1048">
        <f t="shared" si="38"/>
        <v>0</v>
      </c>
      <c r="CR54" s="1048">
        <f t="shared" ref="CR54:CR57" si="49">IF(AND($E54&gt;0,OR(Y54="")),1,IF(Y54&gt;$E54,1,0))</f>
        <v>0</v>
      </c>
      <c r="CS54" s="1048">
        <f t="shared" si="39"/>
        <v>0</v>
      </c>
      <c r="CT54" s="1048">
        <f t="shared" si="40"/>
        <v>0</v>
      </c>
    </row>
    <row r="55" spans="1:98" ht="15" customHeight="1" x14ac:dyDescent="0.25">
      <c r="A55" s="1659"/>
      <c r="B55" s="743" t="s">
        <v>614</v>
      </c>
      <c r="C55" s="1162">
        <f>SUM(D55:E55)</f>
        <v>12</v>
      </c>
      <c r="D55" s="523">
        <f>+F55+H55+J55+L55+N55+P55+R55+T55</f>
        <v>5</v>
      </c>
      <c r="E55" s="524">
        <f t="shared" si="41"/>
        <v>7</v>
      </c>
      <c r="F55" s="495">
        <v>1</v>
      </c>
      <c r="G55" s="496">
        <v>0</v>
      </c>
      <c r="H55" s="495">
        <v>1</v>
      </c>
      <c r="I55" s="496">
        <v>0</v>
      </c>
      <c r="J55" s="495">
        <v>0</v>
      </c>
      <c r="K55" s="496">
        <v>0</v>
      </c>
      <c r="L55" s="495">
        <v>2</v>
      </c>
      <c r="M55" s="496">
        <v>0</v>
      </c>
      <c r="N55" s="495">
        <v>0</v>
      </c>
      <c r="O55" s="496">
        <v>7</v>
      </c>
      <c r="P55" s="495">
        <v>0</v>
      </c>
      <c r="Q55" s="496">
        <v>0</v>
      </c>
      <c r="R55" s="495">
        <v>1</v>
      </c>
      <c r="S55" s="496">
        <v>0</v>
      </c>
      <c r="T55" s="495">
        <v>0</v>
      </c>
      <c r="U55" s="499">
        <v>0</v>
      </c>
      <c r="V55" s="500">
        <v>0</v>
      </c>
      <c r="W55" s="496">
        <v>0</v>
      </c>
      <c r="X55" s="495">
        <v>0</v>
      </c>
      <c r="Y55" s="496">
        <v>0</v>
      </c>
      <c r="Z55" s="495">
        <v>0</v>
      </c>
      <c r="AA55" s="496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48">
        <f>IF(SUM($C53:$C55)&gt;$C15,1,0)</f>
        <v>0</v>
      </c>
      <c r="CN55" s="1048">
        <f t="shared" si="35"/>
        <v>0</v>
      </c>
      <c r="CO55" s="1048">
        <f t="shared" si="36"/>
        <v>0</v>
      </c>
      <c r="CP55" s="1048">
        <f t="shared" si="37"/>
        <v>0</v>
      </c>
      <c r="CQ55" s="1048">
        <f t="shared" si="38"/>
        <v>0</v>
      </c>
      <c r="CR55" s="1048">
        <f t="shared" si="49"/>
        <v>0</v>
      </c>
      <c r="CS55" s="1048">
        <f t="shared" si="39"/>
        <v>0</v>
      </c>
      <c r="CT55" s="1048">
        <f t="shared" si="40"/>
        <v>0</v>
      </c>
    </row>
    <row r="56" spans="1:98" ht="15" customHeight="1" x14ac:dyDescent="0.25">
      <c r="A56" s="1658" t="s">
        <v>615</v>
      </c>
      <c r="B56" s="744" t="s">
        <v>616</v>
      </c>
      <c r="C56" s="1166">
        <f>SUM(D56:E56)</f>
        <v>37</v>
      </c>
      <c r="D56" s="1164">
        <f>+F56+H56+J56+L56+N56+P56+R56+T56</f>
        <v>22</v>
      </c>
      <c r="E56" s="525">
        <f t="shared" si="41"/>
        <v>15</v>
      </c>
      <c r="F56" s="526">
        <v>13</v>
      </c>
      <c r="G56" s="527">
        <v>7</v>
      </c>
      <c r="H56" s="526">
        <v>6</v>
      </c>
      <c r="I56" s="527">
        <v>3</v>
      </c>
      <c r="J56" s="526">
        <v>3</v>
      </c>
      <c r="K56" s="527">
        <v>3</v>
      </c>
      <c r="L56" s="526">
        <v>0</v>
      </c>
      <c r="M56" s="527">
        <v>2</v>
      </c>
      <c r="N56" s="526">
        <v>0</v>
      </c>
      <c r="O56" s="527">
        <v>0</v>
      </c>
      <c r="P56" s="526">
        <v>0</v>
      </c>
      <c r="Q56" s="527">
        <v>0</v>
      </c>
      <c r="R56" s="526">
        <v>0</v>
      </c>
      <c r="S56" s="527">
        <v>0</v>
      </c>
      <c r="T56" s="526">
        <v>0</v>
      </c>
      <c r="U56" s="741">
        <v>0</v>
      </c>
      <c r="V56" s="740">
        <v>0</v>
      </c>
      <c r="W56" s="527">
        <v>0</v>
      </c>
      <c r="X56" s="526">
        <v>0</v>
      </c>
      <c r="Y56" s="527">
        <v>0</v>
      </c>
      <c r="Z56" s="526">
        <v>0</v>
      </c>
      <c r="AA56" s="527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48">
        <f t="shared" si="35"/>
        <v>0</v>
      </c>
      <c r="CO56" s="1048">
        <f t="shared" si="36"/>
        <v>0</v>
      </c>
      <c r="CP56" s="1048">
        <f t="shared" si="37"/>
        <v>0</v>
      </c>
      <c r="CQ56" s="1048">
        <f t="shared" si="38"/>
        <v>0</v>
      </c>
      <c r="CR56" s="1048">
        <f t="shared" si="49"/>
        <v>0</v>
      </c>
      <c r="CS56" s="1048">
        <f t="shared" si="39"/>
        <v>0</v>
      </c>
      <c r="CT56" s="1048">
        <f t="shared" si="40"/>
        <v>0</v>
      </c>
    </row>
    <row r="57" spans="1:98" ht="15" customHeight="1" x14ac:dyDescent="0.25">
      <c r="A57" s="1659"/>
      <c r="B57" s="743" t="s">
        <v>617</v>
      </c>
      <c r="C57" s="1167">
        <f>SUM(D57:E57)</f>
        <v>31</v>
      </c>
      <c r="D57" s="1165">
        <f>+F57+H57+J57+L57+N57+P57+R57+T57</f>
        <v>15</v>
      </c>
      <c r="E57" s="528">
        <f t="shared" si="41"/>
        <v>16</v>
      </c>
      <c r="F57" s="495">
        <v>3</v>
      </c>
      <c r="G57" s="496">
        <v>0</v>
      </c>
      <c r="H57" s="495">
        <v>2</v>
      </c>
      <c r="I57" s="496">
        <v>3</v>
      </c>
      <c r="J57" s="495">
        <v>1</v>
      </c>
      <c r="K57" s="496">
        <v>1</v>
      </c>
      <c r="L57" s="495">
        <v>4</v>
      </c>
      <c r="M57" s="496">
        <v>3</v>
      </c>
      <c r="N57" s="495">
        <v>4</v>
      </c>
      <c r="O57" s="496">
        <v>9</v>
      </c>
      <c r="P57" s="495">
        <v>0</v>
      </c>
      <c r="Q57" s="496">
        <v>0</v>
      </c>
      <c r="R57" s="495">
        <v>1</v>
      </c>
      <c r="S57" s="496">
        <v>0</v>
      </c>
      <c r="T57" s="495">
        <v>0</v>
      </c>
      <c r="U57" s="499">
        <v>0</v>
      </c>
      <c r="V57" s="500">
        <v>0</v>
      </c>
      <c r="W57" s="496">
        <v>0</v>
      </c>
      <c r="X57" s="495">
        <v>0</v>
      </c>
      <c r="Y57" s="496">
        <v>0</v>
      </c>
      <c r="Z57" s="495">
        <v>0</v>
      </c>
      <c r="AA57" s="496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48">
        <f t="shared" si="35"/>
        <v>0</v>
      </c>
      <c r="CO57" s="1048">
        <f t="shared" si="36"/>
        <v>0</v>
      </c>
      <c r="CP57" s="1048">
        <f t="shared" si="37"/>
        <v>0</v>
      </c>
      <c r="CQ57" s="1048">
        <f t="shared" si="38"/>
        <v>0</v>
      </c>
      <c r="CR57" s="1048">
        <f t="shared" si="49"/>
        <v>0</v>
      </c>
      <c r="CS57" s="1048">
        <f t="shared" si="39"/>
        <v>0</v>
      </c>
      <c r="CT57" s="1048">
        <f t="shared" si="40"/>
        <v>0</v>
      </c>
    </row>
    <row r="59" spans="1:98" ht="12.75" customHeight="1" x14ac:dyDescent="0.25"/>
    <row r="81" spans="1:51" ht="14.45" hidden="1" customHeight="1" x14ac:dyDescent="0.15">
      <c r="A81" s="1479">
        <f>SUM(C12:C14,C16:C19, C26:C28,C34:C37,C43:C43,C48:C48,C53:C57)</f>
        <v>280</v>
      </c>
      <c r="B81" s="189" t="s">
        <v>211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79">
        <f>SUM(CM12:CT57)</f>
        <v>0</v>
      </c>
      <c r="B82" s="189" t="s">
        <v>212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tJ9OW3OPkH1m4vTwLLZoNkJDV9LT7HRer1MP/nK+9UejTjxhoegH6lWI0j19ZcXMZfh3KtL3RVLkuyLAx0irNA==" saltValue="OQ0DCaWTQT8STQEE8x3HAg==" spinCount="100000" sheet="1" objects="1" scenarios="1"/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6" zoomScaleNormal="100" workbookViewId="0">
      <selection activeCell="H24" sqref="H24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7"/>
    <col min="78" max="78" width="0" style="607" hidden="1" customWidth="1"/>
    <col min="79" max="79" width="11.42578125" style="607" hidden="1" customWidth="1"/>
    <col min="80" max="97" width="11" style="107" hidden="1" customWidth="1"/>
    <col min="98" max="100" width="11" style="607" hidden="1" customWidth="1"/>
    <col min="101" max="103" width="11" style="107" hidden="1" customWidth="1"/>
    <col min="104" max="116" width="11" style="107" customWidth="1"/>
    <col min="117" max="119" width="11" style="607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JUNIO   ( 06 )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122" t="s">
        <v>618</v>
      </c>
      <c r="B7" s="2122"/>
      <c r="C7" s="2122"/>
      <c r="D7" s="2122"/>
      <c r="E7" s="2122"/>
      <c r="F7" s="2122"/>
      <c r="G7" s="2122"/>
      <c r="H7" s="2122"/>
      <c r="I7" s="2122"/>
      <c r="J7" s="2122"/>
      <c r="K7" s="2122"/>
      <c r="L7" s="2122"/>
      <c r="M7" s="2122"/>
      <c r="N7" s="2122"/>
      <c r="O7" s="2122"/>
      <c r="P7" s="2122"/>
      <c r="Q7" s="2122"/>
      <c r="R7" s="2122"/>
      <c r="S7" s="2122"/>
      <c r="T7" s="2122"/>
      <c r="U7" s="2122"/>
    </row>
    <row r="8" spans="1:126" ht="17.100000000000001" customHeight="1" x14ac:dyDescent="0.25">
      <c r="A8" s="1073" t="s">
        <v>619</v>
      </c>
      <c r="B8" s="1074"/>
      <c r="C8" s="1074"/>
      <c r="D8" s="1074"/>
      <c r="E8" s="1074"/>
      <c r="F8" s="1074"/>
      <c r="G8" s="1074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92" t="s">
        <v>620</v>
      </c>
      <c r="B9" s="1992"/>
      <c r="C9" s="1992"/>
      <c r="D9" s="1992"/>
      <c r="E9" s="1992"/>
      <c r="F9" s="1992"/>
      <c r="G9" s="1992"/>
      <c r="H9" s="2123"/>
      <c r="I9" s="2123"/>
      <c r="J9" s="2123"/>
      <c r="K9" s="2123"/>
      <c r="L9" s="2123"/>
      <c r="M9" s="2123"/>
      <c r="N9" s="2123"/>
      <c r="O9" s="2123"/>
      <c r="P9" s="1704"/>
      <c r="Q9" s="1704"/>
      <c r="R9" s="1704"/>
      <c r="S9" s="1704"/>
      <c r="T9" s="1704"/>
      <c r="U9" s="1704"/>
      <c r="V9" s="1704"/>
      <c r="W9" s="1704"/>
      <c r="X9" s="1704"/>
      <c r="Y9" s="1704"/>
      <c r="Z9" s="1704"/>
      <c r="AA9" s="1704"/>
      <c r="AB9" s="1704"/>
      <c r="AC9" s="1704"/>
      <c r="AD9" s="1704"/>
      <c r="AE9" s="1704"/>
      <c r="AF9" s="1704"/>
      <c r="AG9" s="1704"/>
      <c r="AH9" s="1704"/>
      <c r="AI9" s="1704"/>
      <c r="AJ9" s="1704"/>
      <c r="AK9" s="1704"/>
      <c r="AL9" s="1704"/>
      <c r="AM9" s="1704"/>
    </row>
    <row r="10" spans="1:126" ht="15" customHeight="1" x14ac:dyDescent="0.25">
      <c r="A10" s="1930" t="s">
        <v>451</v>
      </c>
      <c r="B10" s="1934"/>
      <c r="C10" s="1942" t="s">
        <v>621</v>
      </c>
      <c r="D10" s="1942"/>
      <c r="E10" s="1942"/>
      <c r="F10" s="2128" t="s">
        <v>382</v>
      </c>
      <c r="G10" s="1942"/>
      <c r="H10" s="1942"/>
      <c r="I10" s="1942"/>
      <c r="J10" s="1942"/>
      <c r="K10" s="1942"/>
      <c r="L10" s="1942"/>
      <c r="M10" s="1942"/>
      <c r="N10" s="1942"/>
      <c r="O10" s="1942"/>
      <c r="P10" s="1942"/>
      <c r="Q10" s="1942"/>
      <c r="R10" s="1942"/>
      <c r="S10" s="1942"/>
      <c r="T10" s="1942"/>
      <c r="U10" s="1942"/>
      <c r="V10" s="1942"/>
      <c r="W10" s="1942"/>
      <c r="X10" s="1942"/>
      <c r="Y10" s="1942"/>
      <c r="Z10" s="1942"/>
      <c r="AA10" s="1942"/>
      <c r="AB10" s="1942"/>
      <c r="AC10" s="1942"/>
      <c r="AD10" s="1942"/>
      <c r="AE10" s="1942"/>
      <c r="AF10" s="1942"/>
      <c r="AG10" s="1942"/>
      <c r="AH10" s="1942"/>
      <c r="AI10" s="1942"/>
      <c r="AJ10" s="1942"/>
      <c r="AK10" s="1942"/>
      <c r="AL10" s="1942"/>
      <c r="AM10" s="1877"/>
      <c r="AN10" s="2132" t="s">
        <v>622</v>
      </c>
      <c r="AO10" s="2138" t="s">
        <v>623</v>
      </c>
      <c r="AP10" s="1703" t="s">
        <v>56</v>
      </c>
      <c r="AQ10" s="1656"/>
      <c r="AR10" s="1703" t="s">
        <v>57</v>
      </c>
      <c r="AS10" s="1656"/>
      <c r="AT10" s="2138" t="s">
        <v>624</v>
      </c>
      <c r="AU10" s="2138" t="s">
        <v>384</v>
      </c>
      <c r="AV10" s="2133" t="s">
        <v>625</v>
      </c>
      <c r="AW10" s="2136" t="s">
        <v>626</v>
      </c>
      <c r="AX10" s="2133"/>
      <c r="DM10" s="107"/>
      <c r="DP10" s="607"/>
      <c r="DQ10" s="607"/>
    </row>
    <row r="11" spans="1:126" s="35" customFormat="1" ht="15" customHeight="1" x14ac:dyDescent="0.25">
      <c r="A11" s="2124"/>
      <c r="B11" s="2125"/>
      <c r="C11" s="1942"/>
      <c r="D11" s="1942"/>
      <c r="E11" s="1942"/>
      <c r="F11" s="1878" t="s">
        <v>410</v>
      </c>
      <c r="G11" s="1877"/>
      <c r="H11" s="1942" t="s">
        <v>411</v>
      </c>
      <c r="I11" s="1877"/>
      <c r="J11" s="1885" t="s">
        <v>322</v>
      </c>
      <c r="K11" s="1803"/>
      <c r="L11" s="1885" t="s">
        <v>62</v>
      </c>
      <c r="M11" s="1803"/>
      <c r="N11" s="1885" t="s">
        <v>63</v>
      </c>
      <c r="O11" s="1803"/>
      <c r="P11" s="1885" t="s">
        <v>64</v>
      </c>
      <c r="Q11" s="1803"/>
      <c r="R11" s="1885" t="s">
        <v>65</v>
      </c>
      <c r="S11" s="1803"/>
      <c r="T11" s="1885" t="s">
        <v>66</v>
      </c>
      <c r="U11" s="1803"/>
      <c r="V11" s="1885" t="s">
        <v>67</v>
      </c>
      <c r="W11" s="1803"/>
      <c r="X11" s="1885" t="s">
        <v>68</v>
      </c>
      <c r="Y11" s="1803"/>
      <c r="Z11" s="1885" t="s">
        <v>69</v>
      </c>
      <c r="AA11" s="1803"/>
      <c r="AB11" s="1885" t="s">
        <v>70</v>
      </c>
      <c r="AC11" s="1803"/>
      <c r="AD11" s="1885" t="s">
        <v>71</v>
      </c>
      <c r="AE11" s="1803"/>
      <c r="AF11" s="1880" t="s">
        <v>72</v>
      </c>
      <c r="AG11" s="1881"/>
      <c r="AH11" s="1880" t="s">
        <v>412</v>
      </c>
      <c r="AI11" s="1881"/>
      <c r="AJ11" s="1880" t="s">
        <v>413</v>
      </c>
      <c r="AK11" s="1881"/>
      <c r="AL11" s="2129" t="s">
        <v>414</v>
      </c>
      <c r="AM11" s="2130"/>
      <c r="AN11" s="2141"/>
      <c r="AO11" s="2139"/>
      <c r="AP11" s="1704"/>
      <c r="AQ11" s="1657"/>
      <c r="AR11" s="1704"/>
      <c r="AS11" s="1657"/>
      <c r="AT11" s="2139"/>
      <c r="AU11" s="2139"/>
      <c r="AV11" s="2142"/>
      <c r="AW11" s="2137"/>
      <c r="AX11" s="2135"/>
      <c r="AY11" s="107"/>
      <c r="AZ11" s="107"/>
      <c r="BA11" s="107"/>
      <c r="BB11" s="107"/>
      <c r="CA11" s="1658" t="s">
        <v>622</v>
      </c>
      <c r="CB11" s="1658" t="s">
        <v>627</v>
      </c>
      <c r="CC11" s="1885" t="s">
        <v>628</v>
      </c>
      <c r="CD11" s="1803"/>
      <c r="CE11" s="1885" t="s">
        <v>629</v>
      </c>
      <c r="CF11" s="1803"/>
      <c r="CG11" s="1658" t="s">
        <v>630</v>
      </c>
      <c r="CH11" s="1658" t="s">
        <v>631</v>
      </c>
      <c r="CI11" s="1947" t="s">
        <v>625</v>
      </c>
      <c r="CJ11" s="1885" t="s">
        <v>632</v>
      </c>
      <c r="CK11" s="1803"/>
      <c r="CL11" s="107"/>
      <c r="CM11" s="184"/>
      <c r="CN11" s="1658" t="s">
        <v>622</v>
      </c>
      <c r="CO11" s="1658" t="s">
        <v>627</v>
      </c>
      <c r="CP11" s="1885" t="s">
        <v>628</v>
      </c>
      <c r="CQ11" s="1803"/>
      <c r="CR11" s="1885" t="s">
        <v>629</v>
      </c>
      <c r="CS11" s="1803"/>
      <c r="CT11" s="1658" t="s">
        <v>630</v>
      </c>
      <c r="CU11" s="1658" t="s">
        <v>631</v>
      </c>
      <c r="CV11" s="1658" t="s">
        <v>625</v>
      </c>
      <c r="CW11" s="1885" t="s">
        <v>633</v>
      </c>
      <c r="CX11" s="1803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97"/>
      <c r="DV11" s="607"/>
    </row>
    <row r="12" spans="1:126" s="35" customFormat="1" ht="25.5" customHeight="1" x14ac:dyDescent="0.25">
      <c r="A12" s="2126"/>
      <c r="B12" s="2127"/>
      <c r="C12" s="1492" t="s">
        <v>231</v>
      </c>
      <c r="D12" s="1354" t="s">
        <v>91</v>
      </c>
      <c r="E12" s="994" t="s">
        <v>232</v>
      </c>
      <c r="F12" s="1465" t="s">
        <v>91</v>
      </c>
      <c r="G12" s="994" t="s">
        <v>232</v>
      </c>
      <c r="H12" s="1465" t="s">
        <v>91</v>
      </c>
      <c r="I12" s="994" t="s">
        <v>232</v>
      </c>
      <c r="J12" s="1465" t="s">
        <v>91</v>
      </c>
      <c r="K12" s="994" t="s">
        <v>232</v>
      </c>
      <c r="L12" s="1465" t="s">
        <v>91</v>
      </c>
      <c r="M12" s="994" t="s">
        <v>232</v>
      </c>
      <c r="N12" s="1465" t="s">
        <v>91</v>
      </c>
      <c r="O12" s="994" t="s">
        <v>232</v>
      </c>
      <c r="P12" s="1465" t="s">
        <v>91</v>
      </c>
      <c r="Q12" s="994" t="s">
        <v>232</v>
      </c>
      <c r="R12" s="1465" t="s">
        <v>91</v>
      </c>
      <c r="S12" s="994" t="s">
        <v>232</v>
      </c>
      <c r="T12" s="1465" t="s">
        <v>91</v>
      </c>
      <c r="U12" s="994" t="s">
        <v>232</v>
      </c>
      <c r="V12" s="1465" t="s">
        <v>91</v>
      </c>
      <c r="W12" s="994" t="s">
        <v>232</v>
      </c>
      <c r="X12" s="1465" t="s">
        <v>91</v>
      </c>
      <c r="Y12" s="994" t="s">
        <v>232</v>
      </c>
      <c r="Z12" s="1465" t="s">
        <v>91</v>
      </c>
      <c r="AA12" s="994" t="s">
        <v>232</v>
      </c>
      <c r="AB12" s="1465" t="s">
        <v>91</v>
      </c>
      <c r="AC12" s="994" t="s">
        <v>232</v>
      </c>
      <c r="AD12" s="1465" t="s">
        <v>91</v>
      </c>
      <c r="AE12" s="994" t="s">
        <v>232</v>
      </c>
      <c r="AF12" s="1466" t="s">
        <v>416</v>
      </c>
      <c r="AG12" s="875" t="s">
        <v>232</v>
      </c>
      <c r="AH12" s="1466" t="s">
        <v>416</v>
      </c>
      <c r="AI12" s="875" t="s">
        <v>232</v>
      </c>
      <c r="AJ12" s="1466" t="s">
        <v>416</v>
      </c>
      <c r="AK12" s="875" t="s">
        <v>232</v>
      </c>
      <c r="AL12" s="1507" t="s">
        <v>91</v>
      </c>
      <c r="AM12" s="108" t="s">
        <v>232</v>
      </c>
      <c r="AN12" s="2134"/>
      <c r="AO12" s="2140"/>
      <c r="AP12" s="1354" t="s">
        <v>91</v>
      </c>
      <c r="AQ12" s="1374" t="s">
        <v>232</v>
      </c>
      <c r="AR12" s="1354" t="s">
        <v>91</v>
      </c>
      <c r="AS12" s="1374" t="s">
        <v>232</v>
      </c>
      <c r="AT12" s="2140"/>
      <c r="AU12" s="2140"/>
      <c r="AV12" s="2135"/>
      <c r="AW12" s="769" t="s">
        <v>634</v>
      </c>
      <c r="AX12" s="769" t="s">
        <v>635</v>
      </c>
      <c r="AY12" s="107"/>
      <c r="AZ12" s="107"/>
      <c r="BA12" s="107"/>
      <c r="BB12" s="107"/>
      <c r="CA12" s="1659"/>
      <c r="CB12" s="1659"/>
      <c r="CC12" s="1475" t="s">
        <v>91</v>
      </c>
      <c r="CD12" s="1475" t="s">
        <v>232</v>
      </c>
      <c r="CE12" s="1475" t="s">
        <v>91</v>
      </c>
      <c r="CF12" s="1475" t="s">
        <v>232</v>
      </c>
      <c r="CG12" s="1659"/>
      <c r="CH12" s="1659"/>
      <c r="CI12" s="1949"/>
      <c r="CJ12" s="1475" t="s">
        <v>634</v>
      </c>
      <c r="CK12" s="1475" t="s">
        <v>636</v>
      </c>
      <c r="CL12" s="107"/>
      <c r="CM12" s="37"/>
      <c r="CN12" s="1659"/>
      <c r="CO12" s="1659"/>
      <c r="CP12" s="1475" t="s">
        <v>91</v>
      </c>
      <c r="CQ12" s="1475" t="s">
        <v>232</v>
      </c>
      <c r="CR12" s="1475" t="s">
        <v>91</v>
      </c>
      <c r="CS12" s="1475" t="s">
        <v>232</v>
      </c>
      <c r="CT12" s="1659"/>
      <c r="CU12" s="1659"/>
      <c r="CV12" s="1659"/>
      <c r="CW12" s="1475" t="s">
        <v>634</v>
      </c>
      <c r="CX12" s="1475" t="s">
        <v>636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97"/>
      <c r="DV12" s="607"/>
    </row>
    <row r="13" spans="1:126" s="35" customFormat="1" ht="15" customHeight="1" x14ac:dyDescent="0.25">
      <c r="A13" s="2071" t="s">
        <v>637</v>
      </c>
      <c r="B13" s="2081"/>
      <c r="C13" s="1482">
        <f>SUM(D13:E13)</f>
        <v>13</v>
      </c>
      <c r="D13" s="1483">
        <f>+F13+H13+J13+L13+N13+P13+R13+T13+V13+X13+Z13+AB13+AD13+AF13+AH13+AJ13+AL13</f>
        <v>6</v>
      </c>
      <c r="E13" s="460">
        <f>+G13+I13+K13+M13+O13+Q13+S13+U13+W13+Y13+AA13+AC13+AE13+AG13+AI13+AK13+AM13</f>
        <v>7</v>
      </c>
      <c r="F13" s="1514">
        <v>0</v>
      </c>
      <c r="G13" s="529">
        <v>0</v>
      </c>
      <c r="H13" s="1514">
        <v>1</v>
      </c>
      <c r="I13" s="1039">
        <v>0</v>
      </c>
      <c r="J13" s="1515">
        <v>0</v>
      </c>
      <c r="K13" s="529">
        <v>0</v>
      </c>
      <c r="L13" s="1514">
        <v>1</v>
      </c>
      <c r="M13" s="1039">
        <v>1</v>
      </c>
      <c r="N13" s="1514">
        <v>1</v>
      </c>
      <c r="O13" s="1039">
        <v>0</v>
      </c>
      <c r="P13" s="1514">
        <v>0</v>
      </c>
      <c r="Q13" s="1039">
        <v>1</v>
      </c>
      <c r="R13" s="1514">
        <v>0</v>
      </c>
      <c r="S13" s="1039">
        <v>1</v>
      </c>
      <c r="T13" s="1514">
        <v>0</v>
      </c>
      <c r="U13" s="1039">
        <v>1</v>
      </c>
      <c r="V13" s="1514">
        <v>1</v>
      </c>
      <c r="W13" s="1039">
        <v>0</v>
      </c>
      <c r="X13" s="1515">
        <v>0</v>
      </c>
      <c r="Y13" s="529">
        <v>2</v>
      </c>
      <c r="Z13" s="1514">
        <v>1</v>
      </c>
      <c r="AA13" s="1039">
        <v>0</v>
      </c>
      <c r="AB13" s="1514">
        <v>1</v>
      </c>
      <c r="AC13" s="1039">
        <v>0</v>
      </c>
      <c r="AD13" s="1514">
        <v>0</v>
      </c>
      <c r="AE13" s="1039"/>
      <c r="AF13" s="1514">
        <v>0</v>
      </c>
      <c r="AG13" s="1039">
        <v>1</v>
      </c>
      <c r="AH13" s="1514">
        <v>0</v>
      </c>
      <c r="AI13" s="1039">
        <v>0</v>
      </c>
      <c r="AJ13" s="1514">
        <v>0</v>
      </c>
      <c r="AK13" s="1039">
        <v>0</v>
      </c>
      <c r="AL13" s="1515">
        <v>0</v>
      </c>
      <c r="AM13" s="529">
        <v>0</v>
      </c>
      <c r="AN13" s="661">
        <v>0</v>
      </c>
      <c r="AO13" s="1516">
        <v>0</v>
      </c>
      <c r="AP13" s="1515">
        <v>0</v>
      </c>
      <c r="AQ13" s="1039">
        <v>1</v>
      </c>
      <c r="AR13" s="1515">
        <v>0</v>
      </c>
      <c r="AS13" s="1039">
        <v>0</v>
      </c>
      <c r="AT13" s="1517">
        <v>0</v>
      </c>
      <c r="AU13" s="1517">
        <v>0</v>
      </c>
      <c r="AV13" s="1517">
        <v>0</v>
      </c>
      <c r="AW13" s="1517">
        <v>0</v>
      </c>
      <c r="AX13" s="1517">
        <v>0</v>
      </c>
      <c r="AY13" s="1057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48">
        <f>IF(AND($E13&gt;0,OR(AN13="")),1,IF(AN13&gt;$E13,1,0))</f>
        <v>0</v>
      </c>
      <c r="CO13" s="1048">
        <f>IF(AND($E13&gt;0,OR(AO13="")),1,IF(AO13&gt;$E13,1,0))</f>
        <v>0</v>
      </c>
      <c r="CP13" s="1048">
        <f>IF(AND($D13&gt;0,OR(AP13="")),1,IF(AP13&gt;$D13,1,0))</f>
        <v>0</v>
      </c>
      <c r="CQ13" s="1048">
        <f>IF(AND($E13&gt;0,OR(AQ13="")),1,IF(AQ13&gt;$E13,1,0))</f>
        <v>0</v>
      </c>
      <c r="CR13" s="1048">
        <f>IF(AND($D13&gt;0,OR(AR13="")),1,IF(AR13&gt;$D13,1,0))</f>
        <v>0</v>
      </c>
      <c r="CS13" s="1048">
        <f>IF(AND($E13&gt;0,OR(AS13="")),1,IF(AS13&gt;$E13,1,0))</f>
        <v>0</v>
      </c>
      <c r="CT13" s="1048">
        <f>IF(AND($C13&gt;0,OR(AT13="")),1,IF(AT13&gt;$C13,1,0))</f>
        <v>0</v>
      </c>
      <c r="CU13" s="1048">
        <f>IF(AND($C13&gt;0,OR(AU13="")),1,IF(AU13&gt;$C13,1,0))</f>
        <v>0</v>
      </c>
      <c r="CV13" s="1048">
        <f>IF(AND($C13&gt;0,OR(AV13="")),1,IF(AV13&gt;$C13,1,0))</f>
        <v>0</v>
      </c>
      <c r="CW13" s="1048">
        <f>IF(AND(E13&gt;0,OR(AW13="")),1,IF(AW13&gt;$E13,1,0))</f>
        <v>0</v>
      </c>
      <c r="CX13" s="1048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7"/>
    </row>
    <row r="14" spans="1:126" s="94" customFormat="1" ht="15" customHeight="1" x14ac:dyDescent="0.25">
      <c r="A14" s="2082" t="s">
        <v>638</v>
      </c>
      <c r="B14" s="2083"/>
      <c r="C14" s="1518"/>
      <c r="D14" s="1519"/>
      <c r="E14" s="1519"/>
      <c r="F14" s="1519"/>
      <c r="G14" s="1519"/>
      <c r="H14" s="1519"/>
      <c r="I14" s="1519"/>
      <c r="J14" s="1519"/>
      <c r="K14" s="1519"/>
      <c r="L14" s="1519"/>
      <c r="M14" s="1519"/>
      <c r="N14" s="1519"/>
      <c r="O14" s="1519"/>
      <c r="P14" s="1519"/>
      <c r="Q14" s="1519"/>
      <c r="R14" s="1519"/>
      <c r="S14" s="1519"/>
      <c r="T14" s="1519"/>
      <c r="U14" s="1519"/>
      <c r="V14" s="1519"/>
      <c r="W14" s="1519"/>
      <c r="X14" s="1519"/>
      <c r="Y14" s="1519"/>
      <c r="Z14" s="1519"/>
      <c r="AA14" s="1519"/>
      <c r="AB14" s="1519"/>
      <c r="AC14" s="1519"/>
      <c r="AD14" s="1519"/>
      <c r="AE14" s="1519"/>
      <c r="AF14" s="1519"/>
      <c r="AG14" s="1519"/>
      <c r="AH14" s="1519"/>
      <c r="AI14" s="1519"/>
      <c r="AJ14" s="1519"/>
      <c r="AK14" s="1519"/>
      <c r="AL14" s="1519"/>
      <c r="AM14" s="1519"/>
      <c r="AN14" s="1519"/>
      <c r="AO14" s="1519"/>
      <c r="AP14" s="1519"/>
      <c r="AQ14" s="1519"/>
      <c r="AR14" s="1519"/>
      <c r="AS14" s="1519"/>
      <c r="AT14" s="1519"/>
      <c r="AU14" s="1519"/>
      <c r="AV14" s="1519"/>
      <c r="AW14" s="1519"/>
      <c r="AX14" s="1520"/>
      <c r="AY14" s="1057"/>
      <c r="AZ14" s="109"/>
      <c r="BA14" s="109"/>
      <c r="BB14" s="107"/>
      <c r="CA14" s="1087"/>
      <c r="CB14" s="1087"/>
      <c r="CC14" s="1087"/>
      <c r="CD14" s="1087"/>
      <c r="CE14" s="1087"/>
      <c r="CF14" s="1087"/>
      <c r="CG14" s="1087"/>
      <c r="CH14" s="1087"/>
      <c r="CI14" s="1088"/>
      <c r="CJ14" s="1087"/>
      <c r="CK14" s="1087"/>
      <c r="CL14" s="107"/>
      <c r="CM14" s="107"/>
      <c r="CN14" s="1087"/>
      <c r="CO14" s="1087"/>
      <c r="CP14" s="1087"/>
      <c r="CQ14" s="1087"/>
      <c r="CR14" s="1087"/>
      <c r="CS14" s="1087"/>
      <c r="CT14" s="1087"/>
      <c r="CU14" s="1087"/>
      <c r="CV14" s="1087"/>
      <c r="CW14" s="1087"/>
      <c r="CX14" s="1087"/>
      <c r="CY14" s="107"/>
      <c r="DK14" s="107"/>
      <c r="DL14" s="107"/>
      <c r="DM14" s="107"/>
      <c r="DN14" s="107"/>
      <c r="DO14" s="107"/>
      <c r="DP14" s="107"/>
      <c r="DQ14" s="107"/>
      <c r="DV14" s="607"/>
    </row>
    <row r="15" spans="1:126" s="94" customFormat="1" ht="15" customHeight="1" x14ac:dyDescent="0.25">
      <c r="A15" s="2064" t="s">
        <v>639</v>
      </c>
      <c r="B15" s="1262" t="s">
        <v>640</v>
      </c>
      <c r="C15" s="1143">
        <f t="shared" ref="C15:C18" si="0">SUM(D15:E15)</f>
        <v>0</v>
      </c>
      <c r="D15" s="387">
        <f t="shared" ref="D15:D18" si="1">+F15+H15+J15+L15+N15+P15+R15+T15+V15+X15+Z15+AB15+AD15+AF15+AH15+AJ15+AL15</f>
        <v>0</v>
      </c>
      <c r="E15" s="531">
        <f t="shared" ref="E15:E18" si="2">+G15+I15+K15+M15+O15+Q15+S15+U15+W15+Y15+AA15+AC15+AE15+AG15+AI15+AK15+AM15</f>
        <v>0</v>
      </c>
      <c r="F15" s="394">
        <v>0</v>
      </c>
      <c r="G15" s="395">
        <v>0</v>
      </c>
      <c r="H15" s="394">
        <v>0</v>
      </c>
      <c r="I15" s="395">
        <v>0</v>
      </c>
      <c r="J15" s="394">
        <v>0</v>
      </c>
      <c r="K15" s="395">
        <v>0</v>
      </c>
      <c r="L15" s="394">
        <v>0</v>
      </c>
      <c r="M15" s="395">
        <v>0</v>
      </c>
      <c r="N15" s="394">
        <v>0</v>
      </c>
      <c r="O15" s="395">
        <v>0</v>
      </c>
      <c r="P15" s="394">
        <v>0</v>
      </c>
      <c r="Q15" s="395">
        <v>0</v>
      </c>
      <c r="R15" s="394">
        <v>0</v>
      </c>
      <c r="S15" s="395">
        <v>0</v>
      </c>
      <c r="T15" s="394">
        <v>0</v>
      </c>
      <c r="U15" s="395">
        <v>0</v>
      </c>
      <c r="V15" s="394">
        <v>0</v>
      </c>
      <c r="W15" s="395">
        <v>0</v>
      </c>
      <c r="X15" s="394">
        <v>0</v>
      </c>
      <c r="Y15" s="395">
        <v>0</v>
      </c>
      <c r="Z15" s="394">
        <v>0</v>
      </c>
      <c r="AA15" s="395">
        <v>0</v>
      </c>
      <c r="AB15" s="394">
        <v>0</v>
      </c>
      <c r="AC15" s="395">
        <v>0</v>
      </c>
      <c r="AD15" s="394">
        <v>0</v>
      </c>
      <c r="AE15" s="395">
        <v>0</v>
      </c>
      <c r="AF15" s="394">
        <v>0</v>
      </c>
      <c r="AG15" s="395">
        <v>0</v>
      </c>
      <c r="AH15" s="394">
        <v>0</v>
      </c>
      <c r="AI15" s="395">
        <v>0</v>
      </c>
      <c r="AJ15" s="394">
        <v>0</v>
      </c>
      <c r="AK15" s="395">
        <v>0</v>
      </c>
      <c r="AL15" s="394">
        <v>0</v>
      </c>
      <c r="AM15" s="406">
        <v>0</v>
      </c>
      <c r="AN15" s="662">
        <v>0</v>
      </c>
      <c r="AO15" s="650">
        <v>0</v>
      </c>
      <c r="AP15" s="462">
        <v>0</v>
      </c>
      <c r="AQ15" s="395">
        <v>0</v>
      </c>
      <c r="AR15" s="462">
        <v>0</v>
      </c>
      <c r="AS15" s="395">
        <v>0</v>
      </c>
      <c r="AT15" s="461">
        <v>0</v>
      </c>
      <c r="AU15" s="461">
        <v>0</v>
      </c>
      <c r="AV15" s="461">
        <v>0</v>
      </c>
      <c r="AW15" s="461">
        <v>0</v>
      </c>
      <c r="AX15" s="461">
        <v>0</v>
      </c>
      <c r="AY15" s="1057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48">
        <f t="shared" ref="CN15:CN27" si="13">IF(AND($E15&gt;0,OR(AN15="")),1,IF(AN15&gt;$E15,1,0))</f>
        <v>0</v>
      </c>
      <c r="CO15" s="1048">
        <f t="shared" ref="CO15:CO34" si="14">IF(AND($E15&gt;0,OR(AO15="")),1,IF(AO15&gt;$E15,1,0))</f>
        <v>0</v>
      </c>
      <c r="CP15" s="1048">
        <f t="shared" ref="CP15:CP27" si="15">IF(AND($D15&gt;0,OR(AP15="")),1,IF(AP15&gt;$D15,1,0))</f>
        <v>0</v>
      </c>
      <c r="CQ15" s="1048">
        <f t="shared" ref="CQ15:CQ34" si="16">IF(AND($E15&gt;0,OR(AQ15="")),1,IF(AQ15&gt;$E15,1,0))</f>
        <v>0</v>
      </c>
      <c r="CR15" s="1048">
        <f t="shared" ref="CR15:CR27" si="17">IF(AND($D15&gt;0,OR(AR15="")),1,IF(AR15&gt;$D15,1,0))</f>
        <v>0</v>
      </c>
      <c r="CS15" s="1048">
        <f t="shared" ref="CS15:CS34" si="18">IF(AND($E15&gt;0,OR(AS15="")),1,IF(AS15&gt;$E15,1,0))</f>
        <v>0</v>
      </c>
      <c r="CT15" s="1048">
        <f t="shared" ref="CT15:CT34" si="19">IF(AND($C15&gt;0,OR(AT15="")),1,IF(AT15&gt;$C15,1,0))</f>
        <v>0</v>
      </c>
      <c r="CU15" s="1048">
        <f t="shared" ref="CU15:CU34" si="20">IF(AND($C15&gt;0,OR(AU15="")),1,IF(AU15&gt;$C15,1,0))</f>
        <v>0</v>
      </c>
      <c r="CV15" s="1048">
        <f t="shared" ref="CV15:CV34" si="21">IF(AND($C15&gt;0,OR(AV15="")),1,IF(AV15&gt;$C15,1,0))</f>
        <v>0</v>
      </c>
      <c r="CW15" s="1048">
        <f t="shared" ref="CW15:CW27" si="22">IF(AND(E15&gt;0,OR(AW15="")),1,IF(AW15&gt;$E15,1,0))</f>
        <v>0</v>
      </c>
      <c r="CX15" s="1048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7"/>
    </row>
    <row r="16" spans="1:126" s="94" customFormat="1" ht="15" customHeight="1" x14ac:dyDescent="0.25">
      <c r="A16" s="2065"/>
      <c r="B16" s="1263" t="s">
        <v>641</v>
      </c>
      <c r="C16" s="1144">
        <f t="shared" si="0"/>
        <v>0</v>
      </c>
      <c r="D16" s="391">
        <f t="shared" si="1"/>
        <v>0</v>
      </c>
      <c r="E16" s="386">
        <f t="shared" si="2"/>
        <v>0</v>
      </c>
      <c r="F16" s="417">
        <v>0</v>
      </c>
      <c r="G16" s="418">
        <v>0</v>
      </c>
      <c r="H16" s="417">
        <v>0</v>
      </c>
      <c r="I16" s="418">
        <v>0</v>
      </c>
      <c r="J16" s="417">
        <v>0</v>
      </c>
      <c r="K16" s="418">
        <v>0</v>
      </c>
      <c r="L16" s="417">
        <v>0</v>
      </c>
      <c r="M16" s="418">
        <v>0</v>
      </c>
      <c r="N16" s="417">
        <v>0</v>
      </c>
      <c r="O16" s="418">
        <v>0</v>
      </c>
      <c r="P16" s="417">
        <v>0</v>
      </c>
      <c r="Q16" s="418">
        <v>0</v>
      </c>
      <c r="R16" s="417">
        <v>0</v>
      </c>
      <c r="S16" s="418">
        <v>0</v>
      </c>
      <c r="T16" s="417">
        <v>0</v>
      </c>
      <c r="U16" s="418">
        <v>0</v>
      </c>
      <c r="V16" s="417">
        <v>0</v>
      </c>
      <c r="W16" s="418">
        <v>0</v>
      </c>
      <c r="X16" s="417">
        <v>0</v>
      </c>
      <c r="Y16" s="418">
        <v>0</v>
      </c>
      <c r="Z16" s="417">
        <v>0</v>
      </c>
      <c r="AA16" s="418">
        <v>0</v>
      </c>
      <c r="AB16" s="417">
        <v>0</v>
      </c>
      <c r="AC16" s="418">
        <v>0</v>
      </c>
      <c r="AD16" s="417">
        <v>0</v>
      </c>
      <c r="AE16" s="418">
        <v>0</v>
      </c>
      <c r="AF16" s="417">
        <v>0</v>
      </c>
      <c r="AG16" s="418">
        <v>0</v>
      </c>
      <c r="AH16" s="417">
        <v>0</v>
      </c>
      <c r="AI16" s="418">
        <v>0</v>
      </c>
      <c r="AJ16" s="417">
        <v>0</v>
      </c>
      <c r="AK16" s="418">
        <v>0</v>
      </c>
      <c r="AL16" s="417">
        <v>0</v>
      </c>
      <c r="AM16" s="419">
        <v>0</v>
      </c>
      <c r="AN16" s="548">
        <v>0</v>
      </c>
      <c r="AO16" s="656">
        <v>0</v>
      </c>
      <c r="AP16" s="468">
        <v>0</v>
      </c>
      <c r="AQ16" s="418">
        <v>0</v>
      </c>
      <c r="AR16" s="468">
        <v>0</v>
      </c>
      <c r="AS16" s="418">
        <v>0</v>
      </c>
      <c r="AT16" s="432">
        <v>0</v>
      </c>
      <c r="AU16" s="432">
        <v>0</v>
      </c>
      <c r="AV16" s="432">
        <v>0</v>
      </c>
      <c r="AW16" s="432">
        <v>0</v>
      </c>
      <c r="AX16" s="432">
        <v>0</v>
      </c>
      <c r="AY16" s="1057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48">
        <f t="shared" si="13"/>
        <v>0</v>
      </c>
      <c r="CO16" s="1048">
        <f t="shared" si="14"/>
        <v>0</v>
      </c>
      <c r="CP16" s="1048">
        <f t="shared" si="15"/>
        <v>0</v>
      </c>
      <c r="CQ16" s="1048">
        <f t="shared" si="16"/>
        <v>0</v>
      </c>
      <c r="CR16" s="1048">
        <f t="shared" si="17"/>
        <v>0</v>
      </c>
      <c r="CS16" s="1048">
        <f t="shared" si="18"/>
        <v>0</v>
      </c>
      <c r="CT16" s="1048">
        <f t="shared" si="19"/>
        <v>0</v>
      </c>
      <c r="CU16" s="1048">
        <f t="shared" si="20"/>
        <v>0</v>
      </c>
      <c r="CV16" s="1048">
        <f t="shared" si="21"/>
        <v>0</v>
      </c>
      <c r="CW16" s="1048">
        <f t="shared" si="22"/>
        <v>0</v>
      </c>
      <c r="CX16" s="1048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7"/>
    </row>
    <row r="17" spans="1:126" s="94" customFormat="1" ht="15" customHeight="1" x14ac:dyDescent="0.25">
      <c r="A17" s="2064" t="s">
        <v>642</v>
      </c>
      <c r="B17" s="1262" t="s">
        <v>643</v>
      </c>
      <c r="C17" s="1143">
        <f t="shared" si="0"/>
        <v>0</v>
      </c>
      <c r="D17" s="387">
        <f t="shared" si="1"/>
        <v>0</v>
      </c>
      <c r="E17" s="531">
        <f t="shared" si="2"/>
        <v>0</v>
      </c>
      <c r="F17" s="394">
        <v>0</v>
      </c>
      <c r="G17" s="395">
        <v>0</v>
      </c>
      <c r="H17" s="394">
        <v>0</v>
      </c>
      <c r="I17" s="395">
        <v>0</v>
      </c>
      <c r="J17" s="394">
        <v>0</v>
      </c>
      <c r="K17" s="395">
        <v>0</v>
      </c>
      <c r="L17" s="394">
        <v>0</v>
      </c>
      <c r="M17" s="395">
        <v>0</v>
      </c>
      <c r="N17" s="394">
        <v>0</v>
      </c>
      <c r="O17" s="395">
        <v>0</v>
      </c>
      <c r="P17" s="394">
        <v>0</v>
      </c>
      <c r="Q17" s="395">
        <v>0</v>
      </c>
      <c r="R17" s="394">
        <v>0</v>
      </c>
      <c r="S17" s="395">
        <v>0</v>
      </c>
      <c r="T17" s="394">
        <v>0</v>
      </c>
      <c r="U17" s="395">
        <v>0</v>
      </c>
      <c r="V17" s="394">
        <v>0</v>
      </c>
      <c r="W17" s="395">
        <v>0</v>
      </c>
      <c r="X17" s="394">
        <v>0</v>
      </c>
      <c r="Y17" s="395">
        <v>0</v>
      </c>
      <c r="Z17" s="394">
        <v>0</v>
      </c>
      <c r="AA17" s="395">
        <v>0</v>
      </c>
      <c r="AB17" s="394">
        <v>0</v>
      </c>
      <c r="AC17" s="395">
        <v>0</v>
      </c>
      <c r="AD17" s="394">
        <v>0</v>
      </c>
      <c r="AE17" s="395">
        <v>0</v>
      </c>
      <c r="AF17" s="394">
        <v>0</v>
      </c>
      <c r="AG17" s="395">
        <v>0</v>
      </c>
      <c r="AH17" s="394">
        <v>0</v>
      </c>
      <c r="AI17" s="395">
        <v>0</v>
      </c>
      <c r="AJ17" s="394">
        <v>0</v>
      </c>
      <c r="AK17" s="395">
        <v>0</v>
      </c>
      <c r="AL17" s="394">
        <v>0</v>
      </c>
      <c r="AM17" s="406">
        <v>0</v>
      </c>
      <c r="AN17" s="662">
        <v>0</v>
      </c>
      <c r="AO17" s="650">
        <v>0</v>
      </c>
      <c r="AP17" s="462">
        <v>0</v>
      </c>
      <c r="AQ17" s="395">
        <v>0</v>
      </c>
      <c r="AR17" s="462">
        <v>0</v>
      </c>
      <c r="AS17" s="395">
        <v>0</v>
      </c>
      <c r="AT17" s="461">
        <v>0</v>
      </c>
      <c r="AU17" s="461">
        <v>0</v>
      </c>
      <c r="AV17" s="461">
        <v>0</v>
      </c>
      <c r="AW17" s="461">
        <v>0</v>
      </c>
      <c r="AX17" s="461">
        <v>0</v>
      </c>
      <c r="AY17" s="1057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48">
        <f t="shared" si="13"/>
        <v>0</v>
      </c>
      <c r="CO17" s="1048">
        <f t="shared" si="14"/>
        <v>0</v>
      </c>
      <c r="CP17" s="1048">
        <f t="shared" si="15"/>
        <v>0</v>
      </c>
      <c r="CQ17" s="1048">
        <f t="shared" si="16"/>
        <v>0</v>
      </c>
      <c r="CR17" s="1048">
        <f t="shared" si="17"/>
        <v>0</v>
      </c>
      <c r="CS17" s="1048">
        <f t="shared" si="18"/>
        <v>0</v>
      </c>
      <c r="CT17" s="1048">
        <f t="shared" si="19"/>
        <v>0</v>
      </c>
      <c r="CU17" s="1048">
        <f t="shared" si="20"/>
        <v>0</v>
      </c>
      <c r="CV17" s="1048">
        <f t="shared" si="21"/>
        <v>0</v>
      </c>
      <c r="CW17" s="1048">
        <f t="shared" si="22"/>
        <v>0</v>
      </c>
      <c r="CX17" s="1048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7"/>
    </row>
    <row r="18" spans="1:126" s="94" customFormat="1" ht="15" customHeight="1" x14ac:dyDescent="0.25">
      <c r="A18" s="2084"/>
      <c r="B18" s="1264" t="s">
        <v>641</v>
      </c>
      <c r="C18" s="1144">
        <f t="shared" si="0"/>
        <v>0</v>
      </c>
      <c r="D18" s="391">
        <f t="shared" si="1"/>
        <v>0</v>
      </c>
      <c r="E18" s="386">
        <f t="shared" si="2"/>
        <v>0</v>
      </c>
      <c r="F18" s="417">
        <v>0</v>
      </c>
      <c r="G18" s="418">
        <v>0</v>
      </c>
      <c r="H18" s="417">
        <v>0</v>
      </c>
      <c r="I18" s="418">
        <v>0</v>
      </c>
      <c r="J18" s="417">
        <v>0</v>
      </c>
      <c r="K18" s="418">
        <v>0</v>
      </c>
      <c r="L18" s="417">
        <v>0</v>
      </c>
      <c r="M18" s="418">
        <v>0</v>
      </c>
      <c r="N18" s="417">
        <v>0</v>
      </c>
      <c r="O18" s="418">
        <v>0</v>
      </c>
      <c r="P18" s="417">
        <v>0</v>
      </c>
      <c r="Q18" s="418">
        <v>0</v>
      </c>
      <c r="R18" s="417">
        <v>0</v>
      </c>
      <c r="S18" s="418">
        <v>0</v>
      </c>
      <c r="T18" s="417">
        <v>0</v>
      </c>
      <c r="U18" s="418">
        <v>0</v>
      </c>
      <c r="V18" s="417">
        <v>0</v>
      </c>
      <c r="W18" s="418">
        <v>0</v>
      </c>
      <c r="X18" s="417">
        <v>0</v>
      </c>
      <c r="Y18" s="418">
        <v>0</v>
      </c>
      <c r="Z18" s="417">
        <v>0</v>
      </c>
      <c r="AA18" s="418">
        <v>0</v>
      </c>
      <c r="AB18" s="417">
        <v>0</v>
      </c>
      <c r="AC18" s="418">
        <v>0</v>
      </c>
      <c r="AD18" s="417">
        <v>0</v>
      </c>
      <c r="AE18" s="418">
        <v>0</v>
      </c>
      <c r="AF18" s="417">
        <v>0</v>
      </c>
      <c r="AG18" s="418">
        <v>0</v>
      </c>
      <c r="AH18" s="417">
        <v>0</v>
      </c>
      <c r="AI18" s="418">
        <v>0</v>
      </c>
      <c r="AJ18" s="417">
        <v>0</v>
      </c>
      <c r="AK18" s="418">
        <v>0</v>
      </c>
      <c r="AL18" s="417">
        <v>0</v>
      </c>
      <c r="AM18" s="419">
        <v>0</v>
      </c>
      <c r="AN18" s="548">
        <v>0</v>
      </c>
      <c r="AO18" s="656">
        <v>0</v>
      </c>
      <c r="AP18" s="468">
        <v>0</v>
      </c>
      <c r="AQ18" s="418">
        <v>0</v>
      </c>
      <c r="AR18" s="468">
        <v>0</v>
      </c>
      <c r="AS18" s="418">
        <v>0</v>
      </c>
      <c r="AT18" s="432">
        <v>0</v>
      </c>
      <c r="AU18" s="432">
        <v>0</v>
      </c>
      <c r="AV18" s="432">
        <v>0</v>
      </c>
      <c r="AW18" s="432">
        <v>0</v>
      </c>
      <c r="AX18" s="432">
        <v>0</v>
      </c>
      <c r="AY18" s="1057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48">
        <f t="shared" si="13"/>
        <v>0</v>
      </c>
      <c r="CO18" s="1048">
        <f t="shared" si="14"/>
        <v>0</v>
      </c>
      <c r="CP18" s="1048">
        <f t="shared" si="15"/>
        <v>0</v>
      </c>
      <c r="CQ18" s="1048">
        <f t="shared" si="16"/>
        <v>0</v>
      </c>
      <c r="CR18" s="1048">
        <f t="shared" si="17"/>
        <v>0</v>
      </c>
      <c r="CS18" s="1048">
        <f t="shared" si="18"/>
        <v>0</v>
      </c>
      <c r="CT18" s="1048">
        <f t="shared" si="19"/>
        <v>0</v>
      </c>
      <c r="CU18" s="1048">
        <f t="shared" si="20"/>
        <v>0</v>
      </c>
      <c r="CV18" s="1048">
        <f t="shared" si="21"/>
        <v>0</v>
      </c>
      <c r="CW18" s="1048">
        <f t="shared" si="22"/>
        <v>0</v>
      </c>
      <c r="CX18" s="1048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7"/>
    </row>
    <row r="19" spans="1:126" s="94" customFormat="1" ht="15" customHeight="1" x14ac:dyDescent="0.25">
      <c r="A19" s="2064" t="s">
        <v>644</v>
      </c>
      <c r="B19" s="1262" t="s">
        <v>640</v>
      </c>
      <c r="C19" s="1143">
        <f t="shared" ref="C19:C24" si="26">SUM(D19:E19)</f>
        <v>0</v>
      </c>
      <c r="D19" s="387">
        <f>+F19+H19+J19+L19+N19+P19+R19+T19+V19+X19+Z19+AB19+AD19+AF19+AH19+AJ19+AL19</f>
        <v>0</v>
      </c>
      <c r="E19" s="531">
        <f t="shared" ref="E19:E27" si="27">+G19+I19+K19+M19+O19+Q19+S19+U19+W19+Y19+AA19+AC19+AE19+AG19+AI19+AK19+AM19</f>
        <v>0</v>
      </c>
      <c r="F19" s="394">
        <v>0</v>
      </c>
      <c r="G19" s="395">
        <v>0</v>
      </c>
      <c r="H19" s="394">
        <v>0</v>
      </c>
      <c r="I19" s="395">
        <v>0</v>
      </c>
      <c r="J19" s="394">
        <v>0</v>
      </c>
      <c r="K19" s="395">
        <v>0</v>
      </c>
      <c r="L19" s="394">
        <v>0</v>
      </c>
      <c r="M19" s="395">
        <v>0</v>
      </c>
      <c r="N19" s="394">
        <v>0</v>
      </c>
      <c r="O19" s="395">
        <v>0</v>
      </c>
      <c r="P19" s="394">
        <v>0</v>
      </c>
      <c r="Q19" s="395">
        <v>0</v>
      </c>
      <c r="R19" s="394">
        <v>0</v>
      </c>
      <c r="S19" s="395">
        <v>0</v>
      </c>
      <c r="T19" s="394">
        <v>0</v>
      </c>
      <c r="U19" s="395">
        <v>0</v>
      </c>
      <c r="V19" s="394">
        <v>0</v>
      </c>
      <c r="W19" s="395">
        <v>0</v>
      </c>
      <c r="X19" s="394">
        <v>0</v>
      </c>
      <c r="Y19" s="395">
        <v>0</v>
      </c>
      <c r="Z19" s="394">
        <v>0</v>
      </c>
      <c r="AA19" s="395">
        <v>0</v>
      </c>
      <c r="AB19" s="394">
        <v>0</v>
      </c>
      <c r="AC19" s="395">
        <v>0</v>
      </c>
      <c r="AD19" s="394">
        <v>0</v>
      </c>
      <c r="AE19" s="395">
        <v>0</v>
      </c>
      <c r="AF19" s="394">
        <v>0</v>
      </c>
      <c r="AG19" s="395">
        <v>0</v>
      </c>
      <c r="AH19" s="394">
        <v>0</v>
      </c>
      <c r="AI19" s="395">
        <v>0</v>
      </c>
      <c r="AJ19" s="394">
        <v>0</v>
      </c>
      <c r="AK19" s="395">
        <v>0</v>
      </c>
      <c r="AL19" s="394">
        <v>0</v>
      </c>
      <c r="AM19" s="406">
        <v>0</v>
      </c>
      <c r="AN19" s="662">
        <v>0</v>
      </c>
      <c r="AO19" s="650">
        <v>0</v>
      </c>
      <c r="AP19" s="462">
        <v>0</v>
      </c>
      <c r="AQ19" s="395">
        <v>0</v>
      </c>
      <c r="AR19" s="462">
        <v>0</v>
      </c>
      <c r="AS19" s="395">
        <v>0</v>
      </c>
      <c r="AT19" s="461">
        <v>0</v>
      </c>
      <c r="AU19" s="461">
        <v>0</v>
      </c>
      <c r="AV19" s="461">
        <v>0</v>
      </c>
      <c r="AW19" s="461">
        <v>0</v>
      </c>
      <c r="AX19" s="461">
        <v>0</v>
      </c>
      <c r="AY19" s="1057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48">
        <f t="shared" si="13"/>
        <v>0</v>
      </c>
      <c r="CO19" s="1048">
        <f t="shared" si="14"/>
        <v>0</v>
      </c>
      <c r="CP19" s="1048">
        <f t="shared" si="15"/>
        <v>0</v>
      </c>
      <c r="CQ19" s="1048">
        <f t="shared" si="16"/>
        <v>0</v>
      </c>
      <c r="CR19" s="1048">
        <f t="shared" si="17"/>
        <v>0</v>
      </c>
      <c r="CS19" s="1048">
        <f t="shared" si="18"/>
        <v>0</v>
      </c>
      <c r="CT19" s="1048">
        <f t="shared" si="19"/>
        <v>0</v>
      </c>
      <c r="CU19" s="1048">
        <f t="shared" si="20"/>
        <v>0</v>
      </c>
      <c r="CV19" s="1048">
        <f t="shared" si="21"/>
        <v>0</v>
      </c>
      <c r="CW19" s="1048">
        <f t="shared" si="22"/>
        <v>0</v>
      </c>
      <c r="CX19" s="1048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7"/>
    </row>
    <row r="20" spans="1:126" s="94" customFormat="1" ht="15" customHeight="1" x14ac:dyDescent="0.25">
      <c r="A20" s="2084"/>
      <c r="B20" s="1264" t="s">
        <v>641</v>
      </c>
      <c r="C20" s="1144">
        <f t="shared" si="26"/>
        <v>0</v>
      </c>
      <c r="D20" s="391">
        <f t="shared" ref="D20:D27" si="28">+F20+H20+J20+L20+N20+P20+R20+T20+V20+X20+Z20+AB20+AD20+AF20+AH20+AJ20+AL20</f>
        <v>0</v>
      </c>
      <c r="E20" s="532">
        <f t="shared" si="27"/>
        <v>0</v>
      </c>
      <c r="F20" s="403">
        <v>0</v>
      </c>
      <c r="G20" s="404">
        <v>0</v>
      </c>
      <c r="H20" s="403">
        <v>0</v>
      </c>
      <c r="I20" s="404">
        <v>0</v>
      </c>
      <c r="J20" s="403">
        <v>0</v>
      </c>
      <c r="K20" s="404">
        <v>0</v>
      </c>
      <c r="L20" s="403">
        <v>0</v>
      </c>
      <c r="M20" s="404">
        <v>0</v>
      </c>
      <c r="N20" s="403">
        <v>0</v>
      </c>
      <c r="O20" s="404">
        <v>0</v>
      </c>
      <c r="P20" s="403">
        <v>0</v>
      </c>
      <c r="Q20" s="404">
        <v>0</v>
      </c>
      <c r="R20" s="403">
        <v>0</v>
      </c>
      <c r="S20" s="404">
        <v>0</v>
      </c>
      <c r="T20" s="403">
        <v>0</v>
      </c>
      <c r="U20" s="404">
        <v>0</v>
      </c>
      <c r="V20" s="403">
        <v>0</v>
      </c>
      <c r="W20" s="404">
        <v>0</v>
      </c>
      <c r="X20" s="403">
        <v>0</v>
      </c>
      <c r="Y20" s="404">
        <v>0</v>
      </c>
      <c r="Z20" s="403">
        <v>0</v>
      </c>
      <c r="AA20" s="404">
        <v>0</v>
      </c>
      <c r="AB20" s="403">
        <v>0</v>
      </c>
      <c r="AC20" s="404">
        <v>0</v>
      </c>
      <c r="AD20" s="403">
        <v>0</v>
      </c>
      <c r="AE20" s="404">
        <v>0</v>
      </c>
      <c r="AF20" s="403">
        <v>0</v>
      </c>
      <c r="AG20" s="404">
        <v>0</v>
      </c>
      <c r="AH20" s="403">
        <v>0</v>
      </c>
      <c r="AI20" s="404">
        <v>0</v>
      </c>
      <c r="AJ20" s="403">
        <v>0</v>
      </c>
      <c r="AK20" s="404">
        <v>0</v>
      </c>
      <c r="AL20" s="403">
        <v>0</v>
      </c>
      <c r="AM20" s="431">
        <v>0</v>
      </c>
      <c r="AN20" s="663">
        <v>0</v>
      </c>
      <c r="AO20" s="653">
        <v>0</v>
      </c>
      <c r="AP20" s="464">
        <v>0</v>
      </c>
      <c r="AQ20" s="404">
        <v>0</v>
      </c>
      <c r="AR20" s="464">
        <v>0</v>
      </c>
      <c r="AS20" s="404">
        <v>0</v>
      </c>
      <c r="AT20" s="442">
        <v>0</v>
      </c>
      <c r="AU20" s="442">
        <v>0</v>
      </c>
      <c r="AV20" s="442">
        <v>0</v>
      </c>
      <c r="AW20" s="442">
        <v>0</v>
      </c>
      <c r="AX20" s="442">
        <v>0</v>
      </c>
      <c r="AY20" s="1057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48">
        <f t="shared" si="13"/>
        <v>0</v>
      </c>
      <c r="CO20" s="1048">
        <f t="shared" si="14"/>
        <v>0</v>
      </c>
      <c r="CP20" s="1048">
        <f t="shared" si="15"/>
        <v>0</v>
      </c>
      <c r="CQ20" s="1048">
        <f t="shared" si="16"/>
        <v>0</v>
      </c>
      <c r="CR20" s="1048">
        <f t="shared" si="17"/>
        <v>0</v>
      </c>
      <c r="CS20" s="1048">
        <f t="shared" si="18"/>
        <v>0</v>
      </c>
      <c r="CT20" s="1048">
        <f t="shared" si="19"/>
        <v>0</v>
      </c>
      <c r="CU20" s="1048">
        <f t="shared" si="20"/>
        <v>0</v>
      </c>
      <c r="CV20" s="1048">
        <f t="shared" si="21"/>
        <v>0</v>
      </c>
      <c r="CW20" s="1048">
        <f t="shared" si="22"/>
        <v>0</v>
      </c>
      <c r="CX20" s="1048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7"/>
    </row>
    <row r="21" spans="1:126" s="94" customFormat="1" ht="15" customHeight="1" x14ac:dyDescent="0.25">
      <c r="A21" s="2068" t="s">
        <v>645</v>
      </c>
      <c r="B21" s="2068"/>
      <c r="C21" s="1145">
        <f t="shared" si="26"/>
        <v>0</v>
      </c>
      <c r="D21" s="540">
        <f t="shared" si="28"/>
        <v>0</v>
      </c>
      <c r="E21" s="541">
        <f t="shared" si="27"/>
        <v>0</v>
      </c>
      <c r="F21" s="413">
        <v>0</v>
      </c>
      <c r="G21" s="414">
        <v>0</v>
      </c>
      <c r="H21" s="413">
        <v>0</v>
      </c>
      <c r="I21" s="414">
        <v>0</v>
      </c>
      <c r="J21" s="413">
        <v>0</v>
      </c>
      <c r="K21" s="414">
        <v>0</v>
      </c>
      <c r="L21" s="413">
        <v>0</v>
      </c>
      <c r="M21" s="414">
        <v>0</v>
      </c>
      <c r="N21" s="413">
        <v>0</v>
      </c>
      <c r="O21" s="414">
        <v>0</v>
      </c>
      <c r="P21" s="413">
        <v>0</v>
      </c>
      <c r="Q21" s="414">
        <v>0</v>
      </c>
      <c r="R21" s="413">
        <v>0</v>
      </c>
      <c r="S21" s="414">
        <v>0</v>
      </c>
      <c r="T21" s="413">
        <v>0</v>
      </c>
      <c r="U21" s="414">
        <v>0</v>
      </c>
      <c r="V21" s="413">
        <v>0</v>
      </c>
      <c r="W21" s="414">
        <v>0</v>
      </c>
      <c r="X21" s="413">
        <v>0</v>
      </c>
      <c r="Y21" s="414">
        <v>0</v>
      </c>
      <c r="Z21" s="413">
        <v>0</v>
      </c>
      <c r="AA21" s="414">
        <v>0</v>
      </c>
      <c r="AB21" s="413">
        <v>0</v>
      </c>
      <c r="AC21" s="414">
        <v>0</v>
      </c>
      <c r="AD21" s="413">
        <v>0</v>
      </c>
      <c r="AE21" s="414">
        <v>0</v>
      </c>
      <c r="AF21" s="413">
        <v>0</v>
      </c>
      <c r="AG21" s="414">
        <v>0</v>
      </c>
      <c r="AH21" s="413">
        <v>0</v>
      </c>
      <c r="AI21" s="414">
        <v>0</v>
      </c>
      <c r="AJ21" s="413">
        <v>0</v>
      </c>
      <c r="AK21" s="414">
        <v>0</v>
      </c>
      <c r="AL21" s="413">
        <v>0</v>
      </c>
      <c r="AM21" s="415">
        <v>0</v>
      </c>
      <c r="AN21" s="664">
        <v>0</v>
      </c>
      <c r="AO21" s="666">
        <v>0</v>
      </c>
      <c r="AP21" s="463">
        <v>0</v>
      </c>
      <c r="AQ21" s="414">
        <v>0</v>
      </c>
      <c r="AR21" s="463">
        <v>0</v>
      </c>
      <c r="AS21" s="414">
        <v>0</v>
      </c>
      <c r="AT21" s="542">
        <v>0</v>
      </c>
      <c r="AU21" s="542">
        <v>0</v>
      </c>
      <c r="AV21" s="542">
        <v>0</v>
      </c>
      <c r="AW21" s="542">
        <v>0</v>
      </c>
      <c r="AX21" s="542">
        <v>0</v>
      </c>
      <c r="AY21" s="1057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48">
        <f t="shared" si="13"/>
        <v>0</v>
      </c>
      <c r="CO21" s="1048">
        <f t="shared" si="14"/>
        <v>0</v>
      </c>
      <c r="CP21" s="1048">
        <f t="shared" si="15"/>
        <v>0</v>
      </c>
      <c r="CQ21" s="1048">
        <f t="shared" si="16"/>
        <v>0</v>
      </c>
      <c r="CR21" s="1048">
        <f t="shared" si="17"/>
        <v>0</v>
      </c>
      <c r="CS21" s="1048">
        <f t="shared" si="18"/>
        <v>0</v>
      </c>
      <c r="CT21" s="1048">
        <f t="shared" si="19"/>
        <v>0</v>
      </c>
      <c r="CU21" s="1048">
        <f t="shared" si="20"/>
        <v>0</v>
      </c>
      <c r="CV21" s="1048">
        <f t="shared" si="21"/>
        <v>0</v>
      </c>
      <c r="CW21" s="1048">
        <f t="shared" si="22"/>
        <v>0</v>
      </c>
      <c r="CX21" s="1048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7"/>
    </row>
    <row r="22" spans="1:126" s="94" customFormat="1" ht="15" customHeight="1" x14ac:dyDescent="0.25">
      <c r="A22" s="2085" t="s">
        <v>646</v>
      </c>
      <c r="B22" s="1262" t="s">
        <v>647</v>
      </c>
      <c r="C22" s="1146">
        <f t="shared" si="26"/>
        <v>0</v>
      </c>
      <c r="D22" s="392">
        <f>+H22+J22+L22+N22+P22+R22+T22+V22+X22+Z22+AB22+AD22+AF22+AH22+AJ22+AL22</f>
        <v>0</v>
      </c>
      <c r="E22" s="539">
        <f>+I22+K22+M22+O22+Q22+S22+U22+W22+Y22+AA22+AC22+AE22+AG22+AI22+AK22+AM22</f>
        <v>0</v>
      </c>
      <c r="F22" s="1067"/>
      <c r="G22" s="434"/>
      <c r="H22" s="394">
        <v>0</v>
      </c>
      <c r="I22" s="395">
        <v>0</v>
      </c>
      <c r="J22" s="394">
        <v>0</v>
      </c>
      <c r="K22" s="395">
        <v>0</v>
      </c>
      <c r="L22" s="394">
        <v>0</v>
      </c>
      <c r="M22" s="395">
        <v>0</v>
      </c>
      <c r="N22" s="394">
        <v>0</v>
      </c>
      <c r="O22" s="395">
        <v>0</v>
      </c>
      <c r="P22" s="394">
        <v>0</v>
      </c>
      <c r="Q22" s="395">
        <v>0</v>
      </c>
      <c r="R22" s="394">
        <v>0</v>
      </c>
      <c r="S22" s="395">
        <v>0</v>
      </c>
      <c r="T22" s="394">
        <v>0</v>
      </c>
      <c r="U22" s="395">
        <v>0</v>
      </c>
      <c r="V22" s="394">
        <v>0</v>
      </c>
      <c r="W22" s="395">
        <v>0</v>
      </c>
      <c r="X22" s="394">
        <v>0</v>
      </c>
      <c r="Y22" s="395">
        <v>0</v>
      </c>
      <c r="Z22" s="394">
        <v>0</v>
      </c>
      <c r="AA22" s="395">
        <v>0</v>
      </c>
      <c r="AB22" s="394">
        <v>0</v>
      </c>
      <c r="AC22" s="395">
        <v>0</v>
      </c>
      <c r="AD22" s="394">
        <v>0</v>
      </c>
      <c r="AE22" s="395">
        <v>0</v>
      </c>
      <c r="AF22" s="394">
        <v>0</v>
      </c>
      <c r="AG22" s="395">
        <v>0</v>
      </c>
      <c r="AH22" s="394">
        <v>0</v>
      </c>
      <c r="AI22" s="395">
        <v>0</v>
      </c>
      <c r="AJ22" s="394">
        <v>0</v>
      </c>
      <c r="AK22" s="395">
        <v>0</v>
      </c>
      <c r="AL22" s="394">
        <v>0</v>
      </c>
      <c r="AM22" s="406">
        <v>0</v>
      </c>
      <c r="AN22" s="662">
        <v>0</v>
      </c>
      <c r="AO22" s="650">
        <v>0</v>
      </c>
      <c r="AP22" s="462">
        <v>0</v>
      </c>
      <c r="AQ22" s="395">
        <v>0</v>
      </c>
      <c r="AR22" s="462">
        <v>0</v>
      </c>
      <c r="AS22" s="395">
        <v>0</v>
      </c>
      <c r="AT22" s="461">
        <v>0</v>
      </c>
      <c r="AU22" s="461">
        <v>0</v>
      </c>
      <c r="AV22" s="461">
        <v>0</v>
      </c>
      <c r="AW22" s="461">
        <v>0</v>
      </c>
      <c r="AX22" s="461">
        <v>0</v>
      </c>
      <c r="AY22" s="1057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48">
        <f t="shared" si="13"/>
        <v>0</v>
      </c>
      <c r="CO22" s="1048">
        <f t="shared" si="14"/>
        <v>0</v>
      </c>
      <c r="CP22" s="1048">
        <f t="shared" si="15"/>
        <v>0</v>
      </c>
      <c r="CQ22" s="1048">
        <f t="shared" si="16"/>
        <v>0</v>
      </c>
      <c r="CR22" s="1048">
        <f t="shared" si="17"/>
        <v>0</v>
      </c>
      <c r="CS22" s="1048">
        <f t="shared" si="18"/>
        <v>0</v>
      </c>
      <c r="CT22" s="1048">
        <f t="shared" si="19"/>
        <v>0</v>
      </c>
      <c r="CU22" s="1048">
        <f t="shared" si="20"/>
        <v>0</v>
      </c>
      <c r="CV22" s="1048">
        <f t="shared" si="21"/>
        <v>0</v>
      </c>
      <c r="CW22" s="1048">
        <f t="shared" si="22"/>
        <v>0</v>
      </c>
      <c r="CX22" s="1048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7"/>
    </row>
    <row r="23" spans="1:126" s="94" customFormat="1" ht="15" customHeight="1" x14ac:dyDescent="0.25">
      <c r="A23" s="2086"/>
      <c r="B23" s="1264" t="s">
        <v>648</v>
      </c>
      <c r="C23" s="1145">
        <f t="shared" si="26"/>
        <v>0</v>
      </c>
      <c r="D23" s="540">
        <f>+H23+J23+L23+N23+P23+R23+T23+V23+X23+Z23+AB23+AD23+AF23+AH23+AJ23+AL23</f>
        <v>0</v>
      </c>
      <c r="E23" s="541">
        <f>+I23+K23+M23+O23+Q23+S23+U23+W23+Y23+AA23+AC23+AE23+AG23+AI23+AK23+AM23</f>
        <v>0</v>
      </c>
      <c r="F23" s="569"/>
      <c r="G23" s="570"/>
      <c r="H23" s="413">
        <v>0</v>
      </c>
      <c r="I23" s="414">
        <v>0</v>
      </c>
      <c r="J23" s="413">
        <v>0</v>
      </c>
      <c r="K23" s="414">
        <v>0</v>
      </c>
      <c r="L23" s="413">
        <v>0</v>
      </c>
      <c r="M23" s="414">
        <v>0</v>
      </c>
      <c r="N23" s="413">
        <v>0</v>
      </c>
      <c r="O23" s="414">
        <v>0</v>
      </c>
      <c r="P23" s="413">
        <v>0</v>
      </c>
      <c r="Q23" s="414">
        <v>0</v>
      </c>
      <c r="R23" s="413">
        <v>0</v>
      </c>
      <c r="S23" s="414">
        <v>0</v>
      </c>
      <c r="T23" s="413">
        <v>0</v>
      </c>
      <c r="U23" s="414">
        <v>0</v>
      </c>
      <c r="V23" s="413">
        <v>0</v>
      </c>
      <c r="W23" s="414">
        <v>0</v>
      </c>
      <c r="X23" s="413">
        <v>0</v>
      </c>
      <c r="Y23" s="414">
        <v>0</v>
      </c>
      <c r="Z23" s="413">
        <v>0</v>
      </c>
      <c r="AA23" s="414">
        <v>0</v>
      </c>
      <c r="AB23" s="413">
        <v>0</v>
      </c>
      <c r="AC23" s="414">
        <v>0</v>
      </c>
      <c r="AD23" s="413">
        <v>0</v>
      </c>
      <c r="AE23" s="414">
        <v>0</v>
      </c>
      <c r="AF23" s="413">
        <v>0</v>
      </c>
      <c r="AG23" s="414">
        <v>0</v>
      </c>
      <c r="AH23" s="413">
        <v>0</v>
      </c>
      <c r="AI23" s="414">
        <v>0</v>
      </c>
      <c r="AJ23" s="413">
        <v>0</v>
      </c>
      <c r="AK23" s="414">
        <v>0</v>
      </c>
      <c r="AL23" s="413">
        <v>0</v>
      </c>
      <c r="AM23" s="415">
        <v>0</v>
      </c>
      <c r="AN23" s="664">
        <v>0</v>
      </c>
      <c r="AO23" s="666">
        <v>0</v>
      </c>
      <c r="AP23" s="463">
        <v>0</v>
      </c>
      <c r="AQ23" s="414">
        <v>0</v>
      </c>
      <c r="AR23" s="463">
        <v>0</v>
      </c>
      <c r="AS23" s="414">
        <v>0</v>
      </c>
      <c r="AT23" s="542">
        <v>0</v>
      </c>
      <c r="AU23" s="542">
        <v>0</v>
      </c>
      <c r="AV23" s="542">
        <v>0</v>
      </c>
      <c r="AW23" s="542">
        <v>0</v>
      </c>
      <c r="AX23" s="542">
        <v>0</v>
      </c>
      <c r="AY23" s="1057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48">
        <f t="shared" si="13"/>
        <v>0</v>
      </c>
      <c r="CO23" s="1048">
        <f t="shared" si="14"/>
        <v>0</v>
      </c>
      <c r="CP23" s="1048">
        <f t="shared" si="15"/>
        <v>0</v>
      </c>
      <c r="CQ23" s="1048">
        <f t="shared" si="16"/>
        <v>0</v>
      </c>
      <c r="CR23" s="1048">
        <f t="shared" si="17"/>
        <v>0</v>
      </c>
      <c r="CS23" s="1048">
        <f t="shared" si="18"/>
        <v>0</v>
      </c>
      <c r="CT23" s="1048">
        <f t="shared" si="19"/>
        <v>0</v>
      </c>
      <c r="CU23" s="1048">
        <f t="shared" si="20"/>
        <v>0</v>
      </c>
      <c r="CV23" s="1048">
        <f t="shared" si="21"/>
        <v>0</v>
      </c>
      <c r="CW23" s="1048">
        <f t="shared" si="22"/>
        <v>0</v>
      </c>
      <c r="CX23" s="1048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7"/>
    </row>
    <row r="24" spans="1:126" s="94" customFormat="1" ht="15" customHeight="1" x14ac:dyDescent="0.25">
      <c r="A24" s="2082" t="s">
        <v>649</v>
      </c>
      <c r="B24" s="2097"/>
      <c r="C24" s="1482">
        <f t="shared" si="26"/>
        <v>13</v>
      </c>
      <c r="D24" s="1483">
        <f>+F24+H24+J24+L24+N24+P24+R24+T24+V24+X24+Z24+AB24+AD24+AF24+AH24+AJ24+AL24</f>
        <v>6</v>
      </c>
      <c r="E24" s="460">
        <f t="shared" si="27"/>
        <v>7</v>
      </c>
      <c r="F24" s="1514">
        <v>0</v>
      </c>
      <c r="G24" s="1039">
        <v>0</v>
      </c>
      <c r="H24" s="1514">
        <v>1</v>
      </c>
      <c r="I24" s="1039">
        <v>0</v>
      </c>
      <c r="J24" s="1514">
        <v>0</v>
      </c>
      <c r="K24" s="1039">
        <v>0</v>
      </c>
      <c r="L24" s="1514">
        <v>1</v>
      </c>
      <c r="M24" s="1039">
        <v>1</v>
      </c>
      <c r="N24" s="1514">
        <v>1</v>
      </c>
      <c r="O24" s="1039">
        <v>0</v>
      </c>
      <c r="P24" s="1514">
        <v>0</v>
      </c>
      <c r="Q24" s="1039">
        <v>1</v>
      </c>
      <c r="R24" s="1514">
        <v>0</v>
      </c>
      <c r="S24" s="1039">
        <v>1</v>
      </c>
      <c r="T24" s="1514">
        <v>0</v>
      </c>
      <c r="U24" s="1039">
        <v>1</v>
      </c>
      <c r="V24" s="1514">
        <v>1</v>
      </c>
      <c r="W24" s="1039">
        <v>0</v>
      </c>
      <c r="X24" s="1514">
        <v>0</v>
      </c>
      <c r="Y24" s="1039">
        <v>2</v>
      </c>
      <c r="Z24" s="1514">
        <v>1</v>
      </c>
      <c r="AA24" s="1039">
        <v>0</v>
      </c>
      <c r="AB24" s="1514">
        <v>1</v>
      </c>
      <c r="AC24" s="1039">
        <v>0</v>
      </c>
      <c r="AD24" s="1514">
        <v>0</v>
      </c>
      <c r="AE24" s="1039">
        <v>0</v>
      </c>
      <c r="AF24" s="1514">
        <v>0</v>
      </c>
      <c r="AG24" s="1039">
        <v>1</v>
      </c>
      <c r="AH24" s="1514">
        <v>0</v>
      </c>
      <c r="AI24" s="1039">
        <v>0</v>
      </c>
      <c r="AJ24" s="1514">
        <v>0</v>
      </c>
      <c r="AK24" s="1039">
        <v>0</v>
      </c>
      <c r="AL24" s="1514">
        <v>0</v>
      </c>
      <c r="AM24" s="530">
        <v>0</v>
      </c>
      <c r="AN24" s="661">
        <v>0</v>
      </c>
      <c r="AO24" s="1516">
        <v>0</v>
      </c>
      <c r="AP24" s="1515">
        <v>0</v>
      </c>
      <c r="AQ24" s="1039">
        <v>1</v>
      </c>
      <c r="AR24" s="1515">
        <v>0</v>
      </c>
      <c r="AS24" s="1039">
        <v>0</v>
      </c>
      <c r="AT24" s="1517">
        <v>0</v>
      </c>
      <c r="AU24" s="1517">
        <v>0</v>
      </c>
      <c r="AV24" s="1517">
        <v>0</v>
      </c>
      <c r="AW24" s="1517">
        <v>0</v>
      </c>
      <c r="AX24" s="1517">
        <v>0</v>
      </c>
      <c r="AY24" s="1057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48">
        <f t="shared" si="13"/>
        <v>0</v>
      </c>
      <c r="CO24" s="1048">
        <f t="shared" si="14"/>
        <v>0</v>
      </c>
      <c r="CP24" s="1048">
        <f t="shared" si="15"/>
        <v>0</v>
      </c>
      <c r="CQ24" s="1048">
        <f t="shared" si="16"/>
        <v>0</v>
      </c>
      <c r="CR24" s="1048">
        <f t="shared" si="17"/>
        <v>0</v>
      </c>
      <c r="CS24" s="1048">
        <f t="shared" si="18"/>
        <v>0</v>
      </c>
      <c r="CT24" s="1048">
        <f t="shared" si="19"/>
        <v>0</v>
      </c>
      <c r="CU24" s="1048">
        <f t="shared" si="20"/>
        <v>0</v>
      </c>
      <c r="CV24" s="1048">
        <f t="shared" si="21"/>
        <v>0</v>
      </c>
      <c r="CW24" s="1048">
        <f t="shared" si="22"/>
        <v>0</v>
      </c>
      <c r="CX24" s="1048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7"/>
    </row>
    <row r="25" spans="1:126" s="94" customFormat="1" ht="15" customHeight="1" x14ac:dyDescent="0.25">
      <c r="A25" s="2091" t="s">
        <v>650</v>
      </c>
      <c r="B25" s="1262" t="s">
        <v>651</v>
      </c>
      <c r="C25" s="1143">
        <f t="shared" ref="C25:C51" si="29">SUM(D25:E25)</f>
        <v>0</v>
      </c>
      <c r="D25" s="387">
        <f t="shared" si="28"/>
        <v>0</v>
      </c>
      <c r="E25" s="531">
        <f t="shared" si="27"/>
        <v>0</v>
      </c>
      <c r="F25" s="417">
        <v>0</v>
      </c>
      <c r="G25" s="418">
        <v>0</v>
      </c>
      <c r="H25" s="417">
        <v>0</v>
      </c>
      <c r="I25" s="418">
        <v>0</v>
      </c>
      <c r="J25" s="417">
        <v>0</v>
      </c>
      <c r="K25" s="418">
        <v>0</v>
      </c>
      <c r="L25" s="417">
        <v>0</v>
      </c>
      <c r="M25" s="418">
        <v>0</v>
      </c>
      <c r="N25" s="417">
        <v>0</v>
      </c>
      <c r="O25" s="418">
        <v>0</v>
      </c>
      <c r="P25" s="417">
        <v>0</v>
      </c>
      <c r="Q25" s="418">
        <v>0</v>
      </c>
      <c r="R25" s="417">
        <v>0</v>
      </c>
      <c r="S25" s="418">
        <v>0</v>
      </c>
      <c r="T25" s="417">
        <v>0</v>
      </c>
      <c r="U25" s="418">
        <v>0</v>
      </c>
      <c r="V25" s="417">
        <v>0</v>
      </c>
      <c r="W25" s="418">
        <v>0</v>
      </c>
      <c r="X25" s="417">
        <v>0</v>
      </c>
      <c r="Y25" s="418">
        <v>0</v>
      </c>
      <c r="Z25" s="417">
        <v>0</v>
      </c>
      <c r="AA25" s="418">
        <v>0</v>
      </c>
      <c r="AB25" s="417">
        <v>0</v>
      </c>
      <c r="AC25" s="418">
        <v>0</v>
      </c>
      <c r="AD25" s="417">
        <v>0</v>
      </c>
      <c r="AE25" s="418">
        <v>0</v>
      </c>
      <c r="AF25" s="417">
        <v>0</v>
      </c>
      <c r="AG25" s="418">
        <v>0</v>
      </c>
      <c r="AH25" s="417">
        <v>0</v>
      </c>
      <c r="AI25" s="418">
        <v>0</v>
      </c>
      <c r="AJ25" s="417">
        <v>0</v>
      </c>
      <c r="AK25" s="418">
        <v>0</v>
      </c>
      <c r="AL25" s="417">
        <v>0</v>
      </c>
      <c r="AM25" s="419">
        <v>0</v>
      </c>
      <c r="AN25" s="548">
        <v>0</v>
      </c>
      <c r="AO25" s="656">
        <v>0</v>
      </c>
      <c r="AP25" s="468">
        <v>0</v>
      </c>
      <c r="AQ25" s="418">
        <v>0</v>
      </c>
      <c r="AR25" s="468">
        <v>0</v>
      </c>
      <c r="AS25" s="418">
        <v>0</v>
      </c>
      <c r="AT25" s="432">
        <v>0</v>
      </c>
      <c r="AU25" s="432">
        <v>0</v>
      </c>
      <c r="AV25" s="432">
        <v>0</v>
      </c>
      <c r="AW25" s="432">
        <v>0</v>
      </c>
      <c r="AX25" s="432">
        <v>0</v>
      </c>
      <c r="AY25" s="1057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48">
        <f t="shared" si="13"/>
        <v>0</v>
      </c>
      <c r="CO25" s="1048">
        <f t="shared" si="14"/>
        <v>0</v>
      </c>
      <c r="CP25" s="1048">
        <f t="shared" si="15"/>
        <v>0</v>
      </c>
      <c r="CQ25" s="1048">
        <f t="shared" si="16"/>
        <v>0</v>
      </c>
      <c r="CR25" s="1048">
        <f t="shared" si="17"/>
        <v>0</v>
      </c>
      <c r="CS25" s="1048">
        <f t="shared" si="18"/>
        <v>0</v>
      </c>
      <c r="CT25" s="1048">
        <f t="shared" si="19"/>
        <v>0</v>
      </c>
      <c r="CU25" s="1048">
        <f t="shared" si="20"/>
        <v>0</v>
      </c>
      <c r="CV25" s="1048">
        <f t="shared" si="21"/>
        <v>0</v>
      </c>
      <c r="CW25" s="1048">
        <f t="shared" si="22"/>
        <v>0</v>
      </c>
      <c r="CX25" s="1048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7"/>
    </row>
    <row r="26" spans="1:126" s="94" customFormat="1" ht="15" customHeight="1" x14ac:dyDescent="0.25">
      <c r="A26" s="2092"/>
      <c r="B26" s="1266" t="s">
        <v>652</v>
      </c>
      <c r="C26" s="1143">
        <f t="shared" si="29"/>
        <v>3</v>
      </c>
      <c r="D26" s="387">
        <f t="shared" si="28"/>
        <v>1</v>
      </c>
      <c r="E26" s="531">
        <f t="shared" si="27"/>
        <v>2</v>
      </c>
      <c r="F26" s="398">
        <v>0</v>
      </c>
      <c r="G26" s="399">
        <v>0</v>
      </c>
      <c r="H26" s="398">
        <v>0</v>
      </c>
      <c r="I26" s="399">
        <v>0</v>
      </c>
      <c r="J26" s="398">
        <v>0</v>
      </c>
      <c r="K26" s="399">
        <v>0</v>
      </c>
      <c r="L26" s="398">
        <v>0</v>
      </c>
      <c r="M26" s="399">
        <v>1</v>
      </c>
      <c r="N26" s="398">
        <v>0</v>
      </c>
      <c r="O26" s="399">
        <v>0</v>
      </c>
      <c r="P26" s="398">
        <v>0</v>
      </c>
      <c r="Q26" s="399">
        <v>1</v>
      </c>
      <c r="R26" s="398">
        <v>0</v>
      </c>
      <c r="S26" s="399">
        <v>0</v>
      </c>
      <c r="T26" s="398">
        <v>0</v>
      </c>
      <c r="U26" s="399">
        <v>0</v>
      </c>
      <c r="V26" s="398">
        <v>0</v>
      </c>
      <c r="W26" s="399">
        <v>0</v>
      </c>
      <c r="X26" s="398">
        <v>0</v>
      </c>
      <c r="Y26" s="399">
        <v>0</v>
      </c>
      <c r="Z26" s="398">
        <v>0</v>
      </c>
      <c r="AA26" s="399">
        <v>0</v>
      </c>
      <c r="AB26" s="398">
        <v>1</v>
      </c>
      <c r="AC26" s="399">
        <v>0</v>
      </c>
      <c r="AD26" s="398">
        <v>0</v>
      </c>
      <c r="AE26" s="399">
        <v>0</v>
      </c>
      <c r="AF26" s="398">
        <v>0</v>
      </c>
      <c r="AG26" s="399">
        <v>0</v>
      </c>
      <c r="AH26" s="398">
        <v>0</v>
      </c>
      <c r="AI26" s="399">
        <v>0</v>
      </c>
      <c r="AJ26" s="398">
        <v>0</v>
      </c>
      <c r="AK26" s="399">
        <v>0</v>
      </c>
      <c r="AL26" s="398">
        <v>0</v>
      </c>
      <c r="AM26" s="407">
        <v>0</v>
      </c>
      <c r="AN26" s="549">
        <v>0</v>
      </c>
      <c r="AO26" s="651">
        <v>0</v>
      </c>
      <c r="AP26" s="465">
        <v>0</v>
      </c>
      <c r="AQ26" s="399">
        <v>1</v>
      </c>
      <c r="AR26" s="465">
        <v>0</v>
      </c>
      <c r="AS26" s="399">
        <v>0</v>
      </c>
      <c r="AT26" s="533">
        <v>0</v>
      </c>
      <c r="AU26" s="533">
        <v>0</v>
      </c>
      <c r="AV26" s="533">
        <v>0</v>
      </c>
      <c r="AW26" s="533">
        <v>0</v>
      </c>
      <c r="AX26" s="533">
        <v>0</v>
      </c>
      <c r="AY26" s="1057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48">
        <f t="shared" si="13"/>
        <v>0</v>
      </c>
      <c r="CO26" s="1048">
        <f t="shared" si="14"/>
        <v>0</v>
      </c>
      <c r="CP26" s="1048">
        <f t="shared" si="15"/>
        <v>0</v>
      </c>
      <c r="CQ26" s="1048">
        <f t="shared" si="16"/>
        <v>0</v>
      </c>
      <c r="CR26" s="1048">
        <f t="shared" si="17"/>
        <v>0</v>
      </c>
      <c r="CS26" s="1048">
        <f t="shared" si="18"/>
        <v>0</v>
      </c>
      <c r="CT26" s="1048">
        <f t="shared" si="19"/>
        <v>0</v>
      </c>
      <c r="CU26" s="1048">
        <f t="shared" si="20"/>
        <v>0</v>
      </c>
      <c r="CV26" s="1048">
        <f t="shared" si="21"/>
        <v>0</v>
      </c>
      <c r="CW26" s="1048">
        <f t="shared" si="22"/>
        <v>0</v>
      </c>
      <c r="CX26" s="1048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7"/>
    </row>
    <row r="27" spans="1:126" s="94" customFormat="1" ht="15" customHeight="1" x14ac:dyDescent="0.25">
      <c r="A27" s="2092"/>
      <c r="B27" s="1266" t="s">
        <v>653</v>
      </c>
      <c r="C27" s="1143">
        <f t="shared" si="29"/>
        <v>0</v>
      </c>
      <c r="D27" s="387">
        <f t="shared" si="28"/>
        <v>0</v>
      </c>
      <c r="E27" s="531">
        <f t="shared" si="27"/>
        <v>0</v>
      </c>
      <c r="F27" s="398">
        <v>0</v>
      </c>
      <c r="G27" s="399">
        <v>0</v>
      </c>
      <c r="H27" s="398">
        <v>0</v>
      </c>
      <c r="I27" s="399">
        <v>0</v>
      </c>
      <c r="J27" s="398">
        <v>0</v>
      </c>
      <c r="K27" s="399">
        <v>0</v>
      </c>
      <c r="L27" s="398">
        <v>0</v>
      </c>
      <c r="M27" s="399">
        <v>0</v>
      </c>
      <c r="N27" s="398">
        <v>0</v>
      </c>
      <c r="O27" s="399">
        <v>0</v>
      </c>
      <c r="P27" s="398">
        <v>0</v>
      </c>
      <c r="Q27" s="399">
        <v>0</v>
      </c>
      <c r="R27" s="398">
        <v>0</v>
      </c>
      <c r="S27" s="399">
        <v>0</v>
      </c>
      <c r="T27" s="398">
        <v>0</v>
      </c>
      <c r="U27" s="399">
        <v>0</v>
      </c>
      <c r="V27" s="398">
        <v>0</v>
      </c>
      <c r="W27" s="399">
        <v>0</v>
      </c>
      <c r="X27" s="398">
        <v>0</v>
      </c>
      <c r="Y27" s="399">
        <v>0</v>
      </c>
      <c r="Z27" s="398">
        <v>0</v>
      </c>
      <c r="AA27" s="399">
        <v>0</v>
      </c>
      <c r="AB27" s="398">
        <v>0</v>
      </c>
      <c r="AC27" s="399">
        <v>0</v>
      </c>
      <c r="AD27" s="398">
        <v>0</v>
      </c>
      <c r="AE27" s="399">
        <v>0</v>
      </c>
      <c r="AF27" s="398">
        <v>0</v>
      </c>
      <c r="AG27" s="399">
        <v>0</v>
      </c>
      <c r="AH27" s="398">
        <v>0</v>
      </c>
      <c r="AI27" s="399">
        <v>0</v>
      </c>
      <c r="AJ27" s="398">
        <v>0</v>
      </c>
      <c r="AK27" s="399">
        <v>0</v>
      </c>
      <c r="AL27" s="398">
        <v>0</v>
      </c>
      <c r="AM27" s="407">
        <v>0</v>
      </c>
      <c r="AN27" s="549">
        <v>0</v>
      </c>
      <c r="AO27" s="651">
        <v>0</v>
      </c>
      <c r="AP27" s="465">
        <v>0</v>
      </c>
      <c r="AQ27" s="399">
        <v>0</v>
      </c>
      <c r="AR27" s="465">
        <v>0</v>
      </c>
      <c r="AS27" s="399">
        <v>0</v>
      </c>
      <c r="AT27" s="533">
        <v>0</v>
      </c>
      <c r="AU27" s="533">
        <v>0</v>
      </c>
      <c r="AV27" s="533">
        <v>0</v>
      </c>
      <c r="AW27" s="533">
        <v>0</v>
      </c>
      <c r="AX27" s="533">
        <v>0</v>
      </c>
      <c r="AY27" s="1057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48">
        <f t="shared" si="13"/>
        <v>0</v>
      </c>
      <c r="CO27" s="1048">
        <f t="shared" si="14"/>
        <v>0</v>
      </c>
      <c r="CP27" s="1048">
        <f t="shared" si="15"/>
        <v>0</v>
      </c>
      <c r="CQ27" s="1048">
        <f t="shared" si="16"/>
        <v>0</v>
      </c>
      <c r="CR27" s="1048">
        <f t="shared" si="17"/>
        <v>0</v>
      </c>
      <c r="CS27" s="1048">
        <f t="shared" si="18"/>
        <v>0</v>
      </c>
      <c r="CT27" s="1048">
        <f t="shared" si="19"/>
        <v>0</v>
      </c>
      <c r="CU27" s="1048">
        <f t="shared" si="20"/>
        <v>0</v>
      </c>
      <c r="CV27" s="1048">
        <f t="shared" si="21"/>
        <v>0</v>
      </c>
      <c r="CW27" s="1048">
        <f t="shared" si="22"/>
        <v>0</v>
      </c>
      <c r="CX27" s="1048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7"/>
    </row>
    <row r="28" spans="1:126" s="94" customFormat="1" ht="15" customHeight="1" x14ac:dyDescent="0.25">
      <c r="A28" s="2092"/>
      <c r="B28" s="1266" t="s">
        <v>654</v>
      </c>
      <c r="C28" s="1143">
        <f t="shared" si="29"/>
        <v>0</v>
      </c>
      <c r="D28" s="534"/>
      <c r="E28" s="535">
        <f>K28+M28+O28+Q28+S28+U28+W28+Y28+AA28+AC28</f>
        <v>0</v>
      </c>
      <c r="F28" s="436"/>
      <c r="G28" s="437"/>
      <c r="H28" s="436"/>
      <c r="I28" s="437"/>
      <c r="J28" s="436"/>
      <c r="K28" s="399">
        <v>0</v>
      </c>
      <c r="L28" s="436"/>
      <c r="M28" s="399">
        <v>0</v>
      </c>
      <c r="N28" s="436"/>
      <c r="O28" s="399">
        <v>0</v>
      </c>
      <c r="P28" s="436"/>
      <c r="Q28" s="399">
        <v>0</v>
      </c>
      <c r="R28" s="436"/>
      <c r="S28" s="399">
        <v>0</v>
      </c>
      <c r="T28" s="436"/>
      <c r="U28" s="399">
        <v>0</v>
      </c>
      <c r="V28" s="436"/>
      <c r="W28" s="399">
        <v>0</v>
      </c>
      <c r="X28" s="436"/>
      <c r="Y28" s="399">
        <v>0</v>
      </c>
      <c r="Z28" s="436"/>
      <c r="AA28" s="399">
        <v>0</v>
      </c>
      <c r="AB28" s="436"/>
      <c r="AC28" s="399">
        <v>0</v>
      </c>
      <c r="AD28" s="436"/>
      <c r="AE28" s="437"/>
      <c r="AF28" s="436"/>
      <c r="AG28" s="437"/>
      <c r="AH28" s="436"/>
      <c r="AI28" s="437"/>
      <c r="AJ28" s="436"/>
      <c r="AK28" s="437"/>
      <c r="AL28" s="436"/>
      <c r="AM28" s="536"/>
      <c r="AN28" s="857"/>
      <c r="AO28" s="651">
        <v>0</v>
      </c>
      <c r="AP28" s="534"/>
      <c r="AQ28" s="399">
        <v>0</v>
      </c>
      <c r="AR28" s="534"/>
      <c r="AS28" s="399">
        <v>0</v>
      </c>
      <c r="AT28" s="533">
        <v>0</v>
      </c>
      <c r="AU28" s="533">
        <v>0</v>
      </c>
      <c r="AV28" s="533">
        <v>0</v>
      </c>
      <c r="AW28" s="533">
        <v>0</v>
      </c>
      <c r="AX28" s="438"/>
      <c r="AY28" s="1057" t="str">
        <f t="shared" si="3"/>
        <v/>
      </c>
      <c r="AZ28" s="112"/>
      <c r="BA28" s="112"/>
      <c r="CA28" s="1087"/>
      <c r="CB28" s="191" t="str">
        <f t="shared" si="5"/>
        <v/>
      </c>
      <c r="CC28" s="1087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87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87"/>
      <c r="CL28" s="107"/>
      <c r="CM28" s="107"/>
      <c r="CN28" s="1087"/>
      <c r="CO28" s="1048">
        <f t="shared" si="14"/>
        <v>0</v>
      </c>
      <c r="CP28" s="1087"/>
      <c r="CQ28" s="1048">
        <f t="shared" si="16"/>
        <v>0</v>
      </c>
      <c r="CR28" s="1087"/>
      <c r="CS28" s="1048">
        <f t="shared" si="18"/>
        <v>0</v>
      </c>
      <c r="CT28" s="1048">
        <f t="shared" si="19"/>
        <v>0</v>
      </c>
      <c r="CU28" s="1048">
        <f t="shared" si="20"/>
        <v>0</v>
      </c>
      <c r="CV28" s="1048">
        <f t="shared" si="21"/>
        <v>0</v>
      </c>
      <c r="CW28" s="1048">
        <f>IF(AND(E28&gt;0,OR(AW28="")),1,IF(AW28&gt;$E28,1,0))</f>
        <v>0</v>
      </c>
      <c r="CX28" s="108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7"/>
    </row>
    <row r="29" spans="1:126" s="94" customFormat="1" ht="15" customHeight="1" x14ac:dyDescent="0.25">
      <c r="A29" s="2093"/>
      <c r="B29" s="1265" t="s">
        <v>655</v>
      </c>
      <c r="C29" s="1147">
        <f t="shared" si="29"/>
        <v>0</v>
      </c>
      <c r="D29" s="401">
        <f t="shared" ref="D29:E36" si="31">+F29+H29+J29+L29+N29+P29+R29+T29+V29+X29+Z29+AB29+AD29+AF29+AH29+AJ29+AL29</f>
        <v>0</v>
      </c>
      <c r="E29" s="537">
        <f t="shared" si="31"/>
        <v>0</v>
      </c>
      <c r="F29" s="408">
        <v>0</v>
      </c>
      <c r="G29" s="409">
        <v>0</v>
      </c>
      <c r="H29" s="408">
        <v>0</v>
      </c>
      <c r="I29" s="409">
        <v>0</v>
      </c>
      <c r="J29" s="408">
        <v>0</v>
      </c>
      <c r="K29" s="409">
        <v>0</v>
      </c>
      <c r="L29" s="408">
        <v>0</v>
      </c>
      <c r="M29" s="409">
        <v>0</v>
      </c>
      <c r="N29" s="408">
        <v>0</v>
      </c>
      <c r="O29" s="409">
        <v>0</v>
      </c>
      <c r="P29" s="408">
        <v>0</v>
      </c>
      <c r="Q29" s="409">
        <v>0</v>
      </c>
      <c r="R29" s="408">
        <v>0</v>
      </c>
      <c r="S29" s="409">
        <v>0</v>
      </c>
      <c r="T29" s="408">
        <v>0</v>
      </c>
      <c r="U29" s="409">
        <v>0</v>
      </c>
      <c r="V29" s="408">
        <v>0</v>
      </c>
      <c r="W29" s="409">
        <v>0</v>
      </c>
      <c r="X29" s="408">
        <v>0</v>
      </c>
      <c r="Y29" s="409">
        <v>0</v>
      </c>
      <c r="Z29" s="408">
        <v>0</v>
      </c>
      <c r="AA29" s="409">
        <v>0</v>
      </c>
      <c r="AB29" s="408">
        <v>0</v>
      </c>
      <c r="AC29" s="409">
        <v>0</v>
      </c>
      <c r="AD29" s="408">
        <v>0</v>
      </c>
      <c r="AE29" s="409">
        <v>0</v>
      </c>
      <c r="AF29" s="408">
        <v>0</v>
      </c>
      <c r="AG29" s="409">
        <v>0</v>
      </c>
      <c r="AH29" s="408">
        <v>0</v>
      </c>
      <c r="AI29" s="409">
        <v>0</v>
      </c>
      <c r="AJ29" s="408">
        <v>0</v>
      </c>
      <c r="AK29" s="409">
        <v>0</v>
      </c>
      <c r="AL29" s="408">
        <v>0</v>
      </c>
      <c r="AM29" s="410">
        <v>0</v>
      </c>
      <c r="AN29" s="665">
        <v>0</v>
      </c>
      <c r="AO29" s="654">
        <v>0</v>
      </c>
      <c r="AP29" s="660">
        <v>0</v>
      </c>
      <c r="AQ29" s="409">
        <v>0</v>
      </c>
      <c r="AR29" s="660">
        <v>0</v>
      </c>
      <c r="AS29" s="409">
        <v>0</v>
      </c>
      <c r="AT29" s="538">
        <v>0</v>
      </c>
      <c r="AU29" s="538">
        <v>0</v>
      </c>
      <c r="AV29" s="538">
        <v>0</v>
      </c>
      <c r="AW29" s="538">
        <v>0</v>
      </c>
      <c r="AX29" s="538">
        <v>0</v>
      </c>
      <c r="AY29" s="1057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48">
        <f t="shared" ref="CN29:CN43" si="39">IF(AND($E29&gt;0,OR(AN29="")),1,IF(AN29&gt;$E29,1,0))</f>
        <v>0</v>
      </c>
      <c r="CO29" s="1048">
        <f t="shared" si="14"/>
        <v>0</v>
      </c>
      <c r="CP29" s="1048">
        <f t="shared" ref="CP29:CP35" si="40">IF(AND($D29&gt;0,OR(AP29="")),1,IF(AP29&gt;$D29,1,0))</f>
        <v>0</v>
      </c>
      <c r="CQ29" s="1048">
        <f t="shared" si="16"/>
        <v>0</v>
      </c>
      <c r="CR29" s="1048">
        <f t="shared" ref="CR29:CR34" si="41">IF(AND($D29&gt;0,OR(AR29="")),1,IF(AR29&gt;$D29,1,0))</f>
        <v>0</v>
      </c>
      <c r="CS29" s="1048">
        <f t="shared" si="18"/>
        <v>0</v>
      </c>
      <c r="CT29" s="1048">
        <f t="shared" si="19"/>
        <v>0</v>
      </c>
      <c r="CU29" s="1048">
        <f t="shared" si="20"/>
        <v>0</v>
      </c>
      <c r="CV29" s="1048">
        <f t="shared" si="21"/>
        <v>0</v>
      </c>
      <c r="CW29" s="1048">
        <f t="shared" ref="CW29:CW58" si="42">IF(AND(E29&gt;0,OR(AW29="")),1,IF(AW29&gt;$E29,1,0))</f>
        <v>0</v>
      </c>
      <c r="CX29" s="1048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7"/>
    </row>
    <row r="30" spans="1:126" s="94" customFormat="1" ht="15" customHeight="1" x14ac:dyDescent="0.25">
      <c r="A30" s="2091" t="s">
        <v>656</v>
      </c>
      <c r="B30" s="1262" t="s">
        <v>657</v>
      </c>
      <c r="C30" s="1146">
        <f t="shared" si="29"/>
        <v>0</v>
      </c>
      <c r="D30" s="392">
        <f t="shared" si="31"/>
        <v>0</v>
      </c>
      <c r="E30" s="539">
        <f t="shared" si="31"/>
        <v>0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0</v>
      </c>
      <c r="L30" s="394">
        <v>0</v>
      </c>
      <c r="M30" s="395">
        <v>0</v>
      </c>
      <c r="N30" s="394">
        <v>0</v>
      </c>
      <c r="O30" s="395">
        <v>0</v>
      </c>
      <c r="P30" s="394">
        <v>0</v>
      </c>
      <c r="Q30" s="395">
        <v>0</v>
      </c>
      <c r="R30" s="394">
        <v>0</v>
      </c>
      <c r="S30" s="395">
        <v>0</v>
      </c>
      <c r="T30" s="394">
        <v>0</v>
      </c>
      <c r="U30" s="395">
        <v>0</v>
      </c>
      <c r="V30" s="394">
        <v>0</v>
      </c>
      <c r="W30" s="395">
        <v>0</v>
      </c>
      <c r="X30" s="394">
        <v>0</v>
      </c>
      <c r="Y30" s="395">
        <v>0</v>
      </c>
      <c r="Z30" s="394">
        <v>0</v>
      </c>
      <c r="AA30" s="395">
        <v>0</v>
      </c>
      <c r="AB30" s="394">
        <v>0</v>
      </c>
      <c r="AC30" s="395">
        <v>0</v>
      </c>
      <c r="AD30" s="394">
        <v>0</v>
      </c>
      <c r="AE30" s="395">
        <v>0</v>
      </c>
      <c r="AF30" s="394">
        <v>0</v>
      </c>
      <c r="AG30" s="395">
        <v>0</v>
      </c>
      <c r="AH30" s="394">
        <v>0</v>
      </c>
      <c r="AI30" s="395">
        <v>0</v>
      </c>
      <c r="AJ30" s="394">
        <v>0</v>
      </c>
      <c r="AK30" s="395">
        <v>0</v>
      </c>
      <c r="AL30" s="394">
        <v>0</v>
      </c>
      <c r="AM30" s="406">
        <v>0</v>
      </c>
      <c r="AN30" s="662">
        <v>0</v>
      </c>
      <c r="AO30" s="650">
        <v>0</v>
      </c>
      <c r="AP30" s="462">
        <v>0</v>
      </c>
      <c r="AQ30" s="395">
        <v>0</v>
      </c>
      <c r="AR30" s="462">
        <v>0</v>
      </c>
      <c r="AS30" s="395">
        <v>0</v>
      </c>
      <c r="AT30" s="461">
        <v>0</v>
      </c>
      <c r="AU30" s="461">
        <v>0</v>
      </c>
      <c r="AV30" s="461">
        <v>0</v>
      </c>
      <c r="AW30" s="461">
        <v>0</v>
      </c>
      <c r="AX30" s="461">
        <v>0</v>
      </c>
      <c r="AY30" s="1057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48">
        <f t="shared" si="39"/>
        <v>0</v>
      </c>
      <c r="CO30" s="1048">
        <f t="shared" si="14"/>
        <v>0</v>
      </c>
      <c r="CP30" s="1048">
        <f t="shared" si="40"/>
        <v>0</v>
      </c>
      <c r="CQ30" s="1048">
        <f t="shared" si="16"/>
        <v>0</v>
      </c>
      <c r="CR30" s="1048">
        <f t="shared" si="41"/>
        <v>0</v>
      </c>
      <c r="CS30" s="1048">
        <f t="shared" si="18"/>
        <v>0</v>
      </c>
      <c r="CT30" s="1048">
        <f t="shared" si="19"/>
        <v>0</v>
      </c>
      <c r="CU30" s="1048">
        <f t="shared" si="20"/>
        <v>0</v>
      </c>
      <c r="CV30" s="1048">
        <f t="shared" si="21"/>
        <v>0</v>
      </c>
      <c r="CW30" s="1048">
        <f t="shared" si="42"/>
        <v>0</v>
      </c>
      <c r="CX30" s="1048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7"/>
    </row>
    <row r="31" spans="1:126" s="94" customFormat="1" ht="15" customHeight="1" x14ac:dyDescent="0.25">
      <c r="A31" s="2092"/>
      <c r="B31" s="1266" t="s">
        <v>658</v>
      </c>
      <c r="C31" s="1148">
        <f t="shared" si="29"/>
        <v>0</v>
      </c>
      <c r="D31" s="397">
        <f t="shared" si="31"/>
        <v>0</v>
      </c>
      <c r="E31" s="535">
        <f t="shared" si="31"/>
        <v>0</v>
      </c>
      <c r="F31" s="398">
        <v>0</v>
      </c>
      <c r="G31" s="399">
        <v>0</v>
      </c>
      <c r="H31" s="398">
        <v>0</v>
      </c>
      <c r="I31" s="399">
        <v>0</v>
      </c>
      <c r="J31" s="398">
        <v>0</v>
      </c>
      <c r="K31" s="399">
        <v>0</v>
      </c>
      <c r="L31" s="398">
        <v>0</v>
      </c>
      <c r="M31" s="399">
        <v>0</v>
      </c>
      <c r="N31" s="398">
        <v>0</v>
      </c>
      <c r="O31" s="399">
        <v>0</v>
      </c>
      <c r="P31" s="398">
        <v>0</v>
      </c>
      <c r="Q31" s="399">
        <v>0</v>
      </c>
      <c r="R31" s="398">
        <v>0</v>
      </c>
      <c r="S31" s="399">
        <v>0</v>
      </c>
      <c r="T31" s="398">
        <v>0</v>
      </c>
      <c r="U31" s="399">
        <v>0</v>
      </c>
      <c r="V31" s="398">
        <v>0</v>
      </c>
      <c r="W31" s="399">
        <v>0</v>
      </c>
      <c r="X31" s="398">
        <v>0</v>
      </c>
      <c r="Y31" s="399">
        <v>0</v>
      </c>
      <c r="Z31" s="398">
        <v>0</v>
      </c>
      <c r="AA31" s="399">
        <v>0</v>
      </c>
      <c r="AB31" s="398">
        <v>0</v>
      </c>
      <c r="AC31" s="399">
        <v>0</v>
      </c>
      <c r="AD31" s="398">
        <v>0</v>
      </c>
      <c r="AE31" s="399">
        <v>0</v>
      </c>
      <c r="AF31" s="398">
        <v>0</v>
      </c>
      <c r="AG31" s="399">
        <v>0</v>
      </c>
      <c r="AH31" s="398">
        <v>0</v>
      </c>
      <c r="AI31" s="399">
        <v>0</v>
      </c>
      <c r="AJ31" s="398">
        <v>0</v>
      </c>
      <c r="AK31" s="399">
        <v>0</v>
      </c>
      <c r="AL31" s="398">
        <v>0</v>
      </c>
      <c r="AM31" s="407">
        <v>0</v>
      </c>
      <c r="AN31" s="549">
        <v>0</v>
      </c>
      <c r="AO31" s="651">
        <v>0</v>
      </c>
      <c r="AP31" s="465">
        <v>0</v>
      </c>
      <c r="AQ31" s="399">
        <v>0</v>
      </c>
      <c r="AR31" s="465">
        <v>0</v>
      </c>
      <c r="AS31" s="399">
        <v>0</v>
      </c>
      <c r="AT31" s="533">
        <v>0</v>
      </c>
      <c r="AU31" s="533">
        <v>0</v>
      </c>
      <c r="AV31" s="533">
        <v>0</v>
      </c>
      <c r="AW31" s="533">
        <v>0</v>
      </c>
      <c r="AX31" s="533">
        <v>0</v>
      </c>
      <c r="AY31" s="1057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48">
        <f t="shared" si="39"/>
        <v>0</v>
      </c>
      <c r="CO31" s="1048">
        <f t="shared" si="14"/>
        <v>0</v>
      </c>
      <c r="CP31" s="1048">
        <f t="shared" si="40"/>
        <v>0</v>
      </c>
      <c r="CQ31" s="1048">
        <f t="shared" si="16"/>
        <v>0</v>
      </c>
      <c r="CR31" s="1048">
        <f t="shared" si="41"/>
        <v>0</v>
      </c>
      <c r="CS31" s="1048">
        <f t="shared" si="18"/>
        <v>0</v>
      </c>
      <c r="CT31" s="1048">
        <f t="shared" si="19"/>
        <v>0</v>
      </c>
      <c r="CU31" s="1048">
        <f t="shared" si="20"/>
        <v>0</v>
      </c>
      <c r="CV31" s="1048">
        <f t="shared" si="21"/>
        <v>0</v>
      </c>
      <c r="CW31" s="1048">
        <f t="shared" si="42"/>
        <v>0</v>
      </c>
      <c r="CX31" s="1048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7"/>
    </row>
    <row r="32" spans="1:126" s="94" customFormat="1" ht="15" customHeight="1" x14ac:dyDescent="0.25">
      <c r="A32" s="2092"/>
      <c r="B32" s="1266" t="s">
        <v>659</v>
      </c>
      <c r="C32" s="1147">
        <f t="shared" si="29"/>
        <v>0</v>
      </c>
      <c r="D32" s="401">
        <f t="shared" si="31"/>
        <v>0</v>
      </c>
      <c r="E32" s="537">
        <f t="shared" si="31"/>
        <v>0</v>
      </c>
      <c r="F32" s="408">
        <v>0</v>
      </c>
      <c r="G32" s="409">
        <v>0</v>
      </c>
      <c r="H32" s="408">
        <v>0</v>
      </c>
      <c r="I32" s="409">
        <v>0</v>
      </c>
      <c r="J32" s="408">
        <v>0</v>
      </c>
      <c r="K32" s="409">
        <v>0</v>
      </c>
      <c r="L32" s="408">
        <v>0</v>
      </c>
      <c r="M32" s="409">
        <v>0</v>
      </c>
      <c r="N32" s="408">
        <v>0</v>
      </c>
      <c r="O32" s="409">
        <v>0</v>
      </c>
      <c r="P32" s="408">
        <v>0</v>
      </c>
      <c r="Q32" s="409">
        <v>0</v>
      </c>
      <c r="R32" s="408">
        <v>0</v>
      </c>
      <c r="S32" s="409">
        <v>0</v>
      </c>
      <c r="T32" s="408">
        <v>0</v>
      </c>
      <c r="U32" s="409">
        <v>0</v>
      </c>
      <c r="V32" s="408">
        <v>0</v>
      </c>
      <c r="W32" s="409">
        <v>0</v>
      </c>
      <c r="X32" s="408">
        <v>0</v>
      </c>
      <c r="Y32" s="409">
        <v>0</v>
      </c>
      <c r="Z32" s="408">
        <v>0</v>
      </c>
      <c r="AA32" s="409">
        <v>0</v>
      </c>
      <c r="AB32" s="408">
        <v>0</v>
      </c>
      <c r="AC32" s="409">
        <v>0</v>
      </c>
      <c r="AD32" s="408">
        <v>0</v>
      </c>
      <c r="AE32" s="409">
        <v>0</v>
      </c>
      <c r="AF32" s="408">
        <v>0</v>
      </c>
      <c r="AG32" s="409">
        <v>0</v>
      </c>
      <c r="AH32" s="408">
        <v>0</v>
      </c>
      <c r="AI32" s="409">
        <v>0</v>
      </c>
      <c r="AJ32" s="408">
        <v>0</v>
      </c>
      <c r="AK32" s="409">
        <v>0</v>
      </c>
      <c r="AL32" s="408">
        <v>0</v>
      </c>
      <c r="AM32" s="410">
        <v>0</v>
      </c>
      <c r="AN32" s="665">
        <v>0</v>
      </c>
      <c r="AO32" s="654">
        <v>0</v>
      </c>
      <c r="AP32" s="660">
        <v>0</v>
      </c>
      <c r="AQ32" s="409">
        <v>0</v>
      </c>
      <c r="AR32" s="660">
        <v>0</v>
      </c>
      <c r="AS32" s="409">
        <v>0</v>
      </c>
      <c r="AT32" s="538">
        <v>0</v>
      </c>
      <c r="AU32" s="538">
        <v>0</v>
      </c>
      <c r="AV32" s="538">
        <v>0</v>
      </c>
      <c r="AW32" s="538">
        <v>0</v>
      </c>
      <c r="AX32" s="538">
        <v>0</v>
      </c>
      <c r="AY32" s="1057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48">
        <f t="shared" si="39"/>
        <v>0</v>
      </c>
      <c r="CO32" s="1048">
        <f t="shared" si="14"/>
        <v>0</v>
      </c>
      <c r="CP32" s="1048">
        <f t="shared" si="40"/>
        <v>0</v>
      </c>
      <c r="CQ32" s="1048">
        <f t="shared" si="16"/>
        <v>0</v>
      </c>
      <c r="CR32" s="1048">
        <f t="shared" si="41"/>
        <v>0</v>
      </c>
      <c r="CS32" s="1048">
        <f t="shared" si="18"/>
        <v>0</v>
      </c>
      <c r="CT32" s="1048">
        <f t="shared" si="19"/>
        <v>0</v>
      </c>
      <c r="CU32" s="1048">
        <f t="shared" si="20"/>
        <v>0</v>
      </c>
      <c r="CV32" s="1048">
        <f t="shared" si="21"/>
        <v>0</v>
      </c>
      <c r="CW32" s="1048">
        <f t="shared" si="42"/>
        <v>0</v>
      </c>
      <c r="CX32" s="1048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7"/>
    </row>
    <row r="33" spans="1:126" s="94" customFormat="1" ht="15" customHeight="1" x14ac:dyDescent="0.25">
      <c r="A33" s="2092"/>
      <c r="B33" s="1266" t="s">
        <v>660</v>
      </c>
      <c r="C33" s="1147">
        <f t="shared" si="29"/>
        <v>0</v>
      </c>
      <c r="D33" s="401">
        <f t="shared" si="31"/>
        <v>0</v>
      </c>
      <c r="E33" s="537">
        <f t="shared" si="31"/>
        <v>0</v>
      </c>
      <c r="F33" s="408">
        <v>0</v>
      </c>
      <c r="G33" s="409">
        <v>0</v>
      </c>
      <c r="H33" s="408">
        <v>0</v>
      </c>
      <c r="I33" s="409">
        <v>0</v>
      </c>
      <c r="J33" s="408">
        <v>0</v>
      </c>
      <c r="K33" s="409">
        <v>0</v>
      </c>
      <c r="L33" s="408">
        <v>0</v>
      </c>
      <c r="M33" s="409">
        <v>0</v>
      </c>
      <c r="N33" s="408">
        <v>0</v>
      </c>
      <c r="O33" s="409">
        <v>0</v>
      </c>
      <c r="P33" s="408">
        <v>0</v>
      </c>
      <c r="Q33" s="409">
        <v>0</v>
      </c>
      <c r="R33" s="408">
        <v>0</v>
      </c>
      <c r="S33" s="409">
        <v>0</v>
      </c>
      <c r="T33" s="408">
        <v>0</v>
      </c>
      <c r="U33" s="409">
        <v>0</v>
      </c>
      <c r="V33" s="408">
        <v>0</v>
      </c>
      <c r="W33" s="409">
        <v>0</v>
      </c>
      <c r="X33" s="408">
        <v>0</v>
      </c>
      <c r="Y33" s="409">
        <v>0</v>
      </c>
      <c r="Z33" s="408">
        <v>0</v>
      </c>
      <c r="AA33" s="409">
        <v>0</v>
      </c>
      <c r="AB33" s="408">
        <v>0</v>
      </c>
      <c r="AC33" s="409">
        <v>0</v>
      </c>
      <c r="AD33" s="408">
        <v>0</v>
      </c>
      <c r="AE33" s="409">
        <v>0</v>
      </c>
      <c r="AF33" s="408">
        <v>0</v>
      </c>
      <c r="AG33" s="409">
        <v>0</v>
      </c>
      <c r="AH33" s="408">
        <v>0</v>
      </c>
      <c r="AI33" s="409">
        <v>0</v>
      </c>
      <c r="AJ33" s="408">
        <v>0</v>
      </c>
      <c r="AK33" s="409">
        <v>0</v>
      </c>
      <c r="AL33" s="408">
        <v>0</v>
      </c>
      <c r="AM33" s="410">
        <v>0</v>
      </c>
      <c r="AN33" s="665">
        <v>0</v>
      </c>
      <c r="AO33" s="654">
        <v>0</v>
      </c>
      <c r="AP33" s="660">
        <v>0</v>
      </c>
      <c r="AQ33" s="409">
        <v>0</v>
      </c>
      <c r="AR33" s="660">
        <v>0</v>
      </c>
      <c r="AS33" s="409">
        <v>0</v>
      </c>
      <c r="AT33" s="538">
        <v>0</v>
      </c>
      <c r="AU33" s="538">
        <v>0</v>
      </c>
      <c r="AV33" s="538">
        <v>0</v>
      </c>
      <c r="AW33" s="538">
        <v>0</v>
      </c>
      <c r="AX33" s="538">
        <v>0</v>
      </c>
      <c r="AY33" s="1057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48">
        <f t="shared" si="39"/>
        <v>0</v>
      </c>
      <c r="CO33" s="1048">
        <f t="shared" si="14"/>
        <v>0</v>
      </c>
      <c r="CP33" s="1048">
        <f t="shared" si="40"/>
        <v>0</v>
      </c>
      <c r="CQ33" s="1048">
        <f t="shared" si="16"/>
        <v>0</v>
      </c>
      <c r="CR33" s="1048">
        <f t="shared" si="41"/>
        <v>0</v>
      </c>
      <c r="CS33" s="1048">
        <f t="shared" si="18"/>
        <v>0</v>
      </c>
      <c r="CT33" s="1048">
        <f t="shared" si="19"/>
        <v>0</v>
      </c>
      <c r="CU33" s="1048">
        <f t="shared" si="20"/>
        <v>0</v>
      </c>
      <c r="CV33" s="1048">
        <f t="shared" si="21"/>
        <v>0</v>
      </c>
      <c r="CW33" s="1048">
        <f t="shared" si="42"/>
        <v>0</v>
      </c>
      <c r="CX33" s="1048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7"/>
    </row>
    <row r="34" spans="1:126" s="94" customFormat="1" ht="15" customHeight="1" x14ac:dyDescent="0.25">
      <c r="A34" s="2093"/>
      <c r="B34" s="1265" t="s">
        <v>661</v>
      </c>
      <c r="C34" s="1144">
        <f t="shared" si="29"/>
        <v>0</v>
      </c>
      <c r="D34" s="391">
        <f t="shared" si="31"/>
        <v>0</v>
      </c>
      <c r="E34" s="532">
        <f t="shared" si="31"/>
        <v>0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0</v>
      </c>
      <c r="M34" s="404">
        <v>0</v>
      </c>
      <c r="N34" s="403">
        <v>0</v>
      </c>
      <c r="O34" s="404">
        <v>0</v>
      </c>
      <c r="P34" s="403">
        <v>0</v>
      </c>
      <c r="Q34" s="404">
        <v>0</v>
      </c>
      <c r="R34" s="403">
        <v>0</v>
      </c>
      <c r="S34" s="404">
        <v>0</v>
      </c>
      <c r="T34" s="403">
        <v>0</v>
      </c>
      <c r="U34" s="404">
        <v>0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663">
        <v>0</v>
      </c>
      <c r="AO34" s="653">
        <v>0</v>
      </c>
      <c r="AP34" s="464">
        <v>0</v>
      </c>
      <c r="AQ34" s="404">
        <v>0</v>
      </c>
      <c r="AR34" s="464">
        <v>0</v>
      </c>
      <c r="AS34" s="404">
        <v>0</v>
      </c>
      <c r="AT34" s="442">
        <v>0</v>
      </c>
      <c r="AU34" s="442">
        <v>0</v>
      </c>
      <c r="AV34" s="442">
        <v>0</v>
      </c>
      <c r="AW34" s="442">
        <v>0</v>
      </c>
      <c r="AX34" s="442">
        <v>0</v>
      </c>
      <c r="AY34" s="1057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48">
        <f t="shared" si="39"/>
        <v>0</v>
      </c>
      <c r="CO34" s="1048">
        <f t="shared" si="14"/>
        <v>0</v>
      </c>
      <c r="CP34" s="1048">
        <f t="shared" si="40"/>
        <v>0</v>
      </c>
      <c r="CQ34" s="1048">
        <f t="shared" si="16"/>
        <v>0</v>
      </c>
      <c r="CR34" s="1048">
        <f t="shared" si="41"/>
        <v>0</v>
      </c>
      <c r="CS34" s="1048">
        <f t="shared" si="18"/>
        <v>0</v>
      </c>
      <c r="CT34" s="1048">
        <f t="shared" si="19"/>
        <v>0</v>
      </c>
      <c r="CU34" s="1048">
        <f t="shared" si="20"/>
        <v>0</v>
      </c>
      <c r="CV34" s="1048">
        <f t="shared" si="21"/>
        <v>0</v>
      </c>
      <c r="CW34" s="1048">
        <f t="shared" si="42"/>
        <v>0</v>
      </c>
      <c r="CX34" s="1048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7"/>
    </row>
    <row r="35" spans="1:126" s="94" customFormat="1" ht="15" customHeight="1" x14ac:dyDescent="0.25">
      <c r="A35" s="2091" t="s">
        <v>662</v>
      </c>
      <c r="B35" s="1262" t="s">
        <v>663</v>
      </c>
      <c r="C35" s="1146">
        <f t="shared" si="29"/>
        <v>0</v>
      </c>
      <c r="D35" s="392">
        <f t="shared" si="31"/>
        <v>0</v>
      </c>
      <c r="E35" s="539">
        <f t="shared" si="31"/>
        <v>0</v>
      </c>
      <c r="F35" s="394">
        <v>0</v>
      </c>
      <c r="G35" s="395">
        <v>0</v>
      </c>
      <c r="H35" s="394">
        <v>0</v>
      </c>
      <c r="I35" s="395">
        <v>0</v>
      </c>
      <c r="J35" s="394">
        <v>0</v>
      </c>
      <c r="K35" s="395">
        <v>0</v>
      </c>
      <c r="L35" s="394">
        <v>0</v>
      </c>
      <c r="M35" s="395">
        <v>0</v>
      </c>
      <c r="N35" s="394">
        <v>0</v>
      </c>
      <c r="O35" s="395">
        <v>0</v>
      </c>
      <c r="P35" s="394">
        <v>0</v>
      </c>
      <c r="Q35" s="395">
        <v>0</v>
      </c>
      <c r="R35" s="394">
        <v>0</v>
      </c>
      <c r="S35" s="395">
        <v>0</v>
      </c>
      <c r="T35" s="394">
        <v>0</v>
      </c>
      <c r="U35" s="395">
        <v>0</v>
      </c>
      <c r="V35" s="394">
        <v>0</v>
      </c>
      <c r="W35" s="395">
        <v>0</v>
      </c>
      <c r="X35" s="394">
        <v>0</v>
      </c>
      <c r="Y35" s="395">
        <v>0</v>
      </c>
      <c r="Z35" s="394">
        <v>0</v>
      </c>
      <c r="AA35" s="395">
        <v>0</v>
      </c>
      <c r="AB35" s="394">
        <v>0</v>
      </c>
      <c r="AC35" s="395">
        <v>0</v>
      </c>
      <c r="AD35" s="394">
        <v>0</v>
      </c>
      <c r="AE35" s="395">
        <v>0</v>
      </c>
      <c r="AF35" s="394">
        <v>0</v>
      </c>
      <c r="AG35" s="395">
        <v>0</v>
      </c>
      <c r="AH35" s="394">
        <v>0</v>
      </c>
      <c r="AI35" s="395">
        <v>0</v>
      </c>
      <c r="AJ35" s="394">
        <v>0</v>
      </c>
      <c r="AK35" s="395">
        <v>0</v>
      </c>
      <c r="AL35" s="394">
        <v>0</v>
      </c>
      <c r="AM35" s="406">
        <v>0</v>
      </c>
      <c r="AN35" s="662">
        <v>0</v>
      </c>
      <c r="AO35" s="858"/>
      <c r="AP35" s="462">
        <v>0</v>
      </c>
      <c r="AQ35" s="395">
        <v>0</v>
      </c>
      <c r="AR35" s="462">
        <v>0</v>
      </c>
      <c r="AS35" s="395">
        <v>0</v>
      </c>
      <c r="AT35" s="461">
        <v>0</v>
      </c>
      <c r="AU35" s="461">
        <v>0</v>
      </c>
      <c r="AV35" s="461">
        <v>0</v>
      </c>
      <c r="AW35" s="461">
        <v>0</v>
      </c>
      <c r="AX35" s="461">
        <v>0</v>
      </c>
      <c r="AY35" s="1057" t="str">
        <f t="shared" si="3"/>
        <v/>
      </c>
      <c r="AZ35" s="112"/>
      <c r="BA35" s="112"/>
      <c r="CA35" s="191" t="str">
        <f t="shared" si="32"/>
        <v/>
      </c>
      <c r="CB35" s="1087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48">
        <f t="shared" si="39"/>
        <v>0</v>
      </c>
      <c r="CO35" s="1087"/>
      <c r="CP35" s="1048">
        <f t="shared" si="40"/>
        <v>0</v>
      </c>
      <c r="CQ35" s="1048">
        <f t="shared" ref="CQ35:CQ38" si="51">IF(AND($E35&gt;0,OR(AQ35="")),1,IF(AQ35&gt;$E35,1,0))</f>
        <v>0</v>
      </c>
      <c r="CR35" s="1048">
        <f t="shared" ref="CR35:CR38" si="52">IF(AND($D35&gt;0,OR(AR35="")),1,IF(AR35&gt;$D35,1,0))</f>
        <v>0</v>
      </c>
      <c r="CS35" s="1048">
        <f t="shared" ref="CS35:CS38" si="53">IF(AND($E35&gt;0,OR(AS35="")),1,IF(AS35&gt;$E35,1,0))</f>
        <v>0</v>
      </c>
      <c r="CT35" s="1048">
        <f t="shared" ref="CT35:CT38" si="54">IF(AND($C35&gt;0,OR(AT35="")),1,IF(AT35&gt;$C35,1,0))</f>
        <v>0</v>
      </c>
      <c r="CU35" s="1048">
        <f t="shared" ref="CU35:CU38" si="55">IF(AND($C35&gt;0,OR(AU35="")),1,IF(AU35&gt;$C35,1,0))</f>
        <v>0</v>
      </c>
      <c r="CV35" s="1048">
        <f t="shared" ref="CV35:CV38" si="56">IF(AND($C35&gt;0,OR(AV35="")),1,IF(AV35&gt;$C35,1,0))</f>
        <v>0</v>
      </c>
      <c r="CW35" s="1048">
        <f t="shared" si="42"/>
        <v>0</v>
      </c>
      <c r="CX35" s="1048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7"/>
    </row>
    <row r="36" spans="1:126" s="94" customFormat="1" ht="15" customHeight="1" x14ac:dyDescent="0.25">
      <c r="A36" s="2092"/>
      <c r="B36" s="1266" t="s">
        <v>664</v>
      </c>
      <c r="C36" s="1148">
        <f t="shared" si="29"/>
        <v>0</v>
      </c>
      <c r="D36" s="397">
        <f t="shared" si="31"/>
        <v>0</v>
      </c>
      <c r="E36" s="535">
        <f t="shared" si="31"/>
        <v>0</v>
      </c>
      <c r="F36" s="398">
        <v>0</v>
      </c>
      <c r="G36" s="399">
        <v>0</v>
      </c>
      <c r="H36" s="398">
        <v>0</v>
      </c>
      <c r="I36" s="399">
        <v>0</v>
      </c>
      <c r="J36" s="398">
        <v>0</v>
      </c>
      <c r="K36" s="399">
        <v>0</v>
      </c>
      <c r="L36" s="398">
        <v>0</v>
      </c>
      <c r="M36" s="399">
        <v>0</v>
      </c>
      <c r="N36" s="398">
        <v>0</v>
      </c>
      <c r="O36" s="465">
        <v>0</v>
      </c>
      <c r="P36" s="398">
        <v>0</v>
      </c>
      <c r="Q36" s="399">
        <v>0</v>
      </c>
      <c r="R36" s="398">
        <v>0</v>
      </c>
      <c r="S36" s="399">
        <v>0</v>
      </c>
      <c r="T36" s="398">
        <v>0</v>
      </c>
      <c r="U36" s="399">
        <v>0</v>
      </c>
      <c r="V36" s="398">
        <v>0</v>
      </c>
      <c r="W36" s="399">
        <v>0</v>
      </c>
      <c r="X36" s="398">
        <v>0</v>
      </c>
      <c r="Y36" s="399">
        <v>0</v>
      </c>
      <c r="Z36" s="398">
        <v>0</v>
      </c>
      <c r="AA36" s="399">
        <v>0</v>
      </c>
      <c r="AB36" s="398">
        <v>0</v>
      </c>
      <c r="AC36" s="399">
        <v>0</v>
      </c>
      <c r="AD36" s="398">
        <v>0</v>
      </c>
      <c r="AE36" s="399">
        <v>0</v>
      </c>
      <c r="AF36" s="398">
        <v>0</v>
      </c>
      <c r="AG36" s="399">
        <v>0</v>
      </c>
      <c r="AH36" s="398">
        <v>0</v>
      </c>
      <c r="AI36" s="399">
        <v>0</v>
      </c>
      <c r="AJ36" s="398">
        <v>0</v>
      </c>
      <c r="AK36" s="399">
        <v>0</v>
      </c>
      <c r="AL36" s="398">
        <v>0</v>
      </c>
      <c r="AM36" s="407">
        <v>0</v>
      </c>
      <c r="AN36" s="549">
        <v>0</v>
      </c>
      <c r="AO36" s="850"/>
      <c r="AP36" s="465">
        <v>0</v>
      </c>
      <c r="AQ36" s="399">
        <v>0</v>
      </c>
      <c r="AR36" s="465">
        <v>0</v>
      </c>
      <c r="AS36" s="399">
        <v>0</v>
      </c>
      <c r="AT36" s="533">
        <v>0</v>
      </c>
      <c r="AU36" s="533">
        <v>0</v>
      </c>
      <c r="AV36" s="533">
        <v>0</v>
      </c>
      <c r="AW36" s="533">
        <v>0</v>
      </c>
      <c r="AX36" s="533">
        <v>0</v>
      </c>
      <c r="AY36" s="1057" t="str">
        <f t="shared" si="3"/>
        <v/>
      </c>
      <c r="AZ36" s="112"/>
      <c r="BA36" s="112"/>
      <c r="CA36" s="191" t="str">
        <f t="shared" si="32"/>
        <v/>
      </c>
      <c r="CB36" s="1087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48">
        <f t="shared" si="39"/>
        <v>0</v>
      </c>
      <c r="CO36" s="1087"/>
      <c r="CP36" s="1048">
        <f t="shared" ref="CP36:CP38" si="57">IF(AND($D36&gt;0,OR(AP36="")),1,IF(AP36&gt;$D36,1,0))</f>
        <v>0</v>
      </c>
      <c r="CQ36" s="1048">
        <f t="shared" si="51"/>
        <v>0</v>
      </c>
      <c r="CR36" s="1048">
        <f t="shared" si="52"/>
        <v>0</v>
      </c>
      <c r="CS36" s="1048">
        <f t="shared" si="53"/>
        <v>0</v>
      </c>
      <c r="CT36" s="1048">
        <f t="shared" si="54"/>
        <v>0</v>
      </c>
      <c r="CU36" s="1048">
        <f t="shared" si="55"/>
        <v>0</v>
      </c>
      <c r="CV36" s="1048">
        <f t="shared" si="56"/>
        <v>0</v>
      </c>
      <c r="CW36" s="1048">
        <f t="shared" si="42"/>
        <v>0</v>
      </c>
      <c r="CX36" s="1048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7"/>
    </row>
    <row r="37" spans="1:126" s="94" customFormat="1" ht="15" customHeight="1" x14ac:dyDescent="0.25">
      <c r="A37" s="2092"/>
      <c r="B37" s="1266" t="s">
        <v>665</v>
      </c>
      <c r="C37" s="1143">
        <f t="shared" si="29"/>
        <v>0</v>
      </c>
      <c r="D37" s="387">
        <f>+F37+H37+J37</f>
        <v>0</v>
      </c>
      <c r="E37" s="531">
        <f>+G37+I37+K37</f>
        <v>0</v>
      </c>
      <c r="F37" s="398">
        <v>0</v>
      </c>
      <c r="G37" s="399">
        <v>0</v>
      </c>
      <c r="H37" s="398">
        <v>0</v>
      </c>
      <c r="I37" s="399">
        <v>0</v>
      </c>
      <c r="J37" s="398">
        <v>0</v>
      </c>
      <c r="K37" s="399">
        <v>0</v>
      </c>
      <c r="L37" s="436"/>
      <c r="M37" s="437"/>
      <c r="N37" s="436"/>
      <c r="O37" s="437"/>
      <c r="P37" s="436"/>
      <c r="Q37" s="437"/>
      <c r="R37" s="436"/>
      <c r="S37" s="437"/>
      <c r="T37" s="436"/>
      <c r="U37" s="437"/>
      <c r="V37" s="436"/>
      <c r="W37" s="437"/>
      <c r="X37" s="436"/>
      <c r="Y37" s="437"/>
      <c r="Z37" s="436"/>
      <c r="AA37" s="437"/>
      <c r="AB37" s="436"/>
      <c r="AC37" s="437"/>
      <c r="AD37" s="436"/>
      <c r="AE37" s="437"/>
      <c r="AF37" s="436"/>
      <c r="AG37" s="437"/>
      <c r="AH37" s="436"/>
      <c r="AI37" s="437"/>
      <c r="AJ37" s="436"/>
      <c r="AK37" s="437"/>
      <c r="AL37" s="436"/>
      <c r="AM37" s="536"/>
      <c r="AN37" s="549">
        <v>0</v>
      </c>
      <c r="AO37" s="850"/>
      <c r="AP37" s="465">
        <v>0</v>
      </c>
      <c r="AQ37" s="399">
        <v>0</v>
      </c>
      <c r="AR37" s="465">
        <v>0</v>
      </c>
      <c r="AS37" s="399">
        <v>0</v>
      </c>
      <c r="AT37" s="533">
        <v>0</v>
      </c>
      <c r="AU37" s="533">
        <v>0</v>
      </c>
      <c r="AV37" s="533">
        <v>0</v>
      </c>
      <c r="AW37" s="533">
        <v>0</v>
      </c>
      <c r="AX37" s="533">
        <v>0</v>
      </c>
      <c r="AY37" s="1057" t="str">
        <f t="shared" si="3"/>
        <v/>
      </c>
      <c r="AZ37" s="112"/>
      <c r="BA37" s="112"/>
      <c r="CA37" s="191" t="str">
        <f t="shared" si="32"/>
        <v/>
      </c>
      <c r="CB37" s="1087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48">
        <f t="shared" si="39"/>
        <v>0</v>
      </c>
      <c r="CO37" s="1087"/>
      <c r="CP37" s="1048">
        <f t="shared" si="57"/>
        <v>0</v>
      </c>
      <c r="CQ37" s="1048">
        <f t="shared" si="51"/>
        <v>0</v>
      </c>
      <c r="CR37" s="1048">
        <f t="shared" si="52"/>
        <v>0</v>
      </c>
      <c r="CS37" s="1048">
        <f t="shared" si="53"/>
        <v>0</v>
      </c>
      <c r="CT37" s="1048">
        <f t="shared" si="54"/>
        <v>0</v>
      </c>
      <c r="CU37" s="1048">
        <f t="shared" si="55"/>
        <v>0</v>
      </c>
      <c r="CV37" s="1048">
        <f t="shared" si="56"/>
        <v>0</v>
      </c>
      <c r="CW37" s="1048">
        <f t="shared" si="42"/>
        <v>0</v>
      </c>
      <c r="CX37" s="1048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7"/>
    </row>
    <row r="38" spans="1:126" s="94" customFormat="1" ht="23.25" customHeight="1" x14ac:dyDescent="0.25">
      <c r="A38" s="2093"/>
      <c r="B38" s="1265" t="s">
        <v>666</v>
      </c>
      <c r="C38" s="1144">
        <f t="shared" si="29"/>
        <v>0</v>
      </c>
      <c r="D38" s="391">
        <f>+F38+H38+J38+L38+N38</f>
        <v>0</v>
      </c>
      <c r="E38" s="532">
        <f>+G38+I38+K38+M38+O38</f>
        <v>0</v>
      </c>
      <c r="F38" s="403">
        <v>0</v>
      </c>
      <c r="G38" s="404">
        <v>0</v>
      </c>
      <c r="H38" s="403">
        <v>0</v>
      </c>
      <c r="I38" s="404">
        <v>0</v>
      </c>
      <c r="J38" s="403">
        <v>0</v>
      </c>
      <c r="K38" s="404">
        <v>0</v>
      </c>
      <c r="L38" s="403">
        <v>0</v>
      </c>
      <c r="M38" s="404">
        <v>0</v>
      </c>
      <c r="N38" s="403">
        <v>0</v>
      </c>
      <c r="O38" s="404">
        <v>0</v>
      </c>
      <c r="P38" s="439"/>
      <c r="Q38" s="440"/>
      <c r="R38" s="439"/>
      <c r="S38" s="440"/>
      <c r="T38" s="439"/>
      <c r="U38" s="440"/>
      <c r="V38" s="439"/>
      <c r="W38" s="440"/>
      <c r="X38" s="439"/>
      <c r="Y38" s="440"/>
      <c r="Z38" s="439"/>
      <c r="AA38" s="440"/>
      <c r="AB38" s="439"/>
      <c r="AC38" s="440"/>
      <c r="AD38" s="439"/>
      <c r="AE38" s="440"/>
      <c r="AF38" s="439"/>
      <c r="AG38" s="440"/>
      <c r="AH38" s="439"/>
      <c r="AI38" s="440"/>
      <c r="AJ38" s="439"/>
      <c r="AK38" s="440"/>
      <c r="AL38" s="439"/>
      <c r="AM38" s="859"/>
      <c r="AN38" s="663">
        <v>0</v>
      </c>
      <c r="AO38" s="851"/>
      <c r="AP38" s="464">
        <v>0</v>
      </c>
      <c r="AQ38" s="404">
        <v>0</v>
      </c>
      <c r="AR38" s="464">
        <v>0</v>
      </c>
      <c r="AS38" s="404">
        <v>0</v>
      </c>
      <c r="AT38" s="442">
        <v>0</v>
      </c>
      <c r="AU38" s="442">
        <v>0</v>
      </c>
      <c r="AV38" s="442">
        <v>0</v>
      </c>
      <c r="AW38" s="442">
        <v>0</v>
      </c>
      <c r="AX38" s="442">
        <v>0</v>
      </c>
      <c r="AY38" s="1057" t="str">
        <f t="shared" si="3"/>
        <v/>
      </c>
      <c r="AZ38" s="112"/>
      <c r="BA38" s="112"/>
      <c r="CA38" s="191" t="str">
        <f t="shared" si="32"/>
        <v/>
      </c>
      <c r="CB38" s="1087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48">
        <f t="shared" si="39"/>
        <v>0</v>
      </c>
      <c r="CO38" s="1087"/>
      <c r="CP38" s="1048">
        <f t="shared" si="57"/>
        <v>0</v>
      </c>
      <c r="CQ38" s="1048">
        <f t="shared" si="51"/>
        <v>0</v>
      </c>
      <c r="CR38" s="1048">
        <f t="shared" si="52"/>
        <v>0</v>
      </c>
      <c r="CS38" s="1048">
        <f t="shared" si="53"/>
        <v>0</v>
      </c>
      <c r="CT38" s="1048">
        <f t="shared" si="54"/>
        <v>0</v>
      </c>
      <c r="CU38" s="1048">
        <f t="shared" si="55"/>
        <v>0</v>
      </c>
      <c r="CV38" s="1048">
        <f t="shared" si="56"/>
        <v>0</v>
      </c>
      <c r="CW38" s="1048">
        <f t="shared" si="42"/>
        <v>0</v>
      </c>
      <c r="CX38" s="1048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7"/>
    </row>
    <row r="39" spans="1:126" s="94" customFormat="1" ht="15" customHeight="1" x14ac:dyDescent="0.25">
      <c r="A39" s="2091" t="s">
        <v>667</v>
      </c>
      <c r="B39" s="1262" t="s">
        <v>668</v>
      </c>
      <c r="C39" s="709">
        <f t="shared" si="29"/>
        <v>1</v>
      </c>
      <c r="D39" s="1068">
        <f t="shared" ref="D39:E43" si="58">SUM(F39+H39+J39+L39+N39+P39+R39+T39+V39+X39+Z39+AB39+AD39+AF39+AH39+AJ39+AL39)</f>
        <v>1</v>
      </c>
      <c r="E39" s="584">
        <f>SUM(G39+I39+K39+M39+O39+Q39+S39+U39+W39+Y39+AA39+AC39+AE39+AG39+AI39+AK39+AM39)</f>
        <v>0</v>
      </c>
      <c r="F39" s="417">
        <v>0</v>
      </c>
      <c r="G39" s="418">
        <v>0</v>
      </c>
      <c r="H39" s="417">
        <v>0</v>
      </c>
      <c r="I39" s="418">
        <v>0</v>
      </c>
      <c r="J39" s="417">
        <v>0</v>
      </c>
      <c r="K39" s="418">
        <v>0</v>
      </c>
      <c r="L39" s="398">
        <v>0</v>
      </c>
      <c r="M39" s="399">
        <v>0</v>
      </c>
      <c r="N39" s="394">
        <v>0</v>
      </c>
      <c r="O39" s="465">
        <v>0</v>
      </c>
      <c r="P39" s="398">
        <v>0</v>
      </c>
      <c r="Q39" s="465">
        <v>0</v>
      </c>
      <c r="R39" s="398">
        <v>0</v>
      </c>
      <c r="S39" s="465">
        <v>0</v>
      </c>
      <c r="T39" s="398">
        <v>0</v>
      </c>
      <c r="U39" s="465">
        <v>0</v>
      </c>
      <c r="V39" s="398">
        <v>1</v>
      </c>
      <c r="W39" s="465">
        <v>0</v>
      </c>
      <c r="X39" s="398">
        <v>0</v>
      </c>
      <c r="Y39" s="465">
        <v>0</v>
      </c>
      <c r="Z39" s="398">
        <v>0</v>
      </c>
      <c r="AA39" s="465">
        <v>0</v>
      </c>
      <c r="AB39" s="398">
        <v>0</v>
      </c>
      <c r="AC39" s="465">
        <v>0</v>
      </c>
      <c r="AD39" s="398">
        <v>0</v>
      </c>
      <c r="AE39" s="465">
        <v>0</v>
      </c>
      <c r="AF39" s="398">
        <v>0</v>
      </c>
      <c r="AG39" s="465">
        <v>0</v>
      </c>
      <c r="AH39" s="398">
        <v>0</v>
      </c>
      <c r="AI39" s="465">
        <v>0</v>
      </c>
      <c r="AJ39" s="398">
        <v>0</v>
      </c>
      <c r="AK39" s="465">
        <v>0</v>
      </c>
      <c r="AL39" s="398">
        <v>0</v>
      </c>
      <c r="AM39" s="406">
        <v>0</v>
      </c>
      <c r="AN39" s="662">
        <v>0</v>
      </c>
      <c r="AO39" s="650">
        <v>0</v>
      </c>
      <c r="AP39" s="465">
        <v>0</v>
      </c>
      <c r="AQ39" s="533">
        <v>0</v>
      </c>
      <c r="AR39" s="465">
        <v>0</v>
      </c>
      <c r="AS39" s="399">
        <v>0</v>
      </c>
      <c r="AT39" s="461">
        <v>0</v>
      </c>
      <c r="AU39" s="461">
        <v>0</v>
      </c>
      <c r="AV39" s="395">
        <v>0</v>
      </c>
      <c r="AW39" s="395">
        <v>0</v>
      </c>
      <c r="AX39" s="395">
        <v>0</v>
      </c>
      <c r="AY39" s="1057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48">
        <f t="shared" si="39"/>
        <v>0</v>
      </c>
      <c r="CO39" s="1048">
        <f t="shared" ref="CO39:CO43" si="60">IF(AND($E39&gt;0,OR(AO39="")),1,IF(AO39&gt;$E39,1,0))</f>
        <v>0</v>
      </c>
      <c r="CP39" s="1048">
        <f>IF(AND($D39&gt;0,OR(AP39="")),1,IF(AP39&gt;$D39,1,0))</f>
        <v>0</v>
      </c>
      <c r="CQ39" s="1048">
        <f>IF(AND($E39&gt;0,OR(AQ39="")),1,IF(AQ39&gt;$E39,1,0))</f>
        <v>0</v>
      </c>
      <c r="CR39" s="1048">
        <f>IF(AND($D39&gt;0,OR(AR39="")),1,IF(AR39&gt;$D39,1,0))</f>
        <v>0</v>
      </c>
      <c r="CS39" s="1048">
        <f>IF(AND($E39&gt;0,OR(AS39="")),1,IF(AS39&gt;$E39,1,0))</f>
        <v>0</v>
      </c>
      <c r="CT39" s="1048">
        <f t="shared" ref="CT39:CV40" si="61">IF(AND($C39&gt;0,OR(AT39="")),1,IF(AT39&gt;$C39,1,0))</f>
        <v>0</v>
      </c>
      <c r="CU39" s="1048">
        <f t="shared" si="61"/>
        <v>0</v>
      </c>
      <c r="CV39" s="1048">
        <f t="shared" si="61"/>
        <v>0</v>
      </c>
      <c r="CW39" s="1048">
        <f t="shared" si="42"/>
        <v>0</v>
      </c>
      <c r="CX39" s="1048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7"/>
    </row>
    <row r="40" spans="1:126" s="94" customFormat="1" ht="15" customHeight="1" x14ac:dyDescent="0.25">
      <c r="A40" s="2092"/>
      <c r="B40" s="1266" t="s">
        <v>669</v>
      </c>
      <c r="C40" s="709">
        <f t="shared" si="29"/>
        <v>0</v>
      </c>
      <c r="D40" s="1068">
        <f t="shared" si="58"/>
        <v>0</v>
      </c>
      <c r="E40" s="584">
        <f>SUM(G40+I40+K40+M40+O40+Q40+S40+U40+W40+Y40+AA40+AC40+AE40+AG40+AI40+AK40+AM40)</f>
        <v>0</v>
      </c>
      <c r="F40" s="398">
        <v>0</v>
      </c>
      <c r="G40" s="399">
        <v>0</v>
      </c>
      <c r="H40" s="398">
        <v>0</v>
      </c>
      <c r="I40" s="399">
        <v>0</v>
      </c>
      <c r="J40" s="398">
        <v>0</v>
      </c>
      <c r="K40" s="399">
        <v>0</v>
      </c>
      <c r="L40" s="398">
        <v>0</v>
      </c>
      <c r="M40" s="399">
        <v>0</v>
      </c>
      <c r="N40" s="398">
        <v>0</v>
      </c>
      <c r="O40" s="465">
        <v>0</v>
      </c>
      <c r="P40" s="398">
        <v>0</v>
      </c>
      <c r="Q40" s="465">
        <v>0</v>
      </c>
      <c r="R40" s="398">
        <v>0</v>
      </c>
      <c r="S40" s="465">
        <v>0</v>
      </c>
      <c r="T40" s="398">
        <v>0</v>
      </c>
      <c r="U40" s="465">
        <v>0</v>
      </c>
      <c r="V40" s="398">
        <v>0</v>
      </c>
      <c r="W40" s="465">
        <v>0</v>
      </c>
      <c r="X40" s="398">
        <v>0</v>
      </c>
      <c r="Y40" s="465">
        <v>0</v>
      </c>
      <c r="Z40" s="398">
        <v>0</v>
      </c>
      <c r="AA40" s="465">
        <v>0</v>
      </c>
      <c r="AB40" s="398">
        <v>0</v>
      </c>
      <c r="AC40" s="465">
        <v>0</v>
      </c>
      <c r="AD40" s="398">
        <v>0</v>
      </c>
      <c r="AE40" s="465">
        <v>0</v>
      </c>
      <c r="AF40" s="398">
        <v>0</v>
      </c>
      <c r="AG40" s="465">
        <v>0</v>
      </c>
      <c r="AH40" s="398">
        <v>0</v>
      </c>
      <c r="AI40" s="465">
        <v>0</v>
      </c>
      <c r="AJ40" s="398">
        <v>0</v>
      </c>
      <c r="AK40" s="465">
        <v>0</v>
      </c>
      <c r="AL40" s="398">
        <v>0</v>
      </c>
      <c r="AM40" s="407">
        <v>0</v>
      </c>
      <c r="AN40" s="549">
        <v>0</v>
      </c>
      <c r="AO40" s="651">
        <v>0</v>
      </c>
      <c r="AP40" s="465">
        <v>0</v>
      </c>
      <c r="AQ40" s="533">
        <v>0</v>
      </c>
      <c r="AR40" s="465">
        <v>0</v>
      </c>
      <c r="AS40" s="399">
        <v>0</v>
      </c>
      <c r="AT40" s="533">
        <v>0</v>
      </c>
      <c r="AU40" s="533">
        <v>0</v>
      </c>
      <c r="AV40" s="399">
        <v>0</v>
      </c>
      <c r="AW40" s="399">
        <v>0</v>
      </c>
      <c r="AX40" s="399">
        <v>0</v>
      </c>
      <c r="AY40" s="1057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48">
        <f t="shared" si="39"/>
        <v>0</v>
      </c>
      <c r="CO40" s="1048">
        <f t="shared" si="60"/>
        <v>0</v>
      </c>
      <c r="CP40" s="1048">
        <f>IF(AND($D40&gt;0,OR(AP40="")),1,IF(AP40&gt;$D40,1,0))</f>
        <v>0</v>
      </c>
      <c r="CQ40" s="1048">
        <f>IF(AND($E40&gt;0,OR(AQ40="")),1,IF(AQ40&gt;$E40,1,0))</f>
        <v>0</v>
      </c>
      <c r="CR40" s="1048">
        <f>IF(AND($D40&gt;0,OR(AR40="")),1,IF(AR40&gt;$D40,1,0))</f>
        <v>0</v>
      </c>
      <c r="CS40" s="1048">
        <f>IF(AND($E40&gt;0,OR(AS40="")),1,IF(AS40&gt;$E40,1,0))</f>
        <v>0</v>
      </c>
      <c r="CT40" s="1048">
        <f t="shared" si="61"/>
        <v>0</v>
      </c>
      <c r="CU40" s="1048">
        <f t="shared" si="61"/>
        <v>0</v>
      </c>
      <c r="CV40" s="1048">
        <f t="shared" si="61"/>
        <v>0</v>
      </c>
      <c r="CW40" s="1048">
        <f t="shared" si="42"/>
        <v>0</v>
      </c>
      <c r="CX40" s="1048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7"/>
    </row>
    <row r="41" spans="1:126" s="94" customFormat="1" ht="15" customHeight="1" x14ac:dyDescent="0.25">
      <c r="A41" s="2092"/>
      <c r="B41" s="1266" t="s">
        <v>670</v>
      </c>
      <c r="C41" s="710">
        <f t="shared" si="29"/>
        <v>0</v>
      </c>
      <c r="D41" s="1069">
        <f>SUM(F41+H41+J41+L41+N41+P41+R41+T41+V41+X41+Z41+AB41+AD41+AF41+AH41+AJ41+AL41)</f>
        <v>0</v>
      </c>
      <c r="E41" s="585">
        <f t="shared" si="58"/>
        <v>0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465">
        <v>0</v>
      </c>
      <c r="P41" s="398">
        <v>0</v>
      </c>
      <c r="Q41" s="465">
        <v>0</v>
      </c>
      <c r="R41" s="398">
        <v>0</v>
      </c>
      <c r="S41" s="465">
        <v>0</v>
      </c>
      <c r="T41" s="398">
        <v>0</v>
      </c>
      <c r="U41" s="465">
        <v>0</v>
      </c>
      <c r="V41" s="398">
        <v>0</v>
      </c>
      <c r="W41" s="465">
        <v>0</v>
      </c>
      <c r="X41" s="398">
        <v>0</v>
      </c>
      <c r="Y41" s="465">
        <v>0</v>
      </c>
      <c r="Z41" s="398">
        <v>0</v>
      </c>
      <c r="AA41" s="465">
        <v>0</v>
      </c>
      <c r="AB41" s="398">
        <v>0</v>
      </c>
      <c r="AC41" s="465">
        <v>0</v>
      </c>
      <c r="AD41" s="398">
        <v>0</v>
      </c>
      <c r="AE41" s="465">
        <v>0</v>
      </c>
      <c r="AF41" s="398">
        <v>0</v>
      </c>
      <c r="AG41" s="465">
        <v>0</v>
      </c>
      <c r="AH41" s="398">
        <v>0</v>
      </c>
      <c r="AI41" s="465">
        <v>0</v>
      </c>
      <c r="AJ41" s="398">
        <v>0</v>
      </c>
      <c r="AK41" s="465">
        <v>0</v>
      </c>
      <c r="AL41" s="398">
        <v>0</v>
      </c>
      <c r="AM41" s="407">
        <v>0</v>
      </c>
      <c r="AN41" s="549">
        <v>0</v>
      </c>
      <c r="AO41" s="651">
        <v>0</v>
      </c>
      <c r="AP41" s="465">
        <v>0</v>
      </c>
      <c r="AQ41" s="533">
        <v>0</v>
      </c>
      <c r="AR41" s="465">
        <v>0</v>
      </c>
      <c r="AS41" s="399">
        <v>0</v>
      </c>
      <c r="AT41" s="533">
        <v>0</v>
      </c>
      <c r="AU41" s="533">
        <v>0</v>
      </c>
      <c r="AV41" s="399">
        <v>0</v>
      </c>
      <c r="AW41" s="399">
        <v>0</v>
      </c>
      <c r="AX41" s="399">
        <v>0</v>
      </c>
      <c r="AY41" s="1057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48">
        <f t="shared" si="39"/>
        <v>0</v>
      </c>
      <c r="CO41" s="1048">
        <f t="shared" si="60"/>
        <v>0</v>
      </c>
      <c r="CP41" s="1048">
        <f t="shared" ref="CP41:CP58" si="73">IF(AND($D41&gt;0,OR(AP41="")),1,IF(AP41&gt;$D41,1,0))</f>
        <v>0</v>
      </c>
      <c r="CQ41" s="1048">
        <f t="shared" ref="CQ41:CQ58" si="74">IF(AND($E41&gt;0,OR(AQ41="")),1,IF(AQ41&gt;$E41,1,0))</f>
        <v>0</v>
      </c>
      <c r="CR41" s="1048">
        <f t="shared" ref="CR41:CR58" si="75">IF(AND($D41&gt;0,OR(AR41="")),1,IF(AR41&gt;$D41,1,0))</f>
        <v>0</v>
      </c>
      <c r="CS41" s="1048">
        <f t="shared" ref="CS41:CS58" si="76">IF(AND($E41&gt;0,OR(AS41="")),1,IF(AS41&gt;$E41,1,0))</f>
        <v>0</v>
      </c>
      <c r="CT41" s="1048">
        <f t="shared" ref="CT41:CT58" si="77">IF(AND($C41&gt;0,OR(AT41="")),1,IF(AT41&gt;$C41,1,0))</f>
        <v>0</v>
      </c>
      <c r="CU41" s="1048">
        <f t="shared" ref="CU41:CU58" si="78">IF(AND($C41&gt;0,OR(AU41="")),1,IF(AU41&gt;$C41,1,0))</f>
        <v>0</v>
      </c>
      <c r="CV41" s="1048">
        <f t="shared" ref="CV41:CV58" si="79">IF(AND($C41&gt;0,OR(AV41="")),1,IF(AV41&gt;$C41,1,0))</f>
        <v>0</v>
      </c>
      <c r="CW41" s="1048">
        <f t="shared" si="42"/>
        <v>0</v>
      </c>
      <c r="CX41" s="1048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7"/>
    </row>
    <row r="42" spans="1:126" s="94" customFormat="1" ht="15" customHeight="1" x14ac:dyDescent="0.25">
      <c r="A42" s="2092"/>
      <c r="B42" s="1266" t="s">
        <v>671</v>
      </c>
      <c r="C42" s="709">
        <f t="shared" si="29"/>
        <v>0</v>
      </c>
      <c r="D42" s="1068">
        <f t="shared" si="58"/>
        <v>0</v>
      </c>
      <c r="E42" s="584">
        <f t="shared" si="58"/>
        <v>0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465">
        <v>0</v>
      </c>
      <c r="P42" s="398">
        <v>0</v>
      </c>
      <c r="Q42" s="465">
        <v>0</v>
      </c>
      <c r="R42" s="398">
        <v>0</v>
      </c>
      <c r="S42" s="465">
        <v>0</v>
      </c>
      <c r="T42" s="398">
        <v>0</v>
      </c>
      <c r="U42" s="465">
        <v>0</v>
      </c>
      <c r="V42" s="398">
        <v>0</v>
      </c>
      <c r="W42" s="465">
        <v>0</v>
      </c>
      <c r="X42" s="398">
        <v>0</v>
      </c>
      <c r="Y42" s="465">
        <v>0</v>
      </c>
      <c r="Z42" s="398">
        <v>0</v>
      </c>
      <c r="AA42" s="465">
        <v>0</v>
      </c>
      <c r="AB42" s="398">
        <v>0</v>
      </c>
      <c r="AC42" s="465">
        <v>0</v>
      </c>
      <c r="AD42" s="398">
        <v>0</v>
      </c>
      <c r="AE42" s="465">
        <v>0</v>
      </c>
      <c r="AF42" s="398">
        <v>0</v>
      </c>
      <c r="AG42" s="465">
        <v>0</v>
      </c>
      <c r="AH42" s="398">
        <v>0</v>
      </c>
      <c r="AI42" s="465">
        <v>0</v>
      </c>
      <c r="AJ42" s="398">
        <v>0</v>
      </c>
      <c r="AK42" s="465">
        <v>0</v>
      </c>
      <c r="AL42" s="398">
        <v>0</v>
      </c>
      <c r="AM42" s="407">
        <v>0</v>
      </c>
      <c r="AN42" s="549">
        <v>0</v>
      </c>
      <c r="AO42" s="651">
        <v>0</v>
      </c>
      <c r="AP42" s="465">
        <v>0</v>
      </c>
      <c r="AQ42" s="533">
        <v>0</v>
      </c>
      <c r="AR42" s="465">
        <v>0</v>
      </c>
      <c r="AS42" s="399">
        <v>0</v>
      </c>
      <c r="AT42" s="533">
        <v>0</v>
      </c>
      <c r="AU42" s="533">
        <v>0</v>
      </c>
      <c r="AV42" s="399">
        <v>0</v>
      </c>
      <c r="AW42" s="399">
        <v>0</v>
      </c>
      <c r="AX42" s="399">
        <v>0</v>
      </c>
      <c r="AY42" s="1057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48">
        <f t="shared" si="39"/>
        <v>0</v>
      </c>
      <c r="CO42" s="1048">
        <f t="shared" si="60"/>
        <v>0</v>
      </c>
      <c r="CP42" s="1048">
        <f t="shared" si="73"/>
        <v>0</v>
      </c>
      <c r="CQ42" s="1048">
        <f t="shared" si="74"/>
        <v>0</v>
      </c>
      <c r="CR42" s="1048">
        <f t="shared" si="75"/>
        <v>0</v>
      </c>
      <c r="CS42" s="1048">
        <f t="shared" si="76"/>
        <v>0</v>
      </c>
      <c r="CT42" s="1048">
        <f t="shared" si="77"/>
        <v>0</v>
      </c>
      <c r="CU42" s="1048">
        <f t="shared" si="78"/>
        <v>0</v>
      </c>
      <c r="CV42" s="1048">
        <f t="shared" si="79"/>
        <v>0</v>
      </c>
      <c r="CW42" s="1048">
        <f t="shared" si="42"/>
        <v>0</v>
      </c>
      <c r="CX42" s="1048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7"/>
    </row>
    <row r="43" spans="1:126" s="94" customFormat="1" ht="15" customHeight="1" x14ac:dyDescent="0.25">
      <c r="A43" s="2093"/>
      <c r="B43" s="1265" t="s">
        <v>672</v>
      </c>
      <c r="C43" s="1307">
        <f t="shared" si="29"/>
        <v>2</v>
      </c>
      <c r="D43" s="1070">
        <f t="shared" si="58"/>
        <v>1</v>
      </c>
      <c r="E43" s="586">
        <f t="shared" si="58"/>
        <v>1</v>
      </c>
      <c r="F43" s="398">
        <v>0</v>
      </c>
      <c r="G43" s="399">
        <v>0</v>
      </c>
      <c r="H43" s="398">
        <v>0</v>
      </c>
      <c r="I43" s="399">
        <v>0</v>
      </c>
      <c r="J43" s="398">
        <v>0</v>
      </c>
      <c r="K43" s="399">
        <v>0</v>
      </c>
      <c r="L43" s="398">
        <v>1</v>
      </c>
      <c r="M43" s="399">
        <v>0</v>
      </c>
      <c r="N43" s="403">
        <v>0</v>
      </c>
      <c r="O43" s="465">
        <v>0</v>
      </c>
      <c r="P43" s="398">
        <v>0</v>
      </c>
      <c r="Q43" s="465">
        <v>0</v>
      </c>
      <c r="R43" s="398">
        <v>0</v>
      </c>
      <c r="S43" s="465">
        <v>0</v>
      </c>
      <c r="T43" s="398">
        <v>0</v>
      </c>
      <c r="U43" s="465">
        <v>0</v>
      </c>
      <c r="V43" s="398">
        <v>0</v>
      </c>
      <c r="W43" s="465">
        <v>0</v>
      </c>
      <c r="X43" s="398">
        <v>0</v>
      </c>
      <c r="Y43" s="465">
        <v>1</v>
      </c>
      <c r="Z43" s="398">
        <v>0</v>
      </c>
      <c r="AA43" s="465">
        <v>0</v>
      </c>
      <c r="AB43" s="398">
        <v>0</v>
      </c>
      <c r="AC43" s="465">
        <v>0</v>
      </c>
      <c r="AD43" s="398">
        <v>0</v>
      </c>
      <c r="AE43" s="465">
        <v>0</v>
      </c>
      <c r="AF43" s="398">
        <v>0</v>
      </c>
      <c r="AG43" s="465">
        <v>0</v>
      </c>
      <c r="AH43" s="398">
        <v>0</v>
      </c>
      <c r="AI43" s="465">
        <v>0</v>
      </c>
      <c r="AJ43" s="398">
        <v>0</v>
      </c>
      <c r="AK43" s="465">
        <v>0</v>
      </c>
      <c r="AL43" s="398">
        <v>0</v>
      </c>
      <c r="AM43" s="431">
        <v>0</v>
      </c>
      <c r="AN43" s="663">
        <v>0</v>
      </c>
      <c r="AO43" s="653">
        <v>0</v>
      </c>
      <c r="AP43" s="464">
        <v>0</v>
      </c>
      <c r="AQ43" s="404">
        <v>0</v>
      </c>
      <c r="AR43" s="464">
        <v>0</v>
      </c>
      <c r="AS43" s="404">
        <v>0</v>
      </c>
      <c r="AT43" s="442">
        <v>0</v>
      </c>
      <c r="AU43" s="442">
        <v>0</v>
      </c>
      <c r="AV43" s="404">
        <v>0</v>
      </c>
      <c r="AW43" s="404">
        <v>0</v>
      </c>
      <c r="AX43" s="404">
        <v>0</v>
      </c>
      <c r="AY43" s="1057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48">
        <f t="shared" si="39"/>
        <v>0</v>
      </c>
      <c r="CO43" s="1048">
        <f t="shared" si="60"/>
        <v>0</v>
      </c>
      <c r="CP43" s="1048">
        <f t="shared" si="73"/>
        <v>0</v>
      </c>
      <c r="CQ43" s="1048">
        <f t="shared" si="74"/>
        <v>0</v>
      </c>
      <c r="CR43" s="1048">
        <f t="shared" si="75"/>
        <v>0</v>
      </c>
      <c r="CS43" s="1048">
        <f t="shared" si="76"/>
        <v>0</v>
      </c>
      <c r="CT43" s="1048">
        <f t="shared" si="77"/>
        <v>0</v>
      </c>
      <c r="CU43" s="1048">
        <f t="shared" si="78"/>
        <v>0</v>
      </c>
      <c r="CV43" s="1048">
        <f t="shared" si="79"/>
        <v>0</v>
      </c>
      <c r="CW43" s="1048">
        <f t="shared" si="42"/>
        <v>0</v>
      </c>
      <c r="CX43" s="1048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7"/>
    </row>
    <row r="44" spans="1:126" s="94" customFormat="1" ht="15" customHeight="1" x14ac:dyDescent="0.25">
      <c r="A44" s="2091" t="s">
        <v>673</v>
      </c>
      <c r="B44" s="1262" t="s">
        <v>287</v>
      </c>
      <c r="C44" s="1146">
        <f t="shared" si="29"/>
        <v>0</v>
      </c>
      <c r="D44" s="392">
        <f t="shared" ref="D44:D58" si="80">+F44+H44+J44+L44+N44+P44+R44+T44+V44+X44+Z44+AB44+AD44+AF44+AH44+AJ44+AL44</f>
        <v>0</v>
      </c>
      <c r="E44" s="539">
        <f t="shared" ref="E44:E58" si="81">+G44+I44+K44+M44+O44+Q44+S44+U44+W44+Y44+AA44+AC44+AE44+AG44+AI44+AK44+AM44</f>
        <v>0</v>
      </c>
      <c r="F44" s="1040">
        <v>0</v>
      </c>
      <c r="G44" s="1041">
        <v>0</v>
      </c>
      <c r="H44" s="1040">
        <v>0</v>
      </c>
      <c r="I44" s="1041">
        <v>0</v>
      </c>
      <c r="J44" s="1040">
        <v>0</v>
      </c>
      <c r="K44" s="1041">
        <v>0</v>
      </c>
      <c r="L44" s="1040">
        <v>0</v>
      </c>
      <c r="M44" s="1041">
        <v>0</v>
      </c>
      <c r="N44" s="1040">
        <v>0</v>
      </c>
      <c r="O44" s="1041">
        <v>0</v>
      </c>
      <c r="P44" s="1040">
        <v>0</v>
      </c>
      <c r="Q44" s="1041">
        <v>0</v>
      </c>
      <c r="R44" s="394">
        <v>0</v>
      </c>
      <c r="S44" s="395">
        <v>0</v>
      </c>
      <c r="T44" s="394">
        <v>0</v>
      </c>
      <c r="U44" s="395">
        <v>0</v>
      </c>
      <c r="V44" s="394">
        <v>0</v>
      </c>
      <c r="W44" s="395">
        <v>0</v>
      </c>
      <c r="X44" s="394">
        <v>0</v>
      </c>
      <c r="Y44" s="395">
        <v>0</v>
      </c>
      <c r="Z44" s="394">
        <v>0</v>
      </c>
      <c r="AA44" s="395">
        <v>0</v>
      </c>
      <c r="AB44" s="394">
        <v>0</v>
      </c>
      <c r="AC44" s="395">
        <v>0</v>
      </c>
      <c r="AD44" s="394">
        <v>0</v>
      </c>
      <c r="AE44" s="395">
        <v>0</v>
      </c>
      <c r="AF44" s="394">
        <v>0</v>
      </c>
      <c r="AG44" s="395">
        <v>0</v>
      </c>
      <c r="AH44" s="394">
        <v>0</v>
      </c>
      <c r="AI44" s="395">
        <v>0</v>
      </c>
      <c r="AJ44" s="394">
        <v>0</v>
      </c>
      <c r="AK44" s="395">
        <v>0</v>
      </c>
      <c r="AL44" s="394">
        <v>0</v>
      </c>
      <c r="AM44" s="406">
        <v>0</v>
      </c>
      <c r="AN44" s="860"/>
      <c r="AO44" s="861"/>
      <c r="AP44" s="394">
        <v>0</v>
      </c>
      <c r="AQ44" s="461">
        <v>0</v>
      </c>
      <c r="AR44" s="462">
        <v>0</v>
      </c>
      <c r="AS44" s="395">
        <v>0</v>
      </c>
      <c r="AT44" s="435"/>
      <c r="AU44" s="435"/>
      <c r="AV44" s="395">
        <v>0</v>
      </c>
      <c r="AW44" s="395">
        <v>0</v>
      </c>
      <c r="AX44" s="395">
        <v>0</v>
      </c>
      <c r="AY44" s="1057" t="str">
        <f t="shared" si="3"/>
        <v/>
      </c>
      <c r="AZ44" s="112"/>
      <c r="BA44" s="112"/>
      <c r="CA44" s="1087"/>
      <c r="CB44" s="1087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87"/>
      <c r="CH44" s="1087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87"/>
      <c r="CO44" s="1087"/>
      <c r="CP44" s="1048">
        <f t="shared" si="73"/>
        <v>0</v>
      </c>
      <c r="CQ44" s="1048">
        <f t="shared" si="74"/>
        <v>0</v>
      </c>
      <c r="CR44" s="1048">
        <f t="shared" si="75"/>
        <v>0</v>
      </c>
      <c r="CS44" s="1048">
        <f t="shared" si="76"/>
        <v>0</v>
      </c>
      <c r="CT44" s="1087"/>
      <c r="CU44" s="1087"/>
      <c r="CV44" s="1048">
        <f t="shared" si="79"/>
        <v>0</v>
      </c>
      <c r="CW44" s="1048">
        <f t="shared" si="42"/>
        <v>0</v>
      </c>
      <c r="CX44" s="1048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7"/>
    </row>
    <row r="45" spans="1:126" s="94" customFormat="1" ht="15" customHeight="1" x14ac:dyDescent="0.25">
      <c r="A45" s="2092"/>
      <c r="B45" s="1266" t="s">
        <v>288</v>
      </c>
      <c r="C45" s="1143">
        <f t="shared" si="29"/>
        <v>0</v>
      </c>
      <c r="D45" s="387">
        <f t="shared" si="80"/>
        <v>0</v>
      </c>
      <c r="E45" s="531">
        <f t="shared" si="81"/>
        <v>0</v>
      </c>
      <c r="F45" s="1042">
        <v>0</v>
      </c>
      <c r="G45" s="1043">
        <v>0</v>
      </c>
      <c r="H45" s="1042">
        <v>0</v>
      </c>
      <c r="I45" s="1043">
        <v>0</v>
      </c>
      <c r="J45" s="1042">
        <v>0</v>
      </c>
      <c r="K45" s="1043">
        <v>0</v>
      </c>
      <c r="L45" s="1042">
        <v>0</v>
      </c>
      <c r="M45" s="1043">
        <v>0</v>
      </c>
      <c r="N45" s="1042">
        <v>0</v>
      </c>
      <c r="O45" s="1043">
        <v>0</v>
      </c>
      <c r="P45" s="1042">
        <v>0</v>
      </c>
      <c r="Q45" s="1043">
        <v>0</v>
      </c>
      <c r="R45" s="417">
        <v>0</v>
      </c>
      <c r="S45" s="418">
        <v>0</v>
      </c>
      <c r="T45" s="417">
        <v>0</v>
      </c>
      <c r="U45" s="418">
        <v>0</v>
      </c>
      <c r="V45" s="417">
        <v>0</v>
      </c>
      <c r="W45" s="418">
        <v>0</v>
      </c>
      <c r="X45" s="417">
        <v>0</v>
      </c>
      <c r="Y45" s="418">
        <v>0</v>
      </c>
      <c r="Z45" s="417">
        <v>0</v>
      </c>
      <c r="AA45" s="418">
        <v>0</v>
      </c>
      <c r="AB45" s="417">
        <v>0</v>
      </c>
      <c r="AC45" s="418">
        <v>0</v>
      </c>
      <c r="AD45" s="417">
        <v>0</v>
      </c>
      <c r="AE45" s="418">
        <v>0</v>
      </c>
      <c r="AF45" s="417">
        <v>0</v>
      </c>
      <c r="AG45" s="418">
        <v>0</v>
      </c>
      <c r="AH45" s="417">
        <v>0</v>
      </c>
      <c r="AI45" s="418">
        <v>0</v>
      </c>
      <c r="AJ45" s="417">
        <v>0</v>
      </c>
      <c r="AK45" s="418">
        <v>0</v>
      </c>
      <c r="AL45" s="417">
        <v>0</v>
      </c>
      <c r="AM45" s="419">
        <v>0</v>
      </c>
      <c r="AN45" s="862"/>
      <c r="AO45" s="854"/>
      <c r="AP45" s="398">
        <v>0</v>
      </c>
      <c r="AQ45" s="533">
        <v>0</v>
      </c>
      <c r="AR45" s="1037">
        <v>0</v>
      </c>
      <c r="AS45" s="399">
        <v>0</v>
      </c>
      <c r="AT45" s="546"/>
      <c r="AU45" s="546"/>
      <c r="AV45" s="417">
        <v>0</v>
      </c>
      <c r="AW45" s="417">
        <v>0</v>
      </c>
      <c r="AX45" s="656">
        <v>0</v>
      </c>
      <c r="AY45" s="1057" t="str">
        <f t="shared" si="3"/>
        <v/>
      </c>
      <c r="AZ45" s="112"/>
      <c r="BA45" s="112"/>
      <c r="CA45" s="1087"/>
      <c r="CB45" s="1087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87"/>
      <c r="CH45" s="1087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87"/>
      <c r="CO45" s="1087"/>
      <c r="CP45" s="1048">
        <f t="shared" si="73"/>
        <v>0</v>
      </c>
      <c r="CQ45" s="1048">
        <f t="shared" si="74"/>
        <v>0</v>
      </c>
      <c r="CR45" s="1048">
        <f t="shared" si="75"/>
        <v>0</v>
      </c>
      <c r="CS45" s="1048">
        <f t="shared" si="76"/>
        <v>0</v>
      </c>
      <c r="CT45" s="1087"/>
      <c r="CU45" s="1087"/>
      <c r="CV45" s="1048">
        <f t="shared" si="79"/>
        <v>0</v>
      </c>
      <c r="CW45" s="1048">
        <f t="shared" si="42"/>
        <v>0</v>
      </c>
      <c r="CX45" s="1048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7"/>
    </row>
    <row r="46" spans="1:126" s="94" customFormat="1" ht="15" customHeight="1" x14ac:dyDescent="0.25">
      <c r="A46" s="2093"/>
      <c r="B46" s="1265" t="s">
        <v>674</v>
      </c>
      <c r="C46" s="1145">
        <f t="shared" si="29"/>
        <v>0</v>
      </c>
      <c r="D46" s="540">
        <f t="shared" si="80"/>
        <v>0</v>
      </c>
      <c r="E46" s="541">
        <f t="shared" si="81"/>
        <v>0</v>
      </c>
      <c r="F46" s="1044">
        <v>0</v>
      </c>
      <c r="G46" s="1045">
        <v>0</v>
      </c>
      <c r="H46" s="1044">
        <v>0</v>
      </c>
      <c r="I46" s="1045">
        <v>0</v>
      </c>
      <c r="J46" s="1044">
        <v>0</v>
      </c>
      <c r="K46" s="1045">
        <v>0</v>
      </c>
      <c r="L46" s="1044">
        <v>0</v>
      </c>
      <c r="M46" s="1045">
        <v>0</v>
      </c>
      <c r="N46" s="1044">
        <v>0</v>
      </c>
      <c r="O46" s="1045">
        <v>0</v>
      </c>
      <c r="P46" s="1044">
        <v>0</v>
      </c>
      <c r="Q46" s="1045">
        <v>0</v>
      </c>
      <c r="R46" s="413">
        <v>0</v>
      </c>
      <c r="S46" s="414">
        <v>0</v>
      </c>
      <c r="T46" s="413">
        <v>0</v>
      </c>
      <c r="U46" s="414">
        <v>0</v>
      </c>
      <c r="V46" s="413">
        <v>0</v>
      </c>
      <c r="W46" s="414">
        <v>0</v>
      </c>
      <c r="X46" s="413">
        <v>0</v>
      </c>
      <c r="Y46" s="414">
        <v>0</v>
      </c>
      <c r="Z46" s="413">
        <v>0</v>
      </c>
      <c r="AA46" s="414">
        <v>0</v>
      </c>
      <c r="AB46" s="413">
        <v>0</v>
      </c>
      <c r="AC46" s="414">
        <v>0</v>
      </c>
      <c r="AD46" s="413">
        <v>0</v>
      </c>
      <c r="AE46" s="414">
        <v>0</v>
      </c>
      <c r="AF46" s="413">
        <v>0</v>
      </c>
      <c r="AG46" s="414">
        <v>0</v>
      </c>
      <c r="AH46" s="413">
        <v>0</v>
      </c>
      <c r="AI46" s="414">
        <v>0</v>
      </c>
      <c r="AJ46" s="413">
        <v>0</v>
      </c>
      <c r="AK46" s="414">
        <v>0</v>
      </c>
      <c r="AL46" s="413">
        <v>0</v>
      </c>
      <c r="AM46" s="415">
        <v>0</v>
      </c>
      <c r="AN46" s="863"/>
      <c r="AO46" s="864"/>
      <c r="AP46" s="403">
        <v>0</v>
      </c>
      <c r="AQ46" s="442">
        <v>0</v>
      </c>
      <c r="AR46" s="1038">
        <v>0</v>
      </c>
      <c r="AS46" s="404">
        <v>0</v>
      </c>
      <c r="AT46" s="569"/>
      <c r="AU46" s="569"/>
      <c r="AV46" s="413">
        <v>0</v>
      </c>
      <c r="AW46" s="413">
        <v>0</v>
      </c>
      <c r="AX46" s="666">
        <v>0</v>
      </c>
      <c r="AY46" s="1057" t="str">
        <f t="shared" si="3"/>
        <v/>
      </c>
      <c r="AZ46" s="112"/>
      <c r="BA46" s="112"/>
      <c r="CA46" s="1087"/>
      <c r="CB46" s="1087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87"/>
      <c r="CH46" s="1087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87"/>
      <c r="CO46" s="1087"/>
      <c r="CP46" s="1048">
        <f t="shared" si="73"/>
        <v>0</v>
      </c>
      <c r="CQ46" s="1048">
        <f t="shared" si="74"/>
        <v>0</v>
      </c>
      <c r="CR46" s="1048">
        <f t="shared" si="75"/>
        <v>0</v>
      </c>
      <c r="CS46" s="1048">
        <f t="shared" si="76"/>
        <v>0</v>
      </c>
      <c r="CT46" s="1087"/>
      <c r="CU46" s="1087"/>
      <c r="CV46" s="1048">
        <f t="shared" si="79"/>
        <v>0</v>
      </c>
      <c r="CW46" s="1048">
        <f t="shared" si="42"/>
        <v>0</v>
      </c>
      <c r="CX46" s="1048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7"/>
    </row>
    <row r="47" spans="1:126" s="94" customFormat="1" ht="15" customHeight="1" x14ac:dyDescent="0.25">
      <c r="A47" s="2079" t="s">
        <v>675</v>
      </c>
      <c r="B47" s="2080"/>
      <c r="C47" s="1143">
        <f t="shared" si="29"/>
        <v>0</v>
      </c>
      <c r="D47" s="387">
        <f t="shared" si="80"/>
        <v>0</v>
      </c>
      <c r="E47" s="531">
        <f t="shared" si="81"/>
        <v>0</v>
      </c>
      <c r="F47" s="417">
        <v>0</v>
      </c>
      <c r="G47" s="418">
        <v>0</v>
      </c>
      <c r="H47" s="417">
        <v>0</v>
      </c>
      <c r="I47" s="418">
        <v>0</v>
      </c>
      <c r="J47" s="417">
        <v>0</v>
      </c>
      <c r="K47" s="418">
        <v>0</v>
      </c>
      <c r="L47" s="417">
        <v>0</v>
      </c>
      <c r="M47" s="418">
        <v>0</v>
      </c>
      <c r="N47" s="417">
        <v>0</v>
      </c>
      <c r="O47" s="418">
        <v>0</v>
      </c>
      <c r="P47" s="417">
        <v>0</v>
      </c>
      <c r="Q47" s="418">
        <v>0</v>
      </c>
      <c r="R47" s="417">
        <v>0</v>
      </c>
      <c r="S47" s="418">
        <v>0</v>
      </c>
      <c r="T47" s="417">
        <v>0</v>
      </c>
      <c r="U47" s="418">
        <v>0</v>
      </c>
      <c r="V47" s="417">
        <v>0</v>
      </c>
      <c r="W47" s="418">
        <v>0</v>
      </c>
      <c r="X47" s="417">
        <v>0</v>
      </c>
      <c r="Y47" s="418">
        <v>0</v>
      </c>
      <c r="Z47" s="417">
        <v>0</v>
      </c>
      <c r="AA47" s="418">
        <v>0</v>
      </c>
      <c r="AB47" s="417">
        <v>0</v>
      </c>
      <c r="AC47" s="418">
        <v>0</v>
      </c>
      <c r="AD47" s="417">
        <v>0</v>
      </c>
      <c r="AE47" s="418">
        <v>0</v>
      </c>
      <c r="AF47" s="417">
        <v>0</v>
      </c>
      <c r="AG47" s="418">
        <v>0</v>
      </c>
      <c r="AH47" s="417">
        <v>0</v>
      </c>
      <c r="AI47" s="418">
        <v>0</v>
      </c>
      <c r="AJ47" s="417">
        <v>0</v>
      </c>
      <c r="AK47" s="418">
        <v>0</v>
      </c>
      <c r="AL47" s="417">
        <v>0</v>
      </c>
      <c r="AM47" s="419">
        <v>0</v>
      </c>
      <c r="AN47" s="548">
        <v>0</v>
      </c>
      <c r="AO47" s="656">
        <v>0</v>
      </c>
      <c r="AP47" s="468">
        <v>0</v>
      </c>
      <c r="AQ47" s="418">
        <v>0</v>
      </c>
      <c r="AR47" s="468">
        <v>0</v>
      </c>
      <c r="AS47" s="418">
        <v>0</v>
      </c>
      <c r="AT47" s="432">
        <v>0</v>
      </c>
      <c r="AU47" s="432">
        <v>0</v>
      </c>
      <c r="AV47" s="432">
        <v>0</v>
      </c>
      <c r="AW47" s="432">
        <v>0</v>
      </c>
      <c r="AX47" s="432">
        <v>0</v>
      </c>
      <c r="AY47" s="1057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48">
        <f t="shared" ref="CN47:CN58" si="89">IF(AND($E47&gt;0,OR(AN47="")),1,IF(AN47&gt;$E47,1,0))</f>
        <v>0</v>
      </c>
      <c r="CO47" s="1048">
        <f t="shared" ref="CO47:CO58" si="90">IF(AND($E47&gt;0,OR(AO47="")),1,IF(AO47&gt;$E47,1,0))</f>
        <v>0</v>
      </c>
      <c r="CP47" s="1048">
        <f t="shared" si="73"/>
        <v>0</v>
      </c>
      <c r="CQ47" s="1048">
        <f t="shared" si="74"/>
        <v>0</v>
      </c>
      <c r="CR47" s="1048">
        <f t="shared" si="75"/>
        <v>0</v>
      </c>
      <c r="CS47" s="1048">
        <f t="shared" si="76"/>
        <v>0</v>
      </c>
      <c r="CT47" s="1048">
        <f t="shared" si="77"/>
        <v>0</v>
      </c>
      <c r="CU47" s="1048">
        <f t="shared" si="78"/>
        <v>0</v>
      </c>
      <c r="CV47" s="1048">
        <f t="shared" si="79"/>
        <v>0</v>
      </c>
      <c r="CW47" s="1048">
        <f t="shared" si="42"/>
        <v>0</v>
      </c>
      <c r="CX47" s="1048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7"/>
    </row>
    <row r="48" spans="1:126" s="94" customFormat="1" ht="15" customHeight="1" x14ac:dyDescent="0.25">
      <c r="A48" s="1269" t="s">
        <v>676</v>
      </c>
      <c r="B48" s="1270"/>
      <c r="C48" s="1143">
        <f t="shared" si="29"/>
        <v>6</v>
      </c>
      <c r="D48" s="387">
        <f t="shared" si="80"/>
        <v>2</v>
      </c>
      <c r="E48" s="531">
        <f t="shared" si="81"/>
        <v>4</v>
      </c>
      <c r="F48" s="417">
        <v>0</v>
      </c>
      <c r="G48" s="418">
        <v>0</v>
      </c>
      <c r="H48" s="417">
        <v>0</v>
      </c>
      <c r="I48" s="418">
        <v>0</v>
      </c>
      <c r="J48" s="417">
        <v>0</v>
      </c>
      <c r="K48" s="418">
        <v>0</v>
      </c>
      <c r="L48" s="417">
        <v>0</v>
      </c>
      <c r="M48" s="418">
        <v>0</v>
      </c>
      <c r="N48" s="417">
        <v>0</v>
      </c>
      <c r="O48" s="418">
        <v>0</v>
      </c>
      <c r="P48" s="417">
        <v>0</v>
      </c>
      <c r="Q48" s="418">
        <v>1</v>
      </c>
      <c r="R48" s="417">
        <v>0</v>
      </c>
      <c r="S48" s="418">
        <v>0</v>
      </c>
      <c r="T48" s="417">
        <v>0</v>
      </c>
      <c r="U48" s="418">
        <v>1</v>
      </c>
      <c r="V48" s="417">
        <v>1</v>
      </c>
      <c r="W48" s="418">
        <v>0</v>
      </c>
      <c r="X48" s="417">
        <v>0</v>
      </c>
      <c r="Y48" s="418">
        <v>1</v>
      </c>
      <c r="Z48" s="417">
        <v>1</v>
      </c>
      <c r="AA48" s="418">
        <v>0</v>
      </c>
      <c r="AB48" s="417">
        <v>0</v>
      </c>
      <c r="AC48" s="418">
        <v>0</v>
      </c>
      <c r="AD48" s="417">
        <v>0</v>
      </c>
      <c r="AE48" s="418">
        <v>0</v>
      </c>
      <c r="AF48" s="417">
        <v>0</v>
      </c>
      <c r="AG48" s="418">
        <v>1</v>
      </c>
      <c r="AH48" s="417">
        <v>0</v>
      </c>
      <c r="AI48" s="418">
        <v>0</v>
      </c>
      <c r="AJ48" s="417">
        <v>0</v>
      </c>
      <c r="AK48" s="418">
        <v>0</v>
      </c>
      <c r="AL48" s="417">
        <v>0</v>
      </c>
      <c r="AM48" s="419">
        <v>0</v>
      </c>
      <c r="AN48" s="548">
        <v>0</v>
      </c>
      <c r="AO48" s="656">
        <v>0</v>
      </c>
      <c r="AP48" s="468">
        <v>0</v>
      </c>
      <c r="AQ48" s="418">
        <v>0</v>
      </c>
      <c r="AR48" s="468">
        <v>0</v>
      </c>
      <c r="AS48" s="418">
        <v>0</v>
      </c>
      <c r="AT48" s="432">
        <v>0</v>
      </c>
      <c r="AU48" s="432">
        <v>0</v>
      </c>
      <c r="AV48" s="432">
        <v>0</v>
      </c>
      <c r="AW48" s="432">
        <v>0</v>
      </c>
      <c r="AX48" s="432">
        <v>0</v>
      </c>
      <c r="AY48" s="1057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48">
        <f t="shared" si="89"/>
        <v>0</v>
      </c>
      <c r="CO48" s="1048">
        <f t="shared" si="90"/>
        <v>0</v>
      </c>
      <c r="CP48" s="1048">
        <f t="shared" si="73"/>
        <v>0</v>
      </c>
      <c r="CQ48" s="1048">
        <f t="shared" si="74"/>
        <v>0</v>
      </c>
      <c r="CR48" s="1048">
        <f t="shared" si="75"/>
        <v>0</v>
      </c>
      <c r="CS48" s="1048">
        <f t="shared" si="76"/>
        <v>0</v>
      </c>
      <c r="CT48" s="1048">
        <f t="shared" si="77"/>
        <v>0</v>
      </c>
      <c r="CU48" s="1048">
        <f t="shared" si="78"/>
        <v>0</v>
      </c>
      <c r="CV48" s="1048">
        <f t="shared" si="79"/>
        <v>0</v>
      </c>
      <c r="CW48" s="1048">
        <f t="shared" si="42"/>
        <v>0</v>
      </c>
      <c r="CX48" s="1048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7"/>
    </row>
    <row r="49" spans="1:126" ht="15" customHeight="1" x14ac:dyDescent="0.25">
      <c r="A49" s="2087" t="s">
        <v>677</v>
      </c>
      <c r="B49" s="2088"/>
      <c r="C49" s="1148">
        <f t="shared" si="29"/>
        <v>0</v>
      </c>
      <c r="D49" s="397">
        <f t="shared" si="80"/>
        <v>0</v>
      </c>
      <c r="E49" s="535">
        <f t="shared" si="81"/>
        <v>0</v>
      </c>
      <c r="F49" s="398">
        <v>0</v>
      </c>
      <c r="G49" s="399">
        <v>0</v>
      </c>
      <c r="H49" s="398">
        <v>0</v>
      </c>
      <c r="I49" s="399">
        <v>0</v>
      </c>
      <c r="J49" s="398">
        <v>0</v>
      </c>
      <c r="K49" s="399">
        <v>0</v>
      </c>
      <c r="L49" s="398">
        <v>0</v>
      </c>
      <c r="M49" s="399">
        <v>0</v>
      </c>
      <c r="N49" s="398">
        <v>0</v>
      </c>
      <c r="O49" s="399">
        <v>0</v>
      </c>
      <c r="P49" s="398">
        <v>0</v>
      </c>
      <c r="Q49" s="399">
        <v>0</v>
      </c>
      <c r="R49" s="398">
        <v>0</v>
      </c>
      <c r="S49" s="399">
        <v>0</v>
      </c>
      <c r="T49" s="398">
        <v>0</v>
      </c>
      <c r="U49" s="399">
        <v>0</v>
      </c>
      <c r="V49" s="398">
        <v>0</v>
      </c>
      <c r="W49" s="399">
        <v>0</v>
      </c>
      <c r="X49" s="398">
        <v>0</v>
      </c>
      <c r="Y49" s="399">
        <v>0</v>
      </c>
      <c r="Z49" s="398">
        <v>0</v>
      </c>
      <c r="AA49" s="399">
        <v>0</v>
      </c>
      <c r="AB49" s="398">
        <v>0</v>
      </c>
      <c r="AC49" s="399">
        <v>0</v>
      </c>
      <c r="AD49" s="398">
        <v>0</v>
      </c>
      <c r="AE49" s="399">
        <v>0</v>
      </c>
      <c r="AF49" s="398">
        <v>0</v>
      </c>
      <c r="AG49" s="399">
        <v>0</v>
      </c>
      <c r="AH49" s="398">
        <v>0</v>
      </c>
      <c r="AI49" s="399">
        <v>0</v>
      </c>
      <c r="AJ49" s="398">
        <v>0</v>
      </c>
      <c r="AK49" s="399">
        <v>0</v>
      </c>
      <c r="AL49" s="398">
        <v>0</v>
      </c>
      <c r="AM49" s="407">
        <v>0</v>
      </c>
      <c r="AN49" s="549">
        <v>0</v>
      </c>
      <c r="AO49" s="651">
        <v>0</v>
      </c>
      <c r="AP49" s="465">
        <v>0</v>
      </c>
      <c r="AQ49" s="399">
        <v>0</v>
      </c>
      <c r="AR49" s="465">
        <v>0</v>
      </c>
      <c r="AS49" s="399">
        <v>0</v>
      </c>
      <c r="AT49" s="533">
        <v>0</v>
      </c>
      <c r="AU49" s="533">
        <v>0</v>
      </c>
      <c r="AV49" s="533">
        <v>0</v>
      </c>
      <c r="AW49" s="533">
        <v>0</v>
      </c>
      <c r="AX49" s="533">
        <v>0</v>
      </c>
      <c r="AY49" s="1057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48">
        <f t="shared" si="89"/>
        <v>0</v>
      </c>
      <c r="CO49" s="1048">
        <f t="shared" si="90"/>
        <v>0</v>
      </c>
      <c r="CP49" s="1048">
        <f t="shared" si="73"/>
        <v>0</v>
      </c>
      <c r="CQ49" s="1048">
        <f t="shared" si="74"/>
        <v>0</v>
      </c>
      <c r="CR49" s="1048">
        <f t="shared" si="75"/>
        <v>0</v>
      </c>
      <c r="CS49" s="1048">
        <f t="shared" si="76"/>
        <v>0</v>
      </c>
      <c r="CT49" s="1048">
        <f t="shared" si="77"/>
        <v>0</v>
      </c>
      <c r="CU49" s="1048">
        <f t="shared" si="78"/>
        <v>0</v>
      </c>
      <c r="CV49" s="1048">
        <f t="shared" si="79"/>
        <v>0</v>
      </c>
      <c r="CW49" s="1048">
        <f t="shared" si="42"/>
        <v>0</v>
      </c>
      <c r="CX49" s="1048">
        <f t="shared" si="43"/>
        <v>0</v>
      </c>
      <c r="DM49" s="107"/>
      <c r="DN49" s="107"/>
      <c r="DO49" s="107"/>
      <c r="DV49" s="607"/>
    </row>
    <row r="50" spans="1:126" ht="15" customHeight="1" x14ac:dyDescent="0.25">
      <c r="A50" s="2087" t="s">
        <v>678</v>
      </c>
      <c r="B50" s="2088"/>
      <c r="C50" s="1148">
        <f t="shared" si="29"/>
        <v>0</v>
      </c>
      <c r="D50" s="397">
        <f t="shared" si="80"/>
        <v>0</v>
      </c>
      <c r="E50" s="535">
        <f t="shared" si="81"/>
        <v>0</v>
      </c>
      <c r="F50" s="398">
        <v>0</v>
      </c>
      <c r="G50" s="399">
        <v>0</v>
      </c>
      <c r="H50" s="398">
        <v>0</v>
      </c>
      <c r="I50" s="399">
        <v>0</v>
      </c>
      <c r="J50" s="398">
        <v>0</v>
      </c>
      <c r="K50" s="399">
        <v>0</v>
      </c>
      <c r="L50" s="398">
        <v>0</v>
      </c>
      <c r="M50" s="399">
        <v>0</v>
      </c>
      <c r="N50" s="398">
        <v>0</v>
      </c>
      <c r="O50" s="399">
        <v>0</v>
      </c>
      <c r="P50" s="398">
        <v>0</v>
      </c>
      <c r="Q50" s="399">
        <v>0</v>
      </c>
      <c r="R50" s="398">
        <v>0</v>
      </c>
      <c r="S50" s="399">
        <v>0</v>
      </c>
      <c r="T50" s="398">
        <v>0</v>
      </c>
      <c r="U50" s="399">
        <v>0</v>
      </c>
      <c r="V50" s="398">
        <v>0</v>
      </c>
      <c r="W50" s="399">
        <v>0</v>
      </c>
      <c r="X50" s="398">
        <v>0</v>
      </c>
      <c r="Y50" s="399">
        <v>0</v>
      </c>
      <c r="Z50" s="398">
        <v>0</v>
      </c>
      <c r="AA50" s="399">
        <v>0</v>
      </c>
      <c r="AB50" s="398">
        <v>0</v>
      </c>
      <c r="AC50" s="399">
        <v>0</v>
      </c>
      <c r="AD50" s="398">
        <v>0</v>
      </c>
      <c r="AE50" s="399">
        <v>0</v>
      </c>
      <c r="AF50" s="398">
        <v>0</v>
      </c>
      <c r="AG50" s="399">
        <v>0</v>
      </c>
      <c r="AH50" s="398">
        <v>0</v>
      </c>
      <c r="AI50" s="399">
        <v>0</v>
      </c>
      <c r="AJ50" s="398">
        <v>0</v>
      </c>
      <c r="AK50" s="399">
        <v>0</v>
      </c>
      <c r="AL50" s="398">
        <v>0</v>
      </c>
      <c r="AM50" s="407">
        <v>0</v>
      </c>
      <c r="AN50" s="549">
        <v>0</v>
      </c>
      <c r="AO50" s="651">
        <v>0</v>
      </c>
      <c r="AP50" s="465">
        <v>0</v>
      </c>
      <c r="AQ50" s="399">
        <v>0</v>
      </c>
      <c r="AR50" s="465">
        <v>0</v>
      </c>
      <c r="AS50" s="399">
        <v>0</v>
      </c>
      <c r="AT50" s="533">
        <v>0</v>
      </c>
      <c r="AU50" s="533">
        <v>0</v>
      </c>
      <c r="AV50" s="533">
        <v>0</v>
      </c>
      <c r="AW50" s="533">
        <v>0</v>
      </c>
      <c r="AX50" s="533">
        <v>0</v>
      </c>
      <c r="AY50" s="1057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48">
        <f t="shared" si="89"/>
        <v>0</v>
      </c>
      <c r="CO50" s="1048">
        <f t="shared" si="90"/>
        <v>0</v>
      </c>
      <c r="CP50" s="1048">
        <f t="shared" si="73"/>
        <v>0</v>
      </c>
      <c r="CQ50" s="1048">
        <f t="shared" si="74"/>
        <v>0</v>
      </c>
      <c r="CR50" s="1048">
        <f t="shared" si="75"/>
        <v>0</v>
      </c>
      <c r="CS50" s="1048">
        <f t="shared" si="76"/>
        <v>0</v>
      </c>
      <c r="CT50" s="1048">
        <f t="shared" si="77"/>
        <v>0</v>
      </c>
      <c r="CU50" s="1048">
        <f t="shared" si="78"/>
        <v>0</v>
      </c>
      <c r="CV50" s="1048">
        <f t="shared" si="79"/>
        <v>0</v>
      </c>
      <c r="CW50" s="1048">
        <f t="shared" si="42"/>
        <v>0</v>
      </c>
      <c r="CX50" s="1048">
        <f t="shared" si="43"/>
        <v>0</v>
      </c>
      <c r="DM50" s="107"/>
      <c r="DN50" s="107"/>
      <c r="DO50" s="107"/>
      <c r="DV50" s="607"/>
    </row>
    <row r="51" spans="1:126" ht="15" customHeight="1" x14ac:dyDescent="0.25">
      <c r="A51" s="2089" t="s">
        <v>679</v>
      </c>
      <c r="B51" s="2090"/>
      <c r="C51" s="1144">
        <f t="shared" si="29"/>
        <v>0</v>
      </c>
      <c r="D51" s="391">
        <f t="shared" si="80"/>
        <v>0</v>
      </c>
      <c r="E51" s="532">
        <f t="shared" si="81"/>
        <v>0</v>
      </c>
      <c r="F51" s="403">
        <v>0</v>
      </c>
      <c r="G51" s="404">
        <v>0</v>
      </c>
      <c r="H51" s="403">
        <v>0</v>
      </c>
      <c r="I51" s="404">
        <v>0</v>
      </c>
      <c r="J51" s="403">
        <v>0</v>
      </c>
      <c r="K51" s="404">
        <v>0</v>
      </c>
      <c r="L51" s="403">
        <v>0</v>
      </c>
      <c r="M51" s="404">
        <v>0</v>
      </c>
      <c r="N51" s="403">
        <v>0</v>
      </c>
      <c r="O51" s="404">
        <v>0</v>
      </c>
      <c r="P51" s="403">
        <v>0</v>
      </c>
      <c r="Q51" s="404">
        <v>0</v>
      </c>
      <c r="R51" s="403">
        <v>0</v>
      </c>
      <c r="S51" s="404">
        <v>0</v>
      </c>
      <c r="T51" s="403">
        <v>0</v>
      </c>
      <c r="U51" s="404">
        <v>0</v>
      </c>
      <c r="V51" s="403">
        <v>0</v>
      </c>
      <c r="W51" s="404">
        <v>0</v>
      </c>
      <c r="X51" s="403">
        <v>0</v>
      </c>
      <c r="Y51" s="404">
        <v>0</v>
      </c>
      <c r="Z51" s="403">
        <v>0</v>
      </c>
      <c r="AA51" s="404">
        <v>0</v>
      </c>
      <c r="AB51" s="403">
        <v>0</v>
      </c>
      <c r="AC51" s="404">
        <v>0</v>
      </c>
      <c r="AD51" s="403">
        <v>0</v>
      </c>
      <c r="AE51" s="404">
        <v>0</v>
      </c>
      <c r="AF51" s="403">
        <v>0</v>
      </c>
      <c r="AG51" s="404">
        <v>0</v>
      </c>
      <c r="AH51" s="403">
        <v>0</v>
      </c>
      <c r="AI51" s="404">
        <v>0</v>
      </c>
      <c r="AJ51" s="403">
        <v>0</v>
      </c>
      <c r="AK51" s="404">
        <v>0</v>
      </c>
      <c r="AL51" s="403">
        <v>0</v>
      </c>
      <c r="AM51" s="431">
        <v>0</v>
      </c>
      <c r="AN51" s="663">
        <v>0</v>
      </c>
      <c r="AO51" s="653">
        <v>0</v>
      </c>
      <c r="AP51" s="464">
        <v>0</v>
      </c>
      <c r="AQ51" s="404">
        <v>0</v>
      </c>
      <c r="AR51" s="464">
        <v>0</v>
      </c>
      <c r="AS51" s="404">
        <v>0</v>
      </c>
      <c r="AT51" s="442">
        <v>0</v>
      </c>
      <c r="AU51" s="442">
        <v>0</v>
      </c>
      <c r="AV51" s="442">
        <v>0</v>
      </c>
      <c r="AW51" s="442">
        <v>0</v>
      </c>
      <c r="AX51" s="442">
        <v>0</v>
      </c>
      <c r="AY51" s="1057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48">
        <f t="shared" si="89"/>
        <v>0</v>
      </c>
      <c r="CO51" s="1048">
        <f t="shared" si="90"/>
        <v>0</v>
      </c>
      <c r="CP51" s="1048">
        <f t="shared" si="73"/>
        <v>0</v>
      </c>
      <c r="CQ51" s="1048">
        <f t="shared" si="74"/>
        <v>0</v>
      </c>
      <c r="CR51" s="1048">
        <f t="shared" si="75"/>
        <v>0</v>
      </c>
      <c r="CS51" s="1048">
        <f t="shared" si="76"/>
        <v>0</v>
      </c>
      <c r="CT51" s="1048">
        <f t="shared" si="77"/>
        <v>0</v>
      </c>
      <c r="CU51" s="1048">
        <f t="shared" si="78"/>
        <v>0</v>
      </c>
      <c r="CV51" s="1048">
        <f t="shared" si="79"/>
        <v>0</v>
      </c>
      <c r="CW51" s="1048">
        <f t="shared" si="42"/>
        <v>0</v>
      </c>
      <c r="CX51" s="1048">
        <f t="shared" si="43"/>
        <v>0</v>
      </c>
      <c r="DM51" s="107"/>
      <c r="DN51" s="107"/>
      <c r="DO51" s="107"/>
      <c r="DV51" s="607"/>
    </row>
    <row r="52" spans="1:126" ht="15" customHeight="1" x14ac:dyDescent="0.25">
      <c r="A52" s="2091" t="s">
        <v>680</v>
      </c>
      <c r="B52" s="1262" t="s">
        <v>681</v>
      </c>
      <c r="C52" s="1302">
        <f t="shared" ref="C52:C55" si="97">SUM(D52:E52)</f>
        <v>0</v>
      </c>
      <c r="D52" s="389">
        <f>+F52+H52+J52+L52+N52+P52+R52+T52+V52+X52+Z52+AB52+AD52+AF52+AH52+AJ52+AL52</f>
        <v>0</v>
      </c>
      <c r="E52" s="583">
        <f>+G52+I52+K52+M52+O52+Q52+S52+U52+W52+Y52+AA52+AC52+AE52+AG52+AI52+AK52+AM52</f>
        <v>0</v>
      </c>
      <c r="F52" s="450">
        <v>0</v>
      </c>
      <c r="G52" s="451">
        <v>0</v>
      </c>
      <c r="H52" s="450">
        <v>0</v>
      </c>
      <c r="I52" s="451">
        <v>0</v>
      </c>
      <c r="J52" s="450">
        <v>0</v>
      </c>
      <c r="K52" s="451">
        <v>0</v>
      </c>
      <c r="L52" s="450">
        <v>0</v>
      </c>
      <c r="M52" s="451">
        <v>0</v>
      </c>
      <c r="N52" s="450">
        <v>0</v>
      </c>
      <c r="O52" s="451">
        <v>0</v>
      </c>
      <c r="P52" s="450">
        <v>0</v>
      </c>
      <c r="Q52" s="451">
        <v>0</v>
      </c>
      <c r="R52" s="450">
        <v>0</v>
      </c>
      <c r="S52" s="451">
        <v>0</v>
      </c>
      <c r="T52" s="450">
        <v>0</v>
      </c>
      <c r="U52" s="451">
        <v>0</v>
      </c>
      <c r="V52" s="450">
        <v>0</v>
      </c>
      <c r="W52" s="451">
        <v>0</v>
      </c>
      <c r="X52" s="450">
        <v>0</v>
      </c>
      <c r="Y52" s="451">
        <v>0</v>
      </c>
      <c r="Z52" s="450">
        <v>0</v>
      </c>
      <c r="AA52" s="451">
        <v>0</v>
      </c>
      <c r="AB52" s="450">
        <v>0</v>
      </c>
      <c r="AC52" s="451">
        <v>0</v>
      </c>
      <c r="AD52" s="450">
        <v>0</v>
      </c>
      <c r="AE52" s="451">
        <v>0</v>
      </c>
      <c r="AF52" s="450">
        <v>0</v>
      </c>
      <c r="AG52" s="451">
        <v>0</v>
      </c>
      <c r="AH52" s="450">
        <v>0</v>
      </c>
      <c r="AI52" s="451">
        <v>0</v>
      </c>
      <c r="AJ52" s="450">
        <v>0</v>
      </c>
      <c r="AK52" s="451">
        <v>0</v>
      </c>
      <c r="AL52" s="450">
        <v>0</v>
      </c>
      <c r="AM52" s="452">
        <v>0</v>
      </c>
      <c r="AN52" s="548">
        <v>0</v>
      </c>
      <c r="AO52" s="656">
        <v>0</v>
      </c>
      <c r="AP52" s="468">
        <v>0</v>
      </c>
      <c r="AQ52" s="418">
        <v>0</v>
      </c>
      <c r="AR52" s="667">
        <v>0</v>
      </c>
      <c r="AS52" s="451">
        <v>0</v>
      </c>
      <c r="AT52" s="669">
        <v>0</v>
      </c>
      <c r="AU52" s="669">
        <v>0</v>
      </c>
      <c r="AV52" s="669">
        <v>0</v>
      </c>
      <c r="AW52" s="669">
        <v>0</v>
      </c>
      <c r="AX52" s="669">
        <v>0</v>
      </c>
      <c r="AY52" s="1057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48">
        <f t="shared" si="89"/>
        <v>0</v>
      </c>
      <c r="CO52" s="1048">
        <f t="shared" si="90"/>
        <v>0</v>
      </c>
      <c r="CP52" s="1048">
        <f t="shared" si="73"/>
        <v>0</v>
      </c>
      <c r="CQ52" s="1048">
        <f t="shared" si="74"/>
        <v>0</v>
      </c>
      <c r="CR52" s="1048">
        <f t="shared" si="75"/>
        <v>0</v>
      </c>
      <c r="CS52" s="1048">
        <f t="shared" si="76"/>
        <v>0</v>
      </c>
      <c r="CT52" s="1048">
        <f t="shared" si="77"/>
        <v>0</v>
      </c>
      <c r="CU52" s="1048">
        <f t="shared" si="78"/>
        <v>0</v>
      </c>
      <c r="CV52" s="1048">
        <f t="shared" si="79"/>
        <v>0</v>
      </c>
      <c r="CW52" s="1048">
        <f t="shared" si="42"/>
        <v>0</v>
      </c>
      <c r="CX52" s="1048">
        <f t="shared" si="43"/>
        <v>0</v>
      </c>
      <c r="DM52" s="107"/>
      <c r="DN52" s="107"/>
      <c r="DO52" s="107"/>
      <c r="DV52" s="607"/>
    </row>
    <row r="53" spans="1:126" ht="15" customHeight="1" x14ac:dyDescent="0.25">
      <c r="A53" s="2092"/>
      <c r="B53" s="1266" t="s">
        <v>428</v>
      </c>
      <c r="C53" s="1147">
        <f t="shared" si="97"/>
        <v>0</v>
      </c>
      <c r="D53" s="401">
        <f t="shared" ref="D53:D55" si="105">+F53+H53+J53+L53+N53+P53+R53+T53+V53+X53+Z53+AB53+AD53+AF53+AH53+AJ53+AL53</f>
        <v>0</v>
      </c>
      <c r="E53" s="537">
        <f t="shared" ref="E53:E55" si="106">+G53+I53+K53+M53+O53+Q53+S53+U53+W53+Y53+AA53+AC53+AE53+AG53+AI53+AK53+AM53</f>
        <v>0</v>
      </c>
      <c r="F53" s="408">
        <v>0</v>
      </c>
      <c r="G53" s="409">
        <v>0</v>
      </c>
      <c r="H53" s="408">
        <v>0</v>
      </c>
      <c r="I53" s="409">
        <v>0</v>
      </c>
      <c r="J53" s="408">
        <v>0</v>
      </c>
      <c r="K53" s="409">
        <v>0</v>
      </c>
      <c r="L53" s="408">
        <v>0</v>
      </c>
      <c r="M53" s="409">
        <v>0</v>
      </c>
      <c r="N53" s="408">
        <v>0</v>
      </c>
      <c r="O53" s="409">
        <v>0</v>
      </c>
      <c r="P53" s="408">
        <v>0</v>
      </c>
      <c r="Q53" s="409">
        <v>0</v>
      </c>
      <c r="R53" s="408">
        <v>0</v>
      </c>
      <c r="S53" s="409">
        <v>0</v>
      </c>
      <c r="T53" s="408">
        <v>0</v>
      </c>
      <c r="U53" s="409">
        <v>0</v>
      </c>
      <c r="V53" s="408">
        <v>0</v>
      </c>
      <c r="W53" s="409">
        <v>0</v>
      </c>
      <c r="X53" s="408">
        <v>0</v>
      </c>
      <c r="Y53" s="409">
        <v>0</v>
      </c>
      <c r="Z53" s="408">
        <v>0</v>
      </c>
      <c r="AA53" s="409">
        <v>0</v>
      </c>
      <c r="AB53" s="408">
        <v>0</v>
      </c>
      <c r="AC53" s="409">
        <v>0</v>
      </c>
      <c r="AD53" s="408">
        <v>0</v>
      </c>
      <c r="AE53" s="409">
        <v>0</v>
      </c>
      <c r="AF53" s="408">
        <v>0</v>
      </c>
      <c r="AG53" s="409">
        <v>0</v>
      </c>
      <c r="AH53" s="408">
        <v>0</v>
      </c>
      <c r="AI53" s="409">
        <v>0</v>
      </c>
      <c r="AJ53" s="408">
        <v>0</v>
      </c>
      <c r="AK53" s="409">
        <v>0</v>
      </c>
      <c r="AL53" s="408">
        <v>0</v>
      </c>
      <c r="AM53" s="410">
        <v>0</v>
      </c>
      <c r="AN53" s="549">
        <v>0</v>
      </c>
      <c r="AO53" s="651">
        <v>0</v>
      </c>
      <c r="AP53" s="465">
        <v>0</v>
      </c>
      <c r="AQ53" s="399">
        <v>0</v>
      </c>
      <c r="AR53" s="660">
        <v>0</v>
      </c>
      <c r="AS53" s="409">
        <v>0</v>
      </c>
      <c r="AT53" s="538">
        <v>0</v>
      </c>
      <c r="AU53" s="538">
        <v>0</v>
      </c>
      <c r="AV53" s="538">
        <v>0</v>
      </c>
      <c r="AW53" s="538">
        <v>0</v>
      </c>
      <c r="AX53" s="538">
        <v>0</v>
      </c>
      <c r="AY53" s="1057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48">
        <f t="shared" si="89"/>
        <v>0</v>
      </c>
      <c r="CO53" s="1048">
        <f t="shared" si="90"/>
        <v>0</v>
      </c>
      <c r="CP53" s="1048">
        <f t="shared" si="73"/>
        <v>0</v>
      </c>
      <c r="CQ53" s="1048">
        <f t="shared" si="74"/>
        <v>0</v>
      </c>
      <c r="CR53" s="1048">
        <f t="shared" si="75"/>
        <v>0</v>
      </c>
      <c r="CS53" s="1048">
        <f t="shared" si="76"/>
        <v>0</v>
      </c>
      <c r="CT53" s="1048">
        <f t="shared" si="77"/>
        <v>0</v>
      </c>
      <c r="CU53" s="1048">
        <f t="shared" si="78"/>
        <v>0</v>
      </c>
      <c r="CV53" s="1048">
        <f t="shared" si="79"/>
        <v>0</v>
      </c>
      <c r="CW53" s="1048">
        <f t="shared" si="42"/>
        <v>0</v>
      </c>
      <c r="CX53" s="1048">
        <f t="shared" si="43"/>
        <v>0</v>
      </c>
      <c r="DM53" s="107"/>
      <c r="DN53" s="107"/>
      <c r="DO53" s="107"/>
      <c r="DV53" s="607"/>
    </row>
    <row r="54" spans="1:126" ht="15" customHeight="1" x14ac:dyDescent="0.25">
      <c r="A54" s="2092"/>
      <c r="B54" s="1266" t="s">
        <v>682</v>
      </c>
      <c r="C54" s="1147">
        <f t="shared" si="97"/>
        <v>0</v>
      </c>
      <c r="D54" s="401">
        <f t="shared" si="105"/>
        <v>0</v>
      </c>
      <c r="E54" s="537">
        <f t="shared" si="106"/>
        <v>0</v>
      </c>
      <c r="F54" s="408">
        <v>0</v>
      </c>
      <c r="G54" s="409">
        <v>0</v>
      </c>
      <c r="H54" s="408">
        <v>0</v>
      </c>
      <c r="I54" s="409">
        <v>0</v>
      </c>
      <c r="J54" s="408">
        <v>0</v>
      </c>
      <c r="K54" s="409">
        <v>0</v>
      </c>
      <c r="L54" s="408">
        <v>0</v>
      </c>
      <c r="M54" s="409">
        <v>0</v>
      </c>
      <c r="N54" s="408">
        <v>0</v>
      </c>
      <c r="O54" s="409">
        <v>0</v>
      </c>
      <c r="P54" s="408">
        <v>0</v>
      </c>
      <c r="Q54" s="409">
        <v>0</v>
      </c>
      <c r="R54" s="408">
        <v>0</v>
      </c>
      <c r="S54" s="409">
        <v>0</v>
      </c>
      <c r="T54" s="408">
        <v>0</v>
      </c>
      <c r="U54" s="409">
        <v>0</v>
      </c>
      <c r="V54" s="408">
        <v>0</v>
      </c>
      <c r="W54" s="409">
        <v>0</v>
      </c>
      <c r="X54" s="408">
        <v>0</v>
      </c>
      <c r="Y54" s="409">
        <v>0</v>
      </c>
      <c r="Z54" s="408">
        <v>0</v>
      </c>
      <c r="AA54" s="409">
        <v>0</v>
      </c>
      <c r="AB54" s="408">
        <v>0</v>
      </c>
      <c r="AC54" s="409">
        <v>0</v>
      </c>
      <c r="AD54" s="408">
        <v>0</v>
      </c>
      <c r="AE54" s="409">
        <v>0</v>
      </c>
      <c r="AF54" s="408">
        <v>0</v>
      </c>
      <c r="AG54" s="409">
        <v>0</v>
      </c>
      <c r="AH54" s="408">
        <v>0</v>
      </c>
      <c r="AI54" s="409">
        <v>0</v>
      </c>
      <c r="AJ54" s="408">
        <v>0</v>
      </c>
      <c r="AK54" s="409">
        <v>0</v>
      </c>
      <c r="AL54" s="408">
        <v>0</v>
      </c>
      <c r="AM54" s="410">
        <v>0</v>
      </c>
      <c r="AN54" s="549">
        <v>0</v>
      </c>
      <c r="AO54" s="651">
        <v>0</v>
      </c>
      <c r="AP54" s="465">
        <v>0</v>
      </c>
      <c r="AQ54" s="399">
        <v>0</v>
      </c>
      <c r="AR54" s="660">
        <v>0</v>
      </c>
      <c r="AS54" s="409">
        <v>0</v>
      </c>
      <c r="AT54" s="538">
        <v>0</v>
      </c>
      <c r="AU54" s="538">
        <v>0</v>
      </c>
      <c r="AV54" s="538">
        <v>0</v>
      </c>
      <c r="AW54" s="538">
        <v>0</v>
      </c>
      <c r="AX54" s="538">
        <v>0</v>
      </c>
      <c r="AY54" s="1057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48">
        <f t="shared" si="89"/>
        <v>0</v>
      </c>
      <c r="CO54" s="1048">
        <f t="shared" si="90"/>
        <v>0</v>
      </c>
      <c r="CP54" s="1048">
        <f t="shared" si="73"/>
        <v>0</v>
      </c>
      <c r="CQ54" s="1048">
        <f t="shared" si="74"/>
        <v>0</v>
      </c>
      <c r="CR54" s="1048">
        <f t="shared" si="75"/>
        <v>0</v>
      </c>
      <c r="CS54" s="1048">
        <f t="shared" si="76"/>
        <v>0</v>
      </c>
      <c r="CT54" s="1048">
        <f t="shared" si="77"/>
        <v>0</v>
      </c>
      <c r="CU54" s="1048">
        <f t="shared" si="78"/>
        <v>0</v>
      </c>
      <c r="CV54" s="1048">
        <f t="shared" si="79"/>
        <v>0</v>
      </c>
      <c r="CW54" s="1048">
        <f t="shared" si="42"/>
        <v>0</v>
      </c>
      <c r="CX54" s="1048">
        <f t="shared" si="43"/>
        <v>0</v>
      </c>
      <c r="DM54" s="107"/>
      <c r="DN54" s="107"/>
      <c r="DO54" s="107"/>
      <c r="DV54" s="607"/>
    </row>
    <row r="55" spans="1:126" ht="15" customHeight="1" x14ac:dyDescent="0.25">
      <c r="A55" s="2092"/>
      <c r="B55" s="1266" t="s">
        <v>683</v>
      </c>
      <c r="C55" s="1147">
        <f t="shared" si="97"/>
        <v>0</v>
      </c>
      <c r="D55" s="401">
        <f t="shared" si="105"/>
        <v>0</v>
      </c>
      <c r="E55" s="537">
        <f t="shared" si="106"/>
        <v>0</v>
      </c>
      <c r="F55" s="408">
        <v>0</v>
      </c>
      <c r="G55" s="409">
        <v>0</v>
      </c>
      <c r="H55" s="408">
        <v>0</v>
      </c>
      <c r="I55" s="409">
        <v>0</v>
      </c>
      <c r="J55" s="408">
        <v>0</v>
      </c>
      <c r="K55" s="409">
        <v>0</v>
      </c>
      <c r="L55" s="408">
        <v>0</v>
      </c>
      <c r="M55" s="409">
        <v>0</v>
      </c>
      <c r="N55" s="408">
        <v>0</v>
      </c>
      <c r="O55" s="409">
        <v>0</v>
      </c>
      <c r="P55" s="408">
        <v>0</v>
      </c>
      <c r="Q55" s="409">
        <v>0</v>
      </c>
      <c r="R55" s="408">
        <v>0</v>
      </c>
      <c r="S55" s="409">
        <v>0</v>
      </c>
      <c r="T55" s="408">
        <v>0</v>
      </c>
      <c r="U55" s="409">
        <v>0</v>
      </c>
      <c r="V55" s="408">
        <v>0</v>
      </c>
      <c r="W55" s="409">
        <v>0</v>
      </c>
      <c r="X55" s="408">
        <v>0</v>
      </c>
      <c r="Y55" s="409">
        <v>0</v>
      </c>
      <c r="Z55" s="408">
        <v>0</v>
      </c>
      <c r="AA55" s="409">
        <v>0</v>
      </c>
      <c r="AB55" s="408">
        <v>0</v>
      </c>
      <c r="AC55" s="409">
        <v>0</v>
      </c>
      <c r="AD55" s="408">
        <v>0</v>
      </c>
      <c r="AE55" s="409">
        <v>0</v>
      </c>
      <c r="AF55" s="408">
        <v>0</v>
      </c>
      <c r="AG55" s="409">
        <v>0</v>
      </c>
      <c r="AH55" s="408">
        <v>0</v>
      </c>
      <c r="AI55" s="409">
        <v>0</v>
      </c>
      <c r="AJ55" s="408">
        <v>0</v>
      </c>
      <c r="AK55" s="409">
        <v>0</v>
      </c>
      <c r="AL55" s="408">
        <v>0</v>
      </c>
      <c r="AM55" s="410">
        <v>0</v>
      </c>
      <c r="AN55" s="549">
        <v>0</v>
      </c>
      <c r="AO55" s="651">
        <v>0</v>
      </c>
      <c r="AP55" s="465">
        <v>0</v>
      </c>
      <c r="AQ55" s="399">
        <v>0</v>
      </c>
      <c r="AR55" s="660">
        <v>0</v>
      </c>
      <c r="AS55" s="409">
        <v>0</v>
      </c>
      <c r="AT55" s="538">
        <v>0</v>
      </c>
      <c r="AU55" s="538">
        <v>0</v>
      </c>
      <c r="AV55" s="538">
        <v>0</v>
      </c>
      <c r="AW55" s="538">
        <v>0</v>
      </c>
      <c r="AX55" s="538">
        <v>0</v>
      </c>
      <c r="AY55" s="1057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48">
        <f t="shared" si="89"/>
        <v>0</v>
      </c>
      <c r="CO55" s="1048">
        <f t="shared" si="90"/>
        <v>0</v>
      </c>
      <c r="CP55" s="1048">
        <f t="shared" si="73"/>
        <v>0</v>
      </c>
      <c r="CQ55" s="1048">
        <f t="shared" si="74"/>
        <v>0</v>
      </c>
      <c r="CR55" s="1048">
        <f t="shared" si="75"/>
        <v>0</v>
      </c>
      <c r="CS55" s="1048">
        <f t="shared" si="76"/>
        <v>0</v>
      </c>
      <c r="CT55" s="1048">
        <f t="shared" si="77"/>
        <v>0</v>
      </c>
      <c r="CU55" s="1048">
        <f t="shared" si="78"/>
        <v>0</v>
      </c>
      <c r="CV55" s="1048">
        <f t="shared" si="79"/>
        <v>0</v>
      </c>
      <c r="CW55" s="1048">
        <f t="shared" si="42"/>
        <v>0</v>
      </c>
      <c r="CX55" s="1048">
        <f t="shared" si="43"/>
        <v>0</v>
      </c>
      <c r="DM55" s="107"/>
      <c r="DN55" s="107"/>
      <c r="DO55" s="107"/>
      <c r="DV55" s="607"/>
    </row>
    <row r="56" spans="1:126" ht="15" customHeight="1" x14ac:dyDescent="0.25">
      <c r="A56" s="2093"/>
      <c r="B56" s="1265" t="s">
        <v>684</v>
      </c>
      <c r="C56" s="1144">
        <f>SUM(D56:E56)</f>
        <v>0</v>
      </c>
      <c r="D56" s="391">
        <f t="shared" si="80"/>
        <v>0</v>
      </c>
      <c r="E56" s="532">
        <f t="shared" si="81"/>
        <v>0</v>
      </c>
      <c r="F56" s="403">
        <v>0</v>
      </c>
      <c r="G56" s="404">
        <v>0</v>
      </c>
      <c r="H56" s="403">
        <v>0</v>
      </c>
      <c r="I56" s="404">
        <v>0</v>
      </c>
      <c r="J56" s="403">
        <v>0</v>
      </c>
      <c r="K56" s="404">
        <v>0</v>
      </c>
      <c r="L56" s="403">
        <v>0</v>
      </c>
      <c r="M56" s="404">
        <v>0</v>
      </c>
      <c r="N56" s="403">
        <v>0</v>
      </c>
      <c r="O56" s="404">
        <v>0</v>
      </c>
      <c r="P56" s="403">
        <v>0</v>
      </c>
      <c r="Q56" s="404">
        <v>0</v>
      </c>
      <c r="R56" s="403">
        <v>0</v>
      </c>
      <c r="S56" s="404">
        <v>0</v>
      </c>
      <c r="T56" s="403">
        <v>0</v>
      </c>
      <c r="U56" s="404">
        <v>0</v>
      </c>
      <c r="V56" s="403">
        <v>0</v>
      </c>
      <c r="W56" s="404">
        <v>0</v>
      </c>
      <c r="X56" s="403">
        <v>0</v>
      </c>
      <c r="Y56" s="404">
        <v>0</v>
      </c>
      <c r="Z56" s="403">
        <v>0</v>
      </c>
      <c r="AA56" s="404">
        <v>0</v>
      </c>
      <c r="AB56" s="403">
        <v>0</v>
      </c>
      <c r="AC56" s="404">
        <v>0</v>
      </c>
      <c r="AD56" s="403">
        <v>0</v>
      </c>
      <c r="AE56" s="404">
        <v>0</v>
      </c>
      <c r="AF56" s="403">
        <v>0</v>
      </c>
      <c r="AG56" s="404">
        <v>0</v>
      </c>
      <c r="AH56" s="403">
        <v>0</v>
      </c>
      <c r="AI56" s="404">
        <v>0</v>
      </c>
      <c r="AJ56" s="403">
        <v>0</v>
      </c>
      <c r="AK56" s="404">
        <v>0</v>
      </c>
      <c r="AL56" s="403">
        <v>0</v>
      </c>
      <c r="AM56" s="431">
        <v>0</v>
      </c>
      <c r="AN56" s="663">
        <v>0</v>
      </c>
      <c r="AO56" s="653">
        <v>0</v>
      </c>
      <c r="AP56" s="464">
        <v>0</v>
      </c>
      <c r="AQ56" s="404">
        <v>0</v>
      </c>
      <c r="AR56" s="464">
        <v>0</v>
      </c>
      <c r="AS56" s="404">
        <v>0</v>
      </c>
      <c r="AT56" s="442">
        <v>0</v>
      </c>
      <c r="AU56" s="442">
        <v>0</v>
      </c>
      <c r="AV56" s="442">
        <v>0</v>
      </c>
      <c r="AW56" s="442">
        <v>0</v>
      </c>
      <c r="AX56" s="442">
        <v>0</v>
      </c>
      <c r="AY56" s="1057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48">
        <f t="shared" si="89"/>
        <v>0</v>
      </c>
      <c r="CO56" s="1048">
        <f t="shared" si="90"/>
        <v>0</v>
      </c>
      <c r="CP56" s="1048">
        <f t="shared" si="73"/>
        <v>0</v>
      </c>
      <c r="CQ56" s="1048">
        <f t="shared" si="74"/>
        <v>0</v>
      </c>
      <c r="CR56" s="1048">
        <f t="shared" si="75"/>
        <v>0</v>
      </c>
      <c r="CS56" s="1048">
        <f t="shared" si="76"/>
        <v>0</v>
      </c>
      <c r="CT56" s="1048">
        <f t="shared" si="77"/>
        <v>0</v>
      </c>
      <c r="CU56" s="1048">
        <f t="shared" si="78"/>
        <v>0</v>
      </c>
      <c r="CV56" s="1048">
        <f t="shared" si="79"/>
        <v>0</v>
      </c>
      <c r="CW56" s="1048">
        <f t="shared" si="42"/>
        <v>0</v>
      </c>
      <c r="CX56" s="1048">
        <f t="shared" si="43"/>
        <v>0</v>
      </c>
      <c r="DM56" s="107"/>
      <c r="DN56" s="107"/>
      <c r="DO56" s="107"/>
      <c r="DV56" s="607"/>
    </row>
    <row r="57" spans="1:126" ht="15" customHeight="1" x14ac:dyDescent="0.25">
      <c r="A57" s="1267" t="s">
        <v>685</v>
      </c>
      <c r="B57" s="1268"/>
      <c r="C57" s="1302">
        <f>SUM(D57:E57)</f>
        <v>0</v>
      </c>
      <c r="D57" s="389">
        <f t="shared" si="80"/>
        <v>0</v>
      </c>
      <c r="E57" s="583">
        <f t="shared" si="81"/>
        <v>0</v>
      </c>
      <c r="F57" s="450">
        <v>0</v>
      </c>
      <c r="G57" s="451">
        <v>0</v>
      </c>
      <c r="H57" s="450">
        <v>0</v>
      </c>
      <c r="I57" s="451">
        <v>0</v>
      </c>
      <c r="J57" s="450">
        <v>0</v>
      </c>
      <c r="K57" s="451">
        <v>0</v>
      </c>
      <c r="L57" s="450">
        <v>0</v>
      </c>
      <c r="M57" s="451">
        <v>0</v>
      </c>
      <c r="N57" s="450">
        <v>0</v>
      </c>
      <c r="O57" s="451">
        <v>0</v>
      </c>
      <c r="P57" s="450">
        <v>0</v>
      </c>
      <c r="Q57" s="451">
        <v>0</v>
      </c>
      <c r="R57" s="450">
        <v>0</v>
      </c>
      <c r="S57" s="451">
        <v>0</v>
      </c>
      <c r="T57" s="450">
        <v>0</v>
      </c>
      <c r="U57" s="451">
        <v>0</v>
      </c>
      <c r="V57" s="450">
        <v>0</v>
      </c>
      <c r="W57" s="451">
        <v>0</v>
      </c>
      <c r="X57" s="450">
        <v>0</v>
      </c>
      <c r="Y57" s="451">
        <v>0</v>
      </c>
      <c r="Z57" s="450">
        <v>0</v>
      </c>
      <c r="AA57" s="451">
        <v>0</v>
      </c>
      <c r="AB57" s="450">
        <v>0</v>
      </c>
      <c r="AC57" s="451">
        <v>0</v>
      </c>
      <c r="AD57" s="450">
        <v>0</v>
      </c>
      <c r="AE57" s="451">
        <v>0</v>
      </c>
      <c r="AF57" s="450">
        <v>0</v>
      </c>
      <c r="AG57" s="451">
        <v>0</v>
      </c>
      <c r="AH57" s="450">
        <v>0</v>
      </c>
      <c r="AI57" s="451">
        <v>0</v>
      </c>
      <c r="AJ57" s="450">
        <v>0</v>
      </c>
      <c r="AK57" s="451">
        <v>0</v>
      </c>
      <c r="AL57" s="450">
        <v>0</v>
      </c>
      <c r="AM57" s="452">
        <v>0</v>
      </c>
      <c r="AN57" s="548">
        <v>0</v>
      </c>
      <c r="AO57" s="656">
        <v>0</v>
      </c>
      <c r="AP57" s="667">
        <v>0</v>
      </c>
      <c r="AQ57" s="451">
        <v>0</v>
      </c>
      <c r="AR57" s="667">
        <v>0</v>
      </c>
      <c r="AS57" s="451">
        <v>0</v>
      </c>
      <c r="AT57" s="669">
        <v>0</v>
      </c>
      <c r="AU57" s="669">
        <v>0</v>
      </c>
      <c r="AV57" s="669">
        <v>0</v>
      </c>
      <c r="AW57" s="669">
        <v>0</v>
      </c>
      <c r="AX57" s="669">
        <v>0</v>
      </c>
      <c r="AY57" s="1057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48">
        <f t="shared" si="89"/>
        <v>0</v>
      </c>
      <c r="CO57" s="1048">
        <f t="shared" si="90"/>
        <v>0</v>
      </c>
      <c r="CP57" s="1048">
        <f t="shared" si="73"/>
        <v>0</v>
      </c>
      <c r="CQ57" s="1048">
        <f t="shared" si="74"/>
        <v>0</v>
      </c>
      <c r="CR57" s="1048">
        <f t="shared" si="75"/>
        <v>0</v>
      </c>
      <c r="CS57" s="1048">
        <f t="shared" si="76"/>
        <v>0</v>
      </c>
      <c r="CT57" s="1048">
        <f t="shared" si="77"/>
        <v>0</v>
      </c>
      <c r="CU57" s="1048">
        <f t="shared" si="78"/>
        <v>0</v>
      </c>
      <c r="CV57" s="1048">
        <f t="shared" si="79"/>
        <v>0</v>
      </c>
      <c r="CW57" s="1048">
        <f t="shared" si="42"/>
        <v>0</v>
      </c>
      <c r="CX57" s="1048">
        <f t="shared" si="43"/>
        <v>0</v>
      </c>
      <c r="DM57" s="107"/>
      <c r="DN57" s="107"/>
      <c r="DO57" s="107"/>
      <c r="DV57" s="607"/>
    </row>
    <row r="58" spans="1:126" ht="15" customHeight="1" x14ac:dyDescent="0.25">
      <c r="A58" s="2095" t="s">
        <v>686</v>
      </c>
      <c r="B58" s="2096"/>
      <c r="C58" s="1144">
        <f>SUM(D58:E58)</f>
        <v>4</v>
      </c>
      <c r="D58" s="391">
        <f t="shared" si="80"/>
        <v>2</v>
      </c>
      <c r="E58" s="386">
        <f t="shared" si="81"/>
        <v>2</v>
      </c>
      <c r="F58" s="403">
        <v>0</v>
      </c>
      <c r="G58" s="404">
        <v>0</v>
      </c>
      <c r="H58" s="403">
        <v>1</v>
      </c>
      <c r="I58" s="404">
        <v>0</v>
      </c>
      <c r="J58" s="403">
        <v>0</v>
      </c>
      <c r="K58" s="404">
        <v>0</v>
      </c>
      <c r="L58" s="403">
        <v>0</v>
      </c>
      <c r="M58" s="404">
        <v>0</v>
      </c>
      <c r="N58" s="403">
        <v>1</v>
      </c>
      <c r="O58" s="404">
        <v>0</v>
      </c>
      <c r="P58" s="403">
        <v>0</v>
      </c>
      <c r="Q58" s="404">
        <v>0</v>
      </c>
      <c r="R58" s="403">
        <v>0</v>
      </c>
      <c r="S58" s="404">
        <v>1</v>
      </c>
      <c r="T58" s="403">
        <v>0</v>
      </c>
      <c r="U58" s="404">
        <v>0</v>
      </c>
      <c r="V58" s="403">
        <v>0</v>
      </c>
      <c r="W58" s="404">
        <v>0</v>
      </c>
      <c r="X58" s="403">
        <v>0</v>
      </c>
      <c r="Y58" s="404">
        <v>1</v>
      </c>
      <c r="Z58" s="403">
        <v>0</v>
      </c>
      <c r="AA58" s="404">
        <v>0</v>
      </c>
      <c r="AB58" s="403">
        <v>0</v>
      </c>
      <c r="AC58" s="404">
        <v>0</v>
      </c>
      <c r="AD58" s="403">
        <v>0</v>
      </c>
      <c r="AE58" s="404">
        <v>0</v>
      </c>
      <c r="AF58" s="403">
        <v>0</v>
      </c>
      <c r="AG58" s="404">
        <v>0</v>
      </c>
      <c r="AH58" s="403">
        <v>0</v>
      </c>
      <c r="AI58" s="404">
        <v>0</v>
      </c>
      <c r="AJ58" s="403">
        <v>0</v>
      </c>
      <c r="AK58" s="404">
        <v>0</v>
      </c>
      <c r="AL58" s="403">
        <v>0</v>
      </c>
      <c r="AM58" s="431">
        <v>0</v>
      </c>
      <c r="AN58" s="663">
        <v>0</v>
      </c>
      <c r="AO58" s="653">
        <v>0</v>
      </c>
      <c r="AP58" s="464">
        <v>0</v>
      </c>
      <c r="AQ58" s="404">
        <v>0</v>
      </c>
      <c r="AR58" s="464">
        <v>0</v>
      </c>
      <c r="AS58" s="404">
        <v>0</v>
      </c>
      <c r="AT58" s="442">
        <v>0</v>
      </c>
      <c r="AU58" s="442">
        <v>0</v>
      </c>
      <c r="AV58" s="442">
        <v>0</v>
      </c>
      <c r="AW58" s="442">
        <v>0</v>
      </c>
      <c r="AX58" s="442">
        <v>0</v>
      </c>
      <c r="AY58" s="1057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48">
        <f t="shared" si="89"/>
        <v>0</v>
      </c>
      <c r="CO58" s="1048">
        <f t="shared" si="90"/>
        <v>0</v>
      </c>
      <c r="CP58" s="1048">
        <f t="shared" si="73"/>
        <v>0</v>
      </c>
      <c r="CQ58" s="1048">
        <f t="shared" si="74"/>
        <v>0</v>
      </c>
      <c r="CR58" s="1048">
        <f t="shared" si="75"/>
        <v>0</v>
      </c>
      <c r="CS58" s="1048">
        <f t="shared" si="76"/>
        <v>0</v>
      </c>
      <c r="CT58" s="1048">
        <f t="shared" si="77"/>
        <v>0</v>
      </c>
      <c r="CU58" s="1048">
        <f t="shared" si="78"/>
        <v>0</v>
      </c>
      <c r="CV58" s="1048">
        <f t="shared" si="79"/>
        <v>0</v>
      </c>
      <c r="CW58" s="1048">
        <f t="shared" si="42"/>
        <v>0</v>
      </c>
      <c r="CX58" s="1048">
        <f t="shared" si="43"/>
        <v>0</v>
      </c>
      <c r="DM58" s="107"/>
      <c r="DN58" s="107"/>
      <c r="DO58" s="107"/>
      <c r="DV58" s="607"/>
    </row>
    <row r="59" spans="1:126" s="172" customFormat="1" ht="15" customHeight="1" x14ac:dyDescent="0.25">
      <c r="A59" s="1072" t="s">
        <v>687</v>
      </c>
      <c r="B59" s="1072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7"/>
      <c r="DT59" s="107"/>
      <c r="DV59" s="107"/>
    </row>
    <row r="60" spans="1:126" s="172" customFormat="1" ht="15" customHeight="1" x14ac:dyDescent="0.25">
      <c r="A60" s="2094" t="s">
        <v>688</v>
      </c>
      <c r="B60" s="2094" t="s">
        <v>689</v>
      </c>
      <c r="C60" s="1942" t="s">
        <v>621</v>
      </c>
      <c r="D60" s="1942"/>
      <c r="E60" s="1942"/>
      <c r="F60" s="2128" t="s">
        <v>382</v>
      </c>
      <c r="G60" s="1942"/>
      <c r="H60" s="1942"/>
      <c r="I60" s="1942"/>
      <c r="J60" s="1942"/>
      <c r="K60" s="1942"/>
      <c r="L60" s="1942"/>
      <c r="M60" s="1942"/>
      <c r="N60" s="1942"/>
      <c r="O60" s="1942"/>
      <c r="P60" s="1942"/>
      <c r="Q60" s="1942"/>
      <c r="R60" s="1942"/>
      <c r="S60" s="1942"/>
      <c r="T60" s="1942"/>
      <c r="U60" s="1942"/>
      <c r="V60" s="1942"/>
      <c r="W60" s="1942"/>
      <c r="X60" s="1942"/>
      <c r="Y60" s="1942"/>
      <c r="Z60" s="1942"/>
      <c r="AA60" s="1942"/>
      <c r="AB60" s="1942"/>
      <c r="AC60" s="1942"/>
      <c r="AD60" s="1942"/>
      <c r="AE60" s="1942"/>
      <c r="AF60" s="1942"/>
      <c r="AG60" s="1942"/>
      <c r="AH60" s="1942"/>
      <c r="AI60" s="1942"/>
      <c r="AJ60" s="1942"/>
      <c r="AK60" s="1942"/>
      <c r="AL60" s="1942"/>
      <c r="AM60" s="1942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7"/>
      <c r="DT60" s="107"/>
      <c r="DV60" s="107"/>
    </row>
    <row r="61" spans="1:126" s="172" customFormat="1" ht="15" customHeight="1" x14ac:dyDescent="0.25">
      <c r="A61" s="2094"/>
      <c r="B61" s="2094"/>
      <c r="C61" s="1942"/>
      <c r="D61" s="1942"/>
      <c r="E61" s="1942"/>
      <c r="F61" s="1942" t="s">
        <v>410</v>
      </c>
      <c r="G61" s="1942"/>
      <c r="H61" s="1942" t="s">
        <v>411</v>
      </c>
      <c r="I61" s="1942"/>
      <c r="J61" s="1804" t="s">
        <v>322</v>
      </c>
      <c r="K61" s="1804"/>
      <c r="L61" s="1804" t="s">
        <v>62</v>
      </c>
      <c r="M61" s="1804"/>
      <c r="N61" s="1804" t="s">
        <v>63</v>
      </c>
      <c r="O61" s="1804"/>
      <c r="P61" s="1804" t="s">
        <v>64</v>
      </c>
      <c r="Q61" s="1804"/>
      <c r="R61" s="1804" t="s">
        <v>65</v>
      </c>
      <c r="S61" s="1804"/>
      <c r="T61" s="1804" t="s">
        <v>66</v>
      </c>
      <c r="U61" s="1804"/>
      <c r="V61" s="1804" t="s">
        <v>67</v>
      </c>
      <c r="W61" s="1804"/>
      <c r="X61" s="1804" t="s">
        <v>68</v>
      </c>
      <c r="Y61" s="1804"/>
      <c r="Z61" s="1804" t="s">
        <v>69</v>
      </c>
      <c r="AA61" s="1804"/>
      <c r="AB61" s="1804" t="s">
        <v>70</v>
      </c>
      <c r="AC61" s="1804"/>
      <c r="AD61" s="1804" t="s">
        <v>71</v>
      </c>
      <c r="AE61" s="1804"/>
      <c r="AF61" s="2131" t="s">
        <v>72</v>
      </c>
      <c r="AG61" s="2131"/>
      <c r="AH61" s="2131" t="s">
        <v>412</v>
      </c>
      <c r="AI61" s="2131"/>
      <c r="AJ61" s="2131" t="s">
        <v>413</v>
      </c>
      <c r="AK61" s="2131"/>
      <c r="AL61" s="2020" t="s">
        <v>414</v>
      </c>
      <c r="AM61" s="2020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7"/>
      <c r="DT61" s="107"/>
      <c r="DV61" s="107"/>
    </row>
    <row r="62" spans="1:126" s="172" customFormat="1" ht="15" customHeight="1" x14ac:dyDescent="0.25">
      <c r="A62" s="2094"/>
      <c r="B62" s="2094"/>
      <c r="C62" s="1492" t="s">
        <v>231</v>
      </c>
      <c r="D62" s="1354" t="s">
        <v>91</v>
      </c>
      <c r="E62" s="994" t="s">
        <v>232</v>
      </c>
      <c r="F62" s="1465" t="s">
        <v>91</v>
      </c>
      <c r="G62" s="994" t="s">
        <v>232</v>
      </c>
      <c r="H62" s="1465" t="s">
        <v>91</v>
      </c>
      <c r="I62" s="994" t="s">
        <v>232</v>
      </c>
      <c r="J62" s="1465" t="s">
        <v>91</v>
      </c>
      <c r="K62" s="994" t="s">
        <v>232</v>
      </c>
      <c r="L62" s="1465" t="s">
        <v>91</v>
      </c>
      <c r="M62" s="994" t="s">
        <v>232</v>
      </c>
      <c r="N62" s="1465" t="s">
        <v>91</v>
      </c>
      <c r="O62" s="994" t="s">
        <v>232</v>
      </c>
      <c r="P62" s="1465" t="s">
        <v>91</v>
      </c>
      <c r="Q62" s="994" t="s">
        <v>232</v>
      </c>
      <c r="R62" s="1465" t="s">
        <v>91</v>
      </c>
      <c r="S62" s="994" t="s">
        <v>232</v>
      </c>
      <c r="T62" s="1465" t="s">
        <v>91</v>
      </c>
      <c r="U62" s="994" t="s">
        <v>232</v>
      </c>
      <c r="V62" s="1465" t="s">
        <v>91</v>
      </c>
      <c r="W62" s="994" t="s">
        <v>232</v>
      </c>
      <c r="X62" s="1465" t="s">
        <v>91</v>
      </c>
      <c r="Y62" s="994" t="s">
        <v>232</v>
      </c>
      <c r="Z62" s="1465" t="s">
        <v>91</v>
      </c>
      <c r="AA62" s="994" t="s">
        <v>232</v>
      </c>
      <c r="AB62" s="1465" t="s">
        <v>91</v>
      </c>
      <c r="AC62" s="994" t="s">
        <v>232</v>
      </c>
      <c r="AD62" s="1465" t="s">
        <v>91</v>
      </c>
      <c r="AE62" s="994" t="s">
        <v>232</v>
      </c>
      <c r="AF62" s="1465" t="s">
        <v>91</v>
      </c>
      <c r="AG62" s="994" t="s">
        <v>232</v>
      </c>
      <c r="AH62" s="1465" t="s">
        <v>91</v>
      </c>
      <c r="AI62" s="994" t="s">
        <v>232</v>
      </c>
      <c r="AJ62" s="1465" t="s">
        <v>91</v>
      </c>
      <c r="AK62" s="994" t="s">
        <v>232</v>
      </c>
      <c r="AL62" s="1465" t="s">
        <v>91</v>
      </c>
      <c r="AM62" s="994" t="s">
        <v>232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7"/>
      <c r="DT62" s="107"/>
      <c r="DV62" s="107"/>
    </row>
    <row r="63" spans="1:126" ht="15" customHeight="1" x14ac:dyDescent="0.25">
      <c r="A63" s="1075" t="s">
        <v>690</v>
      </c>
      <c r="B63" s="1075" t="s">
        <v>637</v>
      </c>
      <c r="C63" s="1151">
        <f>SUM(D63:E63)</f>
        <v>0</v>
      </c>
      <c r="D63" s="1149">
        <f>+F63+H63+J63+L63+N63+P63+R63+T63+V63+X63+Z63+AB63+AD63+AF63+AH63+AJ63+AL63</f>
        <v>0</v>
      </c>
      <c r="E63" s="1076">
        <f>+G63+I63+K63+M63+O63+Q63+S63+U63+W63+Y63+AA63+AC63+AE63+AG63+AI63+AK63+AM63</f>
        <v>0</v>
      </c>
      <c r="F63" s="1077">
        <v>0</v>
      </c>
      <c r="G63" s="1078">
        <v>0</v>
      </c>
      <c r="H63" s="1077">
        <v>0</v>
      </c>
      <c r="I63" s="1078">
        <v>0</v>
      </c>
      <c r="J63" s="1077">
        <v>0</v>
      </c>
      <c r="K63" s="1078">
        <v>0</v>
      </c>
      <c r="L63" s="1077">
        <v>0</v>
      </c>
      <c r="M63" s="1078">
        <v>0</v>
      </c>
      <c r="N63" s="1077">
        <v>0</v>
      </c>
      <c r="O63" s="1078">
        <v>0</v>
      </c>
      <c r="P63" s="1077">
        <v>0</v>
      </c>
      <c r="Q63" s="1078">
        <v>0</v>
      </c>
      <c r="R63" s="1077">
        <v>0</v>
      </c>
      <c r="S63" s="1078">
        <v>0</v>
      </c>
      <c r="T63" s="1077">
        <v>0</v>
      </c>
      <c r="U63" s="1078">
        <v>0</v>
      </c>
      <c r="V63" s="1077">
        <v>0</v>
      </c>
      <c r="W63" s="1078">
        <v>0</v>
      </c>
      <c r="X63" s="1077">
        <v>0</v>
      </c>
      <c r="Y63" s="1078">
        <v>0</v>
      </c>
      <c r="Z63" s="1077">
        <v>0</v>
      </c>
      <c r="AA63" s="1078">
        <v>0</v>
      </c>
      <c r="AB63" s="1077">
        <v>0</v>
      </c>
      <c r="AC63" s="1078">
        <v>0</v>
      </c>
      <c r="AD63" s="1077">
        <v>0</v>
      </c>
      <c r="AE63" s="1078">
        <v>0</v>
      </c>
      <c r="AF63" s="1077">
        <v>0</v>
      </c>
      <c r="AG63" s="1078">
        <v>0</v>
      </c>
      <c r="AH63" s="1077">
        <v>0</v>
      </c>
      <c r="AI63" s="1078">
        <v>0</v>
      </c>
      <c r="AJ63" s="1077">
        <v>0</v>
      </c>
      <c r="AK63" s="1078">
        <v>0</v>
      </c>
      <c r="AL63" s="1077">
        <v>0</v>
      </c>
      <c r="AM63" s="1079">
        <v>0</v>
      </c>
      <c r="AN63" s="220"/>
      <c r="CA63" s="107"/>
      <c r="CT63" s="107"/>
      <c r="CU63" s="107"/>
      <c r="CV63" s="107"/>
      <c r="DM63" s="107"/>
      <c r="DN63" s="107"/>
      <c r="DO63" s="107"/>
      <c r="DP63" s="607"/>
      <c r="DQ63" s="607"/>
      <c r="DR63" s="607"/>
      <c r="DS63" s="607"/>
    </row>
    <row r="64" spans="1:126" s="94" customFormat="1" ht="15" customHeight="1" x14ac:dyDescent="0.25">
      <c r="A64" s="1080" t="s">
        <v>691</v>
      </c>
      <c r="B64" s="1080" t="s">
        <v>637</v>
      </c>
      <c r="C64" s="1152">
        <f>SUM(D64:E64)</f>
        <v>0</v>
      </c>
      <c r="D64" s="1150">
        <f>+F64+H64+J64+L64+N64+P64+R64+T64+V64+X64+Z64+AB64+AD64+AF64+AH64+AJ64+AL64</f>
        <v>0</v>
      </c>
      <c r="E64" s="1081">
        <f>+G64+I64+K64+M64+O64+Q64+S64+U64+W64+Y64+AA64+AC64+AE64+AG64+AI64+AK64+AM64</f>
        <v>0</v>
      </c>
      <c r="F64" s="1082">
        <v>0</v>
      </c>
      <c r="G64" s="1083">
        <v>0</v>
      </c>
      <c r="H64" s="1082">
        <v>0</v>
      </c>
      <c r="I64" s="1083">
        <v>0</v>
      </c>
      <c r="J64" s="1082">
        <v>0</v>
      </c>
      <c r="K64" s="1083">
        <v>0</v>
      </c>
      <c r="L64" s="1082">
        <v>0</v>
      </c>
      <c r="M64" s="1083">
        <v>0</v>
      </c>
      <c r="N64" s="1082">
        <v>0</v>
      </c>
      <c r="O64" s="1083">
        <v>0</v>
      </c>
      <c r="P64" s="1082">
        <v>0</v>
      </c>
      <c r="Q64" s="1083">
        <v>0</v>
      </c>
      <c r="R64" s="1082">
        <v>0</v>
      </c>
      <c r="S64" s="1083">
        <v>0</v>
      </c>
      <c r="T64" s="1082">
        <v>0</v>
      </c>
      <c r="U64" s="1083">
        <v>0</v>
      </c>
      <c r="V64" s="1082">
        <v>0</v>
      </c>
      <c r="W64" s="1083">
        <v>0</v>
      </c>
      <c r="X64" s="1082">
        <v>0</v>
      </c>
      <c r="Y64" s="1083">
        <v>0</v>
      </c>
      <c r="Z64" s="1082">
        <v>0</v>
      </c>
      <c r="AA64" s="1083">
        <v>0</v>
      </c>
      <c r="AB64" s="1082">
        <v>0</v>
      </c>
      <c r="AC64" s="1083">
        <v>0</v>
      </c>
      <c r="AD64" s="1082">
        <v>0</v>
      </c>
      <c r="AE64" s="1083">
        <v>0</v>
      </c>
      <c r="AF64" s="1082">
        <v>0</v>
      </c>
      <c r="AG64" s="1083">
        <v>0</v>
      </c>
      <c r="AH64" s="1082">
        <v>0</v>
      </c>
      <c r="AI64" s="1083">
        <v>0</v>
      </c>
      <c r="AJ64" s="1082">
        <v>0</v>
      </c>
      <c r="AK64" s="1083">
        <v>0</v>
      </c>
      <c r="AL64" s="1082">
        <v>0</v>
      </c>
      <c r="AM64" s="1084">
        <v>0</v>
      </c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7"/>
    </row>
    <row r="65" spans="1:124" s="94" customFormat="1" ht="17.100000000000001" customHeight="1" x14ac:dyDescent="0.25">
      <c r="A65" s="1071" t="s">
        <v>692</v>
      </c>
      <c r="B65" s="798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9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7"/>
    </row>
    <row r="66" spans="1:124" s="94" customFormat="1" ht="15" customHeight="1" x14ac:dyDescent="0.25">
      <c r="A66" s="2073" t="s">
        <v>451</v>
      </c>
      <c r="B66" s="2074"/>
      <c r="C66" s="2098" t="s">
        <v>54</v>
      </c>
      <c r="D66" s="2099"/>
      <c r="E66" s="2100"/>
      <c r="F66" s="2069" t="s">
        <v>382</v>
      </c>
      <c r="G66" s="1652"/>
      <c r="H66" s="1652"/>
      <c r="I66" s="1652"/>
      <c r="J66" s="1652"/>
      <c r="K66" s="1652"/>
      <c r="L66" s="1652"/>
      <c r="M66" s="1652"/>
      <c r="N66" s="1652"/>
      <c r="O66" s="2070"/>
      <c r="P66" s="2132" t="s">
        <v>584</v>
      </c>
      <c r="Q66" s="2133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9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7"/>
    </row>
    <row r="67" spans="1:124" s="94" customFormat="1" ht="15" customHeight="1" x14ac:dyDescent="0.25">
      <c r="A67" s="2075"/>
      <c r="B67" s="2076"/>
      <c r="C67" s="2101"/>
      <c r="D67" s="2102"/>
      <c r="E67" s="2103"/>
      <c r="F67" s="1942" t="s">
        <v>410</v>
      </c>
      <c r="G67" s="1942"/>
      <c r="H67" s="1942" t="s">
        <v>411</v>
      </c>
      <c r="I67" s="1942"/>
      <c r="J67" s="1804" t="s">
        <v>322</v>
      </c>
      <c r="K67" s="1804"/>
      <c r="L67" s="1804" t="s">
        <v>62</v>
      </c>
      <c r="M67" s="1804"/>
      <c r="N67" s="1804" t="s">
        <v>63</v>
      </c>
      <c r="O67" s="1804"/>
      <c r="P67" s="2134"/>
      <c r="Q67" s="2135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9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7"/>
    </row>
    <row r="68" spans="1:124" s="35" customFormat="1" ht="15" customHeight="1" x14ac:dyDescent="0.25">
      <c r="A68" s="2077"/>
      <c r="B68" s="2078"/>
      <c r="C68" s="1492" t="s">
        <v>495</v>
      </c>
      <c r="D68" s="1354" t="s">
        <v>91</v>
      </c>
      <c r="E68" s="994" t="s">
        <v>232</v>
      </c>
      <c r="F68" s="1465" t="s">
        <v>91</v>
      </c>
      <c r="G68" s="994" t="s">
        <v>232</v>
      </c>
      <c r="H68" s="1465" t="s">
        <v>91</v>
      </c>
      <c r="I68" s="994" t="s">
        <v>232</v>
      </c>
      <c r="J68" s="1465" t="s">
        <v>91</v>
      </c>
      <c r="K68" s="994" t="s">
        <v>232</v>
      </c>
      <c r="L68" s="1465" t="s">
        <v>91</v>
      </c>
      <c r="M68" s="994" t="s">
        <v>232</v>
      </c>
      <c r="N68" s="1465" t="s">
        <v>91</v>
      </c>
      <c r="O68" s="594" t="s">
        <v>232</v>
      </c>
      <c r="P68" s="1522" t="s">
        <v>91</v>
      </c>
      <c r="Q68" s="1521" t="s">
        <v>232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9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7"/>
    </row>
    <row r="69" spans="1:124" s="94" customFormat="1" ht="15" customHeight="1" x14ac:dyDescent="0.25">
      <c r="A69" s="2104" t="s">
        <v>693</v>
      </c>
      <c r="B69" s="2105"/>
      <c r="C69" s="1359">
        <f>SUM(D69:E69)</f>
        <v>0</v>
      </c>
      <c r="D69" s="1523">
        <f>+F69+H69+J69+L69+N69</f>
        <v>0</v>
      </c>
      <c r="E69" s="1370">
        <f>+G69+I69+K69+M69+O69</f>
        <v>0</v>
      </c>
      <c r="F69" s="1524">
        <v>0</v>
      </c>
      <c r="G69" s="1525">
        <v>0</v>
      </c>
      <c r="H69" s="1524">
        <v>0</v>
      </c>
      <c r="I69" s="1525">
        <v>0</v>
      </c>
      <c r="J69" s="1524">
        <v>0</v>
      </c>
      <c r="K69" s="1525">
        <v>0</v>
      </c>
      <c r="L69" s="1524">
        <v>0</v>
      </c>
      <c r="M69" s="1525">
        <v>0</v>
      </c>
      <c r="N69" s="1524">
        <v>0</v>
      </c>
      <c r="O69" s="595">
        <v>0</v>
      </c>
      <c r="P69" s="1525">
        <v>0</v>
      </c>
      <c r="Q69" s="1220">
        <v>0</v>
      </c>
      <c r="R69" s="1057" t="str">
        <f>CA69&amp;CB69</f>
        <v/>
      </c>
      <c r="S69" s="107"/>
      <c r="T69" s="107"/>
      <c r="U69" s="6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48">
        <f>IF(AND($D69&gt;0,OR(P69="")),1,IF(P69&gt;$D69,1,0))</f>
        <v>0</v>
      </c>
      <c r="CO69" s="1048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7"/>
    </row>
    <row r="70" spans="1:124" s="94" customFormat="1" ht="17.100000000000001" customHeight="1" x14ac:dyDescent="0.25">
      <c r="A70" s="1271" t="s">
        <v>694</v>
      </c>
      <c r="B70" s="1103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57"/>
      <c r="S70" s="107"/>
      <c r="T70" s="107"/>
      <c r="U70" s="6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7"/>
    </row>
    <row r="71" spans="1:124" s="94" customFormat="1" ht="17.100000000000001" customHeight="1" x14ac:dyDescent="0.25">
      <c r="A71" s="2106" t="s">
        <v>695</v>
      </c>
      <c r="B71" s="2107"/>
      <c r="C71" s="2107"/>
      <c r="D71" s="2107"/>
      <c r="E71" s="2107"/>
      <c r="F71" s="2107"/>
      <c r="G71" s="2107"/>
      <c r="H71" s="2107"/>
      <c r="I71" s="2107"/>
      <c r="J71" s="2107"/>
      <c r="K71" s="2107"/>
      <c r="L71" s="2107"/>
      <c r="M71" s="2107"/>
      <c r="N71" s="2107"/>
      <c r="O71" s="2107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7"/>
    </row>
    <row r="72" spans="1:124" s="94" customFormat="1" ht="15" customHeight="1" x14ac:dyDescent="0.25">
      <c r="A72" s="1942" t="s">
        <v>451</v>
      </c>
      <c r="B72" s="1942"/>
      <c r="C72" s="1942" t="s">
        <v>621</v>
      </c>
      <c r="D72" s="1942"/>
      <c r="E72" s="1942"/>
      <c r="F72" s="2128" t="s">
        <v>382</v>
      </c>
      <c r="G72" s="1942"/>
      <c r="H72" s="1942"/>
      <c r="I72" s="1942"/>
      <c r="J72" s="1942"/>
      <c r="K72" s="1942"/>
      <c r="L72" s="1942"/>
      <c r="M72" s="1942"/>
      <c r="N72" s="1942"/>
      <c r="O72" s="1942"/>
      <c r="P72" s="1942"/>
      <c r="Q72" s="1942"/>
      <c r="R72" s="1942"/>
      <c r="S72" s="1942"/>
      <c r="T72" s="1942"/>
      <c r="U72" s="1942"/>
      <c r="V72" s="1942"/>
      <c r="W72" s="1942"/>
      <c r="X72" s="1942"/>
      <c r="Y72" s="1942"/>
      <c r="Z72" s="1942"/>
      <c r="AA72" s="1942"/>
      <c r="AB72" s="1942"/>
      <c r="AC72" s="1942"/>
      <c r="AD72" s="1942"/>
      <c r="AE72" s="1942"/>
      <c r="AF72" s="1942"/>
      <c r="AG72" s="1942"/>
      <c r="AH72" s="1942"/>
      <c r="AI72" s="1942"/>
      <c r="AJ72" s="1942"/>
      <c r="AK72" s="1942"/>
      <c r="AL72" s="1942"/>
      <c r="AM72" s="1877"/>
      <c r="AN72" s="2145" t="s">
        <v>622</v>
      </c>
      <c r="AO72" s="2138" t="s">
        <v>623</v>
      </c>
      <c r="AP72" s="2138" t="s">
        <v>56</v>
      </c>
      <c r="AQ72" s="2138"/>
      <c r="AR72" s="2143" t="s">
        <v>57</v>
      </c>
      <c r="AS72" s="2133"/>
      <c r="AT72" s="2138" t="s">
        <v>624</v>
      </c>
      <c r="AU72" s="2138" t="s">
        <v>384</v>
      </c>
      <c r="AV72" s="2133" t="s">
        <v>625</v>
      </c>
      <c r="AW72" s="2136" t="s">
        <v>626</v>
      </c>
      <c r="AX72" s="2133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7"/>
    </row>
    <row r="73" spans="1:124" s="94" customFormat="1" ht="15" customHeight="1" x14ac:dyDescent="0.15">
      <c r="A73" s="1942"/>
      <c r="B73" s="1942"/>
      <c r="C73" s="1942"/>
      <c r="D73" s="1942"/>
      <c r="E73" s="1942"/>
      <c r="F73" s="1878" t="s">
        <v>410</v>
      </c>
      <c r="G73" s="1877"/>
      <c r="H73" s="1942" t="s">
        <v>411</v>
      </c>
      <c r="I73" s="1877"/>
      <c r="J73" s="1885" t="s">
        <v>322</v>
      </c>
      <c r="K73" s="1803"/>
      <c r="L73" s="1885" t="s">
        <v>62</v>
      </c>
      <c r="M73" s="1803"/>
      <c r="N73" s="1885" t="s">
        <v>63</v>
      </c>
      <c r="O73" s="1803"/>
      <c r="P73" s="1885" t="s">
        <v>64</v>
      </c>
      <c r="Q73" s="1803"/>
      <c r="R73" s="1885" t="s">
        <v>65</v>
      </c>
      <c r="S73" s="1803"/>
      <c r="T73" s="1885" t="s">
        <v>66</v>
      </c>
      <c r="U73" s="1803"/>
      <c r="V73" s="1885" t="s">
        <v>67</v>
      </c>
      <c r="W73" s="1803"/>
      <c r="X73" s="1885" t="s">
        <v>68</v>
      </c>
      <c r="Y73" s="1803"/>
      <c r="Z73" s="1885" t="s">
        <v>69</v>
      </c>
      <c r="AA73" s="1803"/>
      <c r="AB73" s="1885" t="s">
        <v>70</v>
      </c>
      <c r="AC73" s="1803"/>
      <c r="AD73" s="1885" t="s">
        <v>71</v>
      </c>
      <c r="AE73" s="1803"/>
      <c r="AF73" s="1880" t="s">
        <v>72</v>
      </c>
      <c r="AG73" s="1881"/>
      <c r="AH73" s="1880" t="s">
        <v>412</v>
      </c>
      <c r="AI73" s="1881"/>
      <c r="AJ73" s="1880" t="s">
        <v>413</v>
      </c>
      <c r="AK73" s="1881"/>
      <c r="AL73" s="2129" t="s">
        <v>414</v>
      </c>
      <c r="AM73" s="2130"/>
      <c r="AN73" s="2146"/>
      <c r="AO73" s="2139"/>
      <c r="AP73" s="2140"/>
      <c r="AQ73" s="2140"/>
      <c r="AR73" s="2144"/>
      <c r="AS73" s="2135"/>
      <c r="AT73" s="2139"/>
      <c r="AU73" s="2139"/>
      <c r="AV73" s="2142"/>
      <c r="AW73" s="2137"/>
      <c r="AX73" s="2135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66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97"/>
    </row>
    <row r="74" spans="1:124" s="94" customFormat="1" ht="15" customHeight="1" x14ac:dyDescent="0.15">
      <c r="A74" s="1942"/>
      <c r="B74" s="1942"/>
      <c r="C74" s="1526" t="s">
        <v>231</v>
      </c>
      <c r="D74" s="1446" t="s">
        <v>91</v>
      </c>
      <c r="E74" s="1527" t="s">
        <v>232</v>
      </c>
      <c r="F74" s="1448" t="s">
        <v>91</v>
      </c>
      <c r="G74" s="1527" t="s">
        <v>232</v>
      </c>
      <c r="H74" s="1448" t="s">
        <v>91</v>
      </c>
      <c r="I74" s="1527" t="s">
        <v>232</v>
      </c>
      <c r="J74" s="1448" t="s">
        <v>91</v>
      </c>
      <c r="K74" s="1527" t="s">
        <v>232</v>
      </c>
      <c r="L74" s="1448" t="s">
        <v>91</v>
      </c>
      <c r="M74" s="1527" t="s">
        <v>232</v>
      </c>
      <c r="N74" s="1448" t="s">
        <v>91</v>
      </c>
      <c r="O74" s="1527" t="s">
        <v>232</v>
      </c>
      <c r="P74" s="1448" t="s">
        <v>91</v>
      </c>
      <c r="Q74" s="1527" t="s">
        <v>232</v>
      </c>
      <c r="R74" s="1448" t="s">
        <v>91</v>
      </c>
      <c r="S74" s="1527" t="s">
        <v>232</v>
      </c>
      <c r="T74" s="1448" t="s">
        <v>91</v>
      </c>
      <c r="U74" s="1527" t="s">
        <v>232</v>
      </c>
      <c r="V74" s="1448" t="s">
        <v>91</v>
      </c>
      <c r="W74" s="1527" t="s">
        <v>232</v>
      </c>
      <c r="X74" s="1448" t="s">
        <v>91</v>
      </c>
      <c r="Y74" s="1527" t="s">
        <v>232</v>
      </c>
      <c r="Z74" s="1448" t="s">
        <v>91</v>
      </c>
      <c r="AA74" s="1527" t="s">
        <v>232</v>
      </c>
      <c r="AB74" s="1448" t="s">
        <v>91</v>
      </c>
      <c r="AC74" s="1527" t="s">
        <v>232</v>
      </c>
      <c r="AD74" s="1448" t="s">
        <v>91</v>
      </c>
      <c r="AE74" s="1527" t="s">
        <v>232</v>
      </c>
      <c r="AF74" s="1528" t="s">
        <v>416</v>
      </c>
      <c r="AG74" s="1529" t="s">
        <v>232</v>
      </c>
      <c r="AH74" s="1528" t="s">
        <v>416</v>
      </c>
      <c r="AI74" s="1529" t="s">
        <v>232</v>
      </c>
      <c r="AJ74" s="1528" t="s">
        <v>416</v>
      </c>
      <c r="AK74" s="1529" t="s">
        <v>232</v>
      </c>
      <c r="AL74" s="1530" t="s">
        <v>91</v>
      </c>
      <c r="AM74" s="1531" t="s">
        <v>232</v>
      </c>
      <c r="AN74" s="2146"/>
      <c r="AO74" s="2139"/>
      <c r="AP74" s="1532" t="s">
        <v>91</v>
      </c>
      <c r="AQ74" s="1521" t="s">
        <v>232</v>
      </c>
      <c r="AR74" s="1522" t="s">
        <v>91</v>
      </c>
      <c r="AS74" s="1521" t="s">
        <v>232</v>
      </c>
      <c r="AT74" s="2140"/>
      <c r="AU74" s="2140"/>
      <c r="AV74" s="2135"/>
      <c r="AW74" s="769" t="s">
        <v>634</v>
      </c>
      <c r="AX74" s="769" t="s">
        <v>635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66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97"/>
    </row>
    <row r="75" spans="1:124" s="94" customFormat="1" ht="15" customHeight="1" x14ac:dyDescent="0.25">
      <c r="A75" s="2071" t="s">
        <v>696</v>
      </c>
      <c r="B75" s="2072"/>
      <c r="C75" s="1482">
        <f>SUM(D75:E75)</f>
        <v>0</v>
      </c>
      <c r="D75" s="1483">
        <f>+F75+H75+J75+L75+N75+P75+R75+T75+V75+X75+Z75+AB75+AD75+AF75+AH75+AJ75+AL75</f>
        <v>0</v>
      </c>
      <c r="E75" s="460">
        <f>+G75+I75+K75+M75+O75+Q75+S75+U75+W75+Y75+AA75+AC75+AE75+AG75+AI75+AK75+AM75</f>
        <v>0</v>
      </c>
      <c r="F75" s="1514">
        <v>0</v>
      </c>
      <c r="G75" s="529">
        <v>0</v>
      </c>
      <c r="H75" s="1514">
        <v>0</v>
      </c>
      <c r="I75" s="1039">
        <v>0</v>
      </c>
      <c r="J75" s="1514">
        <v>0</v>
      </c>
      <c r="K75" s="529">
        <v>0</v>
      </c>
      <c r="L75" s="1514">
        <v>0</v>
      </c>
      <c r="M75" s="1039">
        <v>0</v>
      </c>
      <c r="N75" s="1514">
        <v>0</v>
      </c>
      <c r="O75" s="529">
        <v>0</v>
      </c>
      <c r="P75" s="1514">
        <v>0</v>
      </c>
      <c r="Q75" s="1039">
        <v>0</v>
      </c>
      <c r="R75" s="1514">
        <v>0</v>
      </c>
      <c r="S75" s="529">
        <v>0</v>
      </c>
      <c r="T75" s="1514">
        <v>0</v>
      </c>
      <c r="U75" s="1039">
        <v>0</v>
      </c>
      <c r="V75" s="1514">
        <v>0</v>
      </c>
      <c r="W75" s="529">
        <v>0</v>
      </c>
      <c r="X75" s="1514">
        <v>0</v>
      </c>
      <c r="Y75" s="1039">
        <v>0</v>
      </c>
      <c r="Z75" s="1514">
        <v>0</v>
      </c>
      <c r="AA75" s="529">
        <v>0</v>
      </c>
      <c r="AB75" s="1514">
        <v>0</v>
      </c>
      <c r="AC75" s="1039">
        <v>0</v>
      </c>
      <c r="AD75" s="1514">
        <v>0</v>
      </c>
      <c r="AE75" s="529">
        <v>0</v>
      </c>
      <c r="AF75" s="1514">
        <v>0</v>
      </c>
      <c r="AG75" s="1039">
        <v>0</v>
      </c>
      <c r="AH75" s="1514">
        <v>0</v>
      </c>
      <c r="AI75" s="529">
        <v>0</v>
      </c>
      <c r="AJ75" s="1514">
        <v>0</v>
      </c>
      <c r="AK75" s="1039">
        <v>0</v>
      </c>
      <c r="AL75" s="1514">
        <v>0</v>
      </c>
      <c r="AM75" s="529">
        <v>0</v>
      </c>
      <c r="AN75" s="668">
        <v>0</v>
      </c>
      <c r="AO75" s="1516">
        <v>0</v>
      </c>
      <c r="AP75" s="1533">
        <v>0</v>
      </c>
      <c r="AQ75" s="1039">
        <v>0</v>
      </c>
      <c r="AR75" s="1515">
        <v>0</v>
      </c>
      <c r="AS75" s="1039">
        <v>0</v>
      </c>
      <c r="AT75" s="1039">
        <v>0</v>
      </c>
      <c r="AU75" s="1039">
        <v>0</v>
      </c>
      <c r="AV75" s="1039">
        <v>0</v>
      </c>
      <c r="AW75" s="1039">
        <v>0</v>
      </c>
      <c r="AX75" s="1039">
        <v>0</v>
      </c>
      <c r="AY75" s="1057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48">
        <f>IF(AND($E75&gt;0,OR(AN75="")),1,IF(AN75&gt;$E75,1,0))</f>
        <v>0</v>
      </c>
      <c r="CO75" s="1048">
        <f>IF(AND($E75&gt;0,OR(AO75="")),1,IF(AO75&gt;$E75,1,0))</f>
        <v>0</v>
      </c>
      <c r="CP75" s="1048">
        <f>IF(AND($D75&gt;0,OR(AP75="")),1,IF(AP75&gt;$D75,1,0))</f>
        <v>0</v>
      </c>
      <c r="CQ75" s="1048">
        <f>IF(AND($E75&gt;0,OR(AQ75="")),1,IF(AQ75&gt;$E75,1,0))</f>
        <v>0</v>
      </c>
      <c r="CR75" s="1048">
        <f>IF(AND($D75&gt;0,OR(AR75="")),1,IF(AR75&gt;$D75,1,0))</f>
        <v>0</v>
      </c>
      <c r="CS75" s="1048">
        <f>IF(AND($E75&gt;0,OR(AS75="")),1,IF(AS75&gt;$E75,1,0))</f>
        <v>0</v>
      </c>
      <c r="CT75" s="1048">
        <f>IF(AND($C75&gt;0,OR(AT75="")),1,IF(AT75&gt;$C75,1,0))</f>
        <v>0</v>
      </c>
      <c r="CU75" s="1048">
        <f>IF(AND($C75&gt;0,OR(AU75="")),1,IF(AU75&gt;$C75,1,0))</f>
        <v>0</v>
      </c>
      <c r="CV75" s="1048">
        <f>IF(AND($C75&gt;0,OR(AV75="")),1,IF(AV75&gt;$C75,1,0))</f>
        <v>0</v>
      </c>
      <c r="CW75" s="1048">
        <f>IF(AND(E75&gt;0,OR(AW75="")),1,IF(AW75&gt;$E75,1,0))</f>
        <v>0</v>
      </c>
      <c r="CX75" s="1048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71" t="s">
        <v>638</v>
      </c>
      <c r="B76" s="2072"/>
      <c r="C76" s="861"/>
      <c r="D76" s="885"/>
      <c r="E76" s="1154"/>
      <c r="F76" s="433"/>
      <c r="G76" s="434"/>
      <c r="H76" s="433"/>
      <c r="I76" s="434"/>
      <c r="J76" s="433"/>
      <c r="K76" s="434"/>
      <c r="L76" s="433"/>
      <c r="M76" s="434"/>
      <c r="N76" s="433"/>
      <c r="O76" s="434"/>
      <c r="P76" s="433"/>
      <c r="Q76" s="434"/>
      <c r="R76" s="433"/>
      <c r="S76" s="434"/>
      <c r="T76" s="433"/>
      <c r="U76" s="434"/>
      <c r="V76" s="433"/>
      <c r="W76" s="434"/>
      <c r="X76" s="433"/>
      <c r="Y76" s="434"/>
      <c r="Z76" s="433"/>
      <c r="AA76" s="434"/>
      <c r="AB76" s="433"/>
      <c r="AC76" s="434"/>
      <c r="AD76" s="433"/>
      <c r="AE76" s="434"/>
      <c r="AF76" s="433"/>
      <c r="AG76" s="434"/>
      <c r="AH76" s="433"/>
      <c r="AI76" s="434"/>
      <c r="AJ76" s="433"/>
      <c r="AK76" s="434"/>
      <c r="AL76" s="433"/>
      <c r="AM76" s="1154"/>
      <c r="AN76" s="1331"/>
      <c r="AO76" s="861"/>
      <c r="AP76" s="433"/>
      <c r="AQ76" s="435"/>
      <c r="AR76" s="885"/>
      <c r="AS76" s="434"/>
      <c r="AT76" s="434"/>
      <c r="AU76" s="434"/>
      <c r="AV76" s="434"/>
      <c r="AW76" s="434"/>
      <c r="AX76" s="434"/>
      <c r="AY76" s="1057"/>
      <c r="AZ76" s="109"/>
      <c r="BA76" s="109"/>
      <c r="BB76" s="109"/>
      <c r="CA76" s="1087"/>
      <c r="CB76" s="1087"/>
      <c r="CC76" s="1087"/>
      <c r="CD76" s="1087"/>
      <c r="CE76" s="1087"/>
      <c r="CF76" s="1087"/>
      <c r="CG76" s="1087"/>
      <c r="CH76" s="1087"/>
      <c r="CI76" s="1088"/>
      <c r="CJ76" s="1087"/>
      <c r="CK76" s="1087"/>
      <c r="CL76" s="107"/>
      <c r="CM76" s="107"/>
      <c r="CN76" s="1087"/>
      <c r="CO76" s="1087"/>
      <c r="CP76" s="1087"/>
      <c r="CQ76" s="1087"/>
      <c r="CR76" s="1087"/>
      <c r="CS76" s="1087"/>
      <c r="CT76" s="1087"/>
      <c r="CU76" s="1087"/>
      <c r="CV76" s="1087"/>
      <c r="CW76" s="1087"/>
      <c r="CX76" s="1087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066" t="s">
        <v>697</v>
      </c>
      <c r="B77" s="110" t="s">
        <v>640</v>
      </c>
      <c r="C77" s="1146">
        <f t="shared" ref="C77:C80" si="111">SUM(D77:E77)</f>
        <v>0</v>
      </c>
      <c r="D77" s="392">
        <f t="shared" ref="D77:D80" si="112">+F77+H77+J77+L77+N77+P77+R77+T77+V77+X77+Z77+AB77+AD77+AF77+AH77+AJ77+AL77</f>
        <v>0</v>
      </c>
      <c r="E77" s="539">
        <f t="shared" ref="E77:E80" si="113">+G77+I77+K77+M77+O77+Q77+S77+U77+W77+Y77+AA77+AC77+AE77+AG77+AI77+AK77+AM77</f>
        <v>0</v>
      </c>
      <c r="F77" s="394">
        <v>0</v>
      </c>
      <c r="G77" s="395">
        <v>0</v>
      </c>
      <c r="H77" s="394">
        <v>0</v>
      </c>
      <c r="I77" s="395">
        <v>0</v>
      </c>
      <c r="J77" s="394">
        <v>0</v>
      </c>
      <c r="K77" s="395">
        <v>0</v>
      </c>
      <c r="L77" s="394">
        <v>0</v>
      </c>
      <c r="M77" s="395">
        <v>0</v>
      </c>
      <c r="N77" s="394">
        <v>0</v>
      </c>
      <c r="O77" s="395">
        <v>0</v>
      </c>
      <c r="P77" s="394">
        <v>0</v>
      </c>
      <c r="Q77" s="395">
        <v>0</v>
      </c>
      <c r="R77" s="394">
        <v>0</v>
      </c>
      <c r="S77" s="395">
        <v>0</v>
      </c>
      <c r="T77" s="394">
        <v>0</v>
      </c>
      <c r="U77" s="395">
        <v>0</v>
      </c>
      <c r="V77" s="394">
        <v>0</v>
      </c>
      <c r="W77" s="395">
        <v>0</v>
      </c>
      <c r="X77" s="394">
        <v>0</v>
      </c>
      <c r="Y77" s="395">
        <v>0</v>
      </c>
      <c r="Z77" s="394">
        <v>0</v>
      </c>
      <c r="AA77" s="395">
        <v>0</v>
      </c>
      <c r="AB77" s="394">
        <v>0</v>
      </c>
      <c r="AC77" s="395">
        <v>0</v>
      </c>
      <c r="AD77" s="394">
        <v>0</v>
      </c>
      <c r="AE77" s="395">
        <v>0</v>
      </c>
      <c r="AF77" s="394">
        <v>0</v>
      </c>
      <c r="AG77" s="395">
        <v>0</v>
      </c>
      <c r="AH77" s="394">
        <v>0</v>
      </c>
      <c r="AI77" s="395">
        <v>0</v>
      </c>
      <c r="AJ77" s="394">
        <v>0</v>
      </c>
      <c r="AK77" s="395">
        <v>0</v>
      </c>
      <c r="AL77" s="394">
        <v>0</v>
      </c>
      <c r="AM77" s="543">
        <v>0</v>
      </c>
      <c r="AN77" s="649">
        <v>0</v>
      </c>
      <c r="AO77" s="650">
        <v>0</v>
      </c>
      <c r="AP77" s="394">
        <v>0</v>
      </c>
      <c r="AQ77" s="461">
        <v>0</v>
      </c>
      <c r="AR77" s="462">
        <v>0</v>
      </c>
      <c r="AS77" s="395">
        <v>0</v>
      </c>
      <c r="AT77" s="395">
        <v>0</v>
      </c>
      <c r="AU77" s="395">
        <v>0</v>
      </c>
      <c r="AV77" s="395">
        <v>0</v>
      </c>
      <c r="AW77" s="395">
        <v>0</v>
      </c>
      <c r="AX77" s="395">
        <v>0</v>
      </c>
      <c r="AY77" s="1057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48">
        <f t="shared" ref="CN77:CN89" si="123">IF(AND($E77&gt;0,OR(AN77="")),1,IF(AN77&gt;$E77,1,0))</f>
        <v>0</v>
      </c>
      <c r="CO77" s="1048">
        <f t="shared" ref="CO77:CO96" si="124">IF(AND($E77&gt;0,OR(AO77="")),1,IF(AO77&gt;$E77,1,0))</f>
        <v>0</v>
      </c>
      <c r="CP77" s="1048">
        <f t="shared" ref="CP77:CP89" si="125">IF(AND($D77&gt;0,OR(AP77="")),1,IF(AP77&gt;$D77,1,0))</f>
        <v>0</v>
      </c>
      <c r="CQ77" s="1048">
        <f t="shared" ref="CQ77:CQ96" si="126">IF(AND($E77&gt;0,OR(AQ77="")),1,IF(AQ77&gt;$E77,1,0))</f>
        <v>0</v>
      </c>
      <c r="CR77" s="1048">
        <f t="shared" ref="CR77:CR89" si="127">IF(AND($D77&gt;0,OR(AR77="")),1,IF(AR77&gt;$D77,1,0))</f>
        <v>0</v>
      </c>
      <c r="CS77" s="1048">
        <f t="shared" ref="CS77:CS96" si="128">IF(AND($E77&gt;0,OR(AS77="")),1,IF(AS77&gt;$E77,1,0))</f>
        <v>0</v>
      </c>
      <c r="CT77" s="1048">
        <f t="shared" ref="CT77:CT96" si="129">IF(AND($C77&gt;0,OR(AT77="")),1,IF(AT77&gt;$C77,1,0))</f>
        <v>0</v>
      </c>
      <c r="CU77" s="1048">
        <f t="shared" ref="CU77:CU96" si="130">IF(AND($C77&gt;0,OR(AU77="")),1,IF(AU77&gt;$C77,1,0))</f>
        <v>0</v>
      </c>
      <c r="CV77" s="1048">
        <f t="shared" ref="CV77:CV96" si="131">IF(AND($C77&gt;0,OR(AV77="")),1,IF(AV77&gt;$C77,1,0))</f>
        <v>0</v>
      </c>
      <c r="CW77" s="1048">
        <f t="shared" ref="CW77:CW120" si="132">IF(AND(E77&gt;0,OR(AW77="")),1,IF(AW77&gt;$E77,1,0))</f>
        <v>0</v>
      </c>
      <c r="CX77" s="1048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067"/>
      <c r="B78" s="111" t="s">
        <v>641</v>
      </c>
      <c r="C78" s="1143">
        <f t="shared" si="111"/>
        <v>0</v>
      </c>
      <c r="D78" s="387">
        <f t="shared" si="112"/>
        <v>0</v>
      </c>
      <c r="E78" s="531">
        <f>+G78+I78+K78+M78+O78+Q78+S78+U78+W78+Y78+AA78+AC78+AE78+AG78+AI78+AK78+AM78</f>
        <v>0</v>
      </c>
      <c r="F78" s="417">
        <v>0</v>
      </c>
      <c r="G78" s="418">
        <v>0</v>
      </c>
      <c r="H78" s="417">
        <v>0</v>
      </c>
      <c r="I78" s="418">
        <v>0</v>
      </c>
      <c r="J78" s="417">
        <v>0</v>
      </c>
      <c r="K78" s="418">
        <v>0</v>
      </c>
      <c r="L78" s="417">
        <v>0</v>
      </c>
      <c r="M78" s="418">
        <v>0</v>
      </c>
      <c r="N78" s="417">
        <v>0</v>
      </c>
      <c r="O78" s="418">
        <v>0</v>
      </c>
      <c r="P78" s="417">
        <v>0</v>
      </c>
      <c r="Q78" s="418">
        <v>0</v>
      </c>
      <c r="R78" s="417">
        <v>0</v>
      </c>
      <c r="S78" s="418">
        <v>0</v>
      </c>
      <c r="T78" s="417">
        <v>0</v>
      </c>
      <c r="U78" s="418">
        <v>0</v>
      </c>
      <c r="V78" s="417">
        <v>0</v>
      </c>
      <c r="W78" s="418">
        <v>0</v>
      </c>
      <c r="X78" s="417">
        <v>0</v>
      </c>
      <c r="Y78" s="418">
        <v>0</v>
      </c>
      <c r="Z78" s="417">
        <v>0</v>
      </c>
      <c r="AA78" s="418">
        <v>0</v>
      </c>
      <c r="AB78" s="417">
        <v>0</v>
      </c>
      <c r="AC78" s="418">
        <v>0</v>
      </c>
      <c r="AD78" s="417">
        <v>0</v>
      </c>
      <c r="AE78" s="418">
        <v>0</v>
      </c>
      <c r="AF78" s="417">
        <v>0</v>
      </c>
      <c r="AG78" s="418">
        <v>0</v>
      </c>
      <c r="AH78" s="417">
        <v>0</v>
      </c>
      <c r="AI78" s="418">
        <v>0</v>
      </c>
      <c r="AJ78" s="417">
        <v>0</v>
      </c>
      <c r="AK78" s="418">
        <v>0</v>
      </c>
      <c r="AL78" s="417">
        <v>0</v>
      </c>
      <c r="AM78" s="469">
        <v>0</v>
      </c>
      <c r="AN78" s="456">
        <v>0</v>
      </c>
      <c r="AO78" s="656">
        <v>0</v>
      </c>
      <c r="AP78" s="417">
        <v>0</v>
      </c>
      <c r="AQ78" s="432">
        <v>0</v>
      </c>
      <c r="AR78" s="468">
        <v>0</v>
      </c>
      <c r="AS78" s="418">
        <v>0</v>
      </c>
      <c r="AT78" s="418">
        <v>0</v>
      </c>
      <c r="AU78" s="418">
        <v>0</v>
      </c>
      <c r="AV78" s="418">
        <v>0</v>
      </c>
      <c r="AW78" s="418">
        <v>0</v>
      </c>
      <c r="AX78" s="418">
        <v>0</v>
      </c>
      <c r="AY78" s="1057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48">
        <f t="shared" si="123"/>
        <v>0</v>
      </c>
      <c r="CO78" s="1048">
        <f t="shared" si="124"/>
        <v>0</v>
      </c>
      <c r="CP78" s="1048">
        <f t="shared" si="125"/>
        <v>0</v>
      </c>
      <c r="CQ78" s="1048">
        <f t="shared" si="126"/>
        <v>0</v>
      </c>
      <c r="CR78" s="1048">
        <f t="shared" si="127"/>
        <v>0</v>
      </c>
      <c r="CS78" s="1048">
        <f t="shared" si="128"/>
        <v>0</v>
      </c>
      <c r="CT78" s="1048">
        <f t="shared" si="129"/>
        <v>0</v>
      </c>
      <c r="CU78" s="1048">
        <f t="shared" si="130"/>
        <v>0</v>
      </c>
      <c r="CV78" s="1048">
        <f t="shared" si="131"/>
        <v>0</v>
      </c>
      <c r="CW78" s="1048">
        <f t="shared" si="132"/>
        <v>0</v>
      </c>
      <c r="CX78" s="1048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066" t="s">
        <v>642</v>
      </c>
      <c r="B79" s="110" t="s">
        <v>640</v>
      </c>
      <c r="C79" s="1146">
        <f t="shared" si="111"/>
        <v>0</v>
      </c>
      <c r="D79" s="392">
        <f t="shared" si="112"/>
        <v>0</v>
      </c>
      <c r="E79" s="539">
        <f t="shared" si="113"/>
        <v>0</v>
      </c>
      <c r="F79" s="394">
        <v>0</v>
      </c>
      <c r="G79" s="395">
        <v>0</v>
      </c>
      <c r="H79" s="394">
        <v>0</v>
      </c>
      <c r="I79" s="395">
        <v>0</v>
      </c>
      <c r="J79" s="394">
        <v>0</v>
      </c>
      <c r="K79" s="395">
        <v>0</v>
      </c>
      <c r="L79" s="394">
        <v>0</v>
      </c>
      <c r="M79" s="395">
        <v>0</v>
      </c>
      <c r="N79" s="394">
        <v>0</v>
      </c>
      <c r="O79" s="395">
        <v>0</v>
      </c>
      <c r="P79" s="394">
        <v>0</v>
      </c>
      <c r="Q79" s="395">
        <v>0</v>
      </c>
      <c r="R79" s="394">
        <v>0</v>
      </c>
      <c r="S79" s="395">
        <v>0</v>
      </c>
      <c r="T79" s="394">
        <v>0</v>
      </c>
      <c r="U79" s="395">
        <v>0</v>
      </c>
      <c r="V79" s="394">
        <v>0</v>
      </c>
      <c r="W79" s="395">
        <v>0</v>
      </c>
      <c r="X79" s="394">
        <v>0</v>
      </c>
      <c r="Y79" s="395">
        <v>0</v>
      </c>
      <c r="Z79" s="394">
        <v>0</v>
      </c>
      <c r="AA79" s="395">
        <v>0</v>
      </c>
      <c r="AB79" s="394">
        <v>0</v>
      </c>
      <c r="AC79" s="395">
        <v>0</v>
      </c>
      <c r="AD79" s="394">
        <v>0</v>
      </c>
      <c r="AE79" s="395">
        <v>0</v>
      </c>
      <c r="AF79" s="394">
        <v>0</v>
      </c>
      <c r="AG79" s="395">
        <v>0</v>
      </c>
      <c r="AH79" s="394">
        <v>0</v>
      </c>
      <c r="AI79" s="395">
        <v>0</v>
      </c>
      <c r="AJ79" s="394">
        <v>0</v>
      </c>
      <c r="AK79" s="395">
        <v>0</v>
      </c>
      <c r="AL79" s="394">
        <v>0</v>
      </c>
      <c r="AM79" s="543">
        <v>0</v>
      </c>
      <c r="AN79" s="649">
        <v>0</v>
      </c>
      <c r="AO79" s="650">
        <v>0</v>
      </c>
      <c r="AP79" s="394">
        <v>0</v>
      </c>
      <c r="AQ79" s="461">
        <v>0</v>
      </c>
      <c r="AR79" s="462">
        <v>0</v>
      </c>
      <c r="AS79" s="395">
        <v>0</v>
      </c>
      <c r="AT79" s="395">
        <v>0</v>
      </c>
      <c r="AU79" s="395">
        <v>0</v>
      </c>
      <c r="AV79" s="395">
        <v>0</v>
      </c>
      <c r="AW79" s="395">
        <v>0</v>
      </c>
      <c r="AX79" s="395">
        <v>0</v>
      </c>
      <c r="AY79" s="1057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48">
        <f t="shared" si="123"/>
        <v>0</v>
      </c>
      <c r="CO79" s="1048">
        <f t="shared" si="124"/>
        <v>0</v>
      </c>
      <c r="CP79" s="1048">
        <f t="shared" si="125"/>
        <v>0</v>
      </c>
      <c r="CQ79" s="1048">
        <f t="shared" si="126"/>
        <v>0</v>
      </c>
      <c r="CR79" s="1048">
        <f t="shared" si="127"/>
        <v>0</v>
      </c>
      <c r="CS79" s="1048">
        <f t="shared" si="128"/>
        <v>0</v>
      </c>
      <c r="CT79" s="1048">
        <f t="shared" si="129"/>
        <v>0</v>
      </c>
      <c r="CU79" s="1048">
        <f t="shared" si="130"/>
        <v>0</v>
      </c>
      <c r="CV79" s="1048">
        <f t="shared" si="131"/>
        <v>0</v>
      </c>
      <c r="CW79" s="1048">
        <f t="shared" si="132"/>
        <v>0</v>
      </c>
      <c r="CX79" s="1048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067"/>
      <c r="B80" s="111" t="s">
        <v>641</v>
      </c>
      <c r="C80" s="1143">
        <f t="shared" si="111"/>
        <v>0</v>
      </c>
      <c r="D80" s="387">
        <f t="shared" si="112"/>
        <v>0</v>
      </c>
      <c r="E80" s="531">
        <f t="shared" si="113"/>
        <v>0</v>
      </c>
      <c r="F80" s="417">
        <v>0</v>
      </c>
      <c r="G80" s="418">
        <v>0</v>
      </c>
      <c r="H80" s="417">
        <v>0</v>
      </c>
      <c r="I80" s="418">
        <v>0</v>
      </c>
      <c r="J80" s="417">
        <v>0</v>
      </c>
      <c r="K80" s="418">
        <v>0</v>
      </c>
      <c r="L80" s="417">
        <v>0</v>
      </c>
      <c r="M80" s="418">
        <v>0</v>
      </c>
      <c r="N80" s="417">
        <v>0</v>
      </c>
      <c r="O80" s="418">
        <v>0</v>
      </c>
      <c r="P80" s="417">
        <v>0</v>
      </c>
      <c r="Q80" s="418">
        <v>0</v>
      </c>
      <c r="R80" s="417">
        <v>0</v>
      </c>
      <c r="S80" s="418">
        <v>0</v>
      </c>
      <c r="T80" s="417">
        <v>0</v>
      </c>
      <c r="U80" s="418">
        <v>0</v>
      </c>
      <c r="V80" s="417">
        <v>0</v>
      </c>
      <c r="W80" s="418">
        <v>0</v>
      </c>
      <c r="X80" s="417">
        <v>0</v>
      </c>
      <c r="Y80" s="418">
        <v>0</v>
      </c>
      <c r="Z80" s="417">
        <v>0</v>
      </c>
      <c r="AA80" s="418">
        <v>0</v>
      </c>
      <c r="AB80" s="417">
        <v>0</v>
      </c>
      <c r="AC80" s="418">
        <v>0</v>
      </c>
      <c r="AD80" s="417">
        <v>0</v>
      </c>
      <c r="AE80" s="418">
        <v>0</v>
      </c>
      <c r="AF80" s="417">
        <v>0</v>
      </c>
      <c r="AG80" s="418">
        <v>0</v>
      </c>
      <c r="AH80" s="417">
        <v>0</v>
      </c>
      <c r="AI80" s="418">
        <v>0</v>
      </c>
      <c r="AJ80" s="417">
        <v>0</v>
      </c>
      <c r="AK80" s="418">
        <v>0</v>
      </c>
      <c r="AL80" s="417">
        <v>0</v>
      </c>
      <c r="AM80" s="469">
        <v>0</v>
      </c>
      <c r="AN80" s="456">
        <v>0</v>
      </c>
      <c r="AO80" s="656">
        <v>0</v>
      </c>
      <c r="AP80" s="417">
        <v>0</v>
      </c>
      <c r="AQ80" s="432">
        <v>0</v>
      </c>
      <c r="AR80" s="468">
        <v>0</v>
      </c>
      <c r="AS80" s="418">
        <v>0</v>
      </c>
      <c r="AT80" s="418">
        <v>0</v>
      </c>
      <c r="AU80" s="418">
        <v>0</v>
      </c>
      <c r="AV80" s="418">
        <v>0</v>
      </c>
      <c r="AW80" s="418">
        <v>0</v>
      </c>
      <c r="AX80" s="418">
        <v>0</v>
      </c>
      <c r="AY80" s="1057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48">
        <f t="shared" si="123"/>
        <v>0</v>
      </c>
      <c r="CO80" s="1048">
        <f t="shared" si="124"/>
        <v>0</v>
      </c>
      <c r="CP80" s="1048">
        <f t="shared" si="125"/>
        <v>0</v>
      </c>
      <c r="CQ80" s="1048">
        <f t="shared" si="126"/>
        <v>0</v>
      </c>
      <c r="CR80" s="1048">
        <f t="shared" si="127"/>
        <v>0</v>
      </c>
      <c r="CS80" s="1048">
        <f t="shared" si="128"/>
        <v>0</v>
      </c>
      <c r="CT80" s="1048">
        <f t="shared" si="129"/>
        <v>0</v>
      </c>
      <c r="CU80" s="1048">
        <f t="shared" si="130"/>
        <v>0</v>
      </c>
      <c r="CV80" s="1048">
        <f t="shared" si="131"/>
        <v>0</v>
      </c>
      <c r="CW80" s="1048">
        <f t="shared" si="132"/>
        <v>0</v>
      </c>
      <c r="CX80" s="1048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066" t="s">
        <v>698</v>
      </c>
      <c r="B81" s="110" t="s">
        <v>640</v>
      </c>
      <c r="C81" s="1146">
        <f t="shared" ref="C81:C89" si="137">SUM(D81:E81)</f>
        <v>0</v>
      </c>
      <c r="D81" s="392">
        <f t="shared" ref="D81:D89" si="138">+F81+H81+J81+L81+N81+P81+R81+T81+V81+X81+Z81+AB81+AD81+AF81+AH81+AJ81+AL81</f>
        <v>0</v>
      </c>
      <c r="E81" s="539">
        <f t="shared" ref="E81:E89" si="139">+G81+I81+K81+M81+O81+Q81+S81+U81+W81+Y81+AA81+AC81+AE81+AG81+AI81+AK81+AM81</f>
        <v>0</v>
      </c>
      <c r="F81" s="394">
        <v>0</v>
      </c>
      <c r="G81" s="395">
        <v>0</v>
      </c>
      <c r="H81" s="394">
        <v>0</v>
      </c>
      <c r="I81" s="395">
        <v>0</v>
      </c>
      <c r="J81" s="394">
        <v>0</v>
      </c>
      <c r="K81" s="395">
        <v>0</v>
      </c>
      <c r="L81" s="394">
        <v>0</v>
      </c>
      <c r="M81" s="395">
        <v>0</v>
      </c>
      <c r="N81" s="394">
        <v>0</v>
      </c>
      <c r="O81" s="395">
        <v>0</v>
      </c>
      <c r="P81" s="394">
        <v>0</v>
      </c>
      <c r="Q81" s="395">
        <v>0</v>
      </c>
      <c r="R81" s="394">
        <v>0</v>
      </c>
      <c r="S81" s="395">
        <v>0</v>
      </c>
      <c r="T81" s="394">
        <v>0</v>
      </c>
      <c r="U81" s="395">
        <v>0</v>
      </c>
      <c r="V81" s="394">
        <v>0</v>
      </c>
      <c r="W81" s="395">
        <v>0</v>
      </c>
      <c r="X81" s="394">
        <v>0</v>
      </c>
      <c r="Y81" s="395">
        <v>0</v>
      </c>
      <c r="Z81" s="394">
        <v>0</v>
      </c>
      <c r="AA81" s="395">
        <v>0</v>
      </c>
      <c r="AB81" s="394">
        <v>0</v>
      </c>
      <c r="AC81" s="395">
        <v>0</v>
      </c>
      <c r="AD81" s="394">
        <v>0</v>
      </c>
      <c r="AE81" s="395">
        <v>0</v>
      </c>
      <c r="AF81" s="394">
        <v>0</v>
      </c>
      <c r="AG81" s="395">
        <v>0</v>
      </c>
      <c r="AH81" s="394">
        <v>0</v>
      </c>
      <c r="AI81" s="395">
        <v>0</v>
      </c>
      <c r="AJ81" s="394">
        <v>0</v>
      </c>
      <c r="AK81" s="395">
        <v>0</v>
      </c>
      <c r="AL81" s="394">
        <v>0</v>
      </c>
      <c r="AM81" s="543">
        <v>0</v>
      </c>
      <c r="AN81" s="649">
        <v>0</v>
      </c>
      <c r="AO81" s="650">
        <v>0</v>
      </c>
      <c r="AP81" s="394">
        <v>0</v>
      </c>
      <c r="AQ81" s="461">
        <v>0</v>
      </c>
      <c r="AR81" s="462">
        <v>0</v>
      </c>
      <c r="AS81" s="395">
        <v>0</v>
      </c>
      <c r="AT81" s="395">
        <v>0</v>
      </c>
      <c r="AU81" s="395">
        <v>0</v>
      </c>
      <c r="AV81" s="395">
        <v>0</v>
      </c>
      <c r="AW81" s="395">
        <v>0</v>
      </c>
      <c r="AX81" s="395">
        <v>0</v>
      </c>
      <c r="AY81" s="1057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48">
        <f t="shared" si="123"/>
        <v>0</v>
      </c>
      <c r="CO81" s="1048">
        <f t="shared" si="124"/>
        <v>0</v>
      </c>
      <c r="CP81" s="1048">
        <f t="shared" si="125"/>
        <v>0</v>
      </c>
      <c r="CQ81" s="1048">
        <f t="shared" si="126"/>
        <v>0</v>
      </c>
      <c r="CR81" s="1048">
        <f t="shared" si="127"/>
        <v>0</v>
      </c>
      <c r="CS81" s="1048">
        <f t="shared" si="128"/>
        <v>0</v>
      </c>
      <c r="CT81" s="1048">
        <f t="shared" si="129"/>
        <v>0</v>
      </c>
      <c r="CU81" s="1048">
        <f t="shared" si="130"/>
        <v>0</v>
      </c>
      <c r="CV81" s="1048">
        <f t="shared" si="131"/>
        <v>0</v>
      </c>
      <c r="CW81" s="1048">
        <f t="shared" si="132"/>
        <v>0</v>
      </c>
      <c r="CX81" s="1048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067"/>
      <c r="B82" s="111" t="s">
        <v>641</v>
      </c>
      <c r="C82" s="1144">
        <f t="shared" si="137"/>
        <v>0</v>
      </c>
      <c r="D82" s="391">
        <f t="shared" si="138"/>
        <v>0</v>
      </c>
      <c r="E82" s="532">
        <f t="shared" si="139"/>
        <v>0</v>
      </c>
      <c r="F82" s="403">
        <v>0</v>
      </c>
      <c r="G82" s="404">
        <v>0</v>
      </c>
      <c r="H82" s="403">
        <v>0</v>
      </c>
      <c r="I82" s="404">
        <v>0</v>
      </c>
      <c r="J82" s="403">
        <v>0</v>
      </c>
      <c r="K82" s="404">
        <v>0</v>
      </c>
      <c r="L82" s="403">
        <v>0</v>
      </c>
      <c r="M82" s="404">
        <v>0</v>
      </c>
      <c r="N82" s="403">
        <v>0</v>
      </c>
      <c r="O82" s="404">
        <v>0</v>
      </c>
      <c r="P82" s="403">
        <v>0</v>
      </c>
      <c r="Q82" s="404">
        <v>0</v>
      </c>
      <c r="R82" s="403">
        <v>0</v>
      </c>
      <c r="S82" s="404">
        <v>0</v>
      </c>
      <c r="T82" s="403">
        <v>0</v>
      </c>
      <c r="U82" s="404">
        <v>0</v>
      </c>
      <c r="V82" s="403">
        <v>0</v>
      </c>
      <c r="W82" s="404">
        <v>0</v>
      </c>
      <c r="X82" s="403">
        <v>0</v>
      </c>
      <c r="Y82" s="404">
        <v>0</v>
      </c>
      <c r="Z82" s="403">
        <v>0</v>
      </c>
      <c r="AA82" s="404">
        <v>0</v>
      </c>
      <c r="AB82" s="403">
        <v>0</v>
      </c>
      <c r="AC82" s="404">
        <v>0</v>
      </c>
      <c r="AD82" s="403">
        <v>0</v>
      </c>
      <c r="AE82" s="404">
        <v>0</v>
      </c>
      <c r="AF82" s="403">
        <v>0</v>
      </c>
      <c r="AG82" s="404">
        <v>0</v>
      </c>
      <c r="AH82" s="403">
        <v>0</v>
      </c>
      <c r="AI82" s="404">
        <v>0</v>
      </c>
      <c r="AJ82" s="403">
        <v>0</v>
      </c>
      <c r="AK82" s="404">
        <v>0</v>
      </c>
      <c r="AL82" s="403">
        <v>0</v>
      </c>
      <c r="AM82" s="470">
        <v>0</v>
      </c>
      <c r="AN82" s="652">
        <v>0</v>
      </c>
      <c r="AO82" s="653">
        <v>0</v>
      </c>
      <c r="AP82" s="403">
        <v>0</v>
      </c>
      <c r="AQ82" s="442">
        <v>0</v>
      </c>
      <c r="AR82" s="464">
        <v>0</v>
      </c>
      <c r="AS82" s="404">
        <v>0</v>
      </c>
      <c r="AT82" s="404">
        <v>0</v>
      </c>
      <c r="AU82" s="404">
        <v>0</v>
      </c>
      <c r="AV82" s="404">
        <v>0</v>
      </c>
      <c r="AW82" s="404">
        <v>0</v>
      </c>
      <c r="AX82" s="404">
        <v>0</v>
      </c>
      <c r="AY82" s="1057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48">
        <f t="shared" si="123"/>
        <v>0</v>
      </c>
      <c r="CO82" s="1048">
        <f t="shared" si="124"/>
        <v>0</v>
      </c>
      <c r="CP82" s="1048">
        <f t="shared" si="125"/>
        <v>0</v>
      </c>
      <c r="CQ82" s="1048">
        <f t="shared" si="126"/>
        <v>0</v>
      </c>
      <c r="CR82" s="1048">
        <f t="shared" si="127"/>
        <v>0</v>
      </c>
      <c r="CS82" s="1048">
        <f t="shared" si="128"/>
        <v>0</v>
      </c>
      <c r="CT82" s="1048">
        <f t="shared" si="129"/>
        <v>0</v>
      </c>
      <c r="CU82" s="1048">
        <f t="shared" si="130"/>
        <v>0</v>
      </c>
      <c r="CV82" s="1048">
        <f t="shared" si="131"/>
        <v>0</v>
      </c>
      <c r="CW82" s="1048">
        <f t="shared" si="132"/>
        <v>0</v>
      </c>
      <c r="CX82" s="1048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34" t="s">
        <v>645</v>
      </c>
      <c r="B83" s="1535"/>
      <c r="C83" s="1482">
        <f t="shared" si="137"/>
        <v>0</v>
      </c>
      <c r="D83" s="1483">
        <f t="shared" si="138"/>
        <v>0</v>
      </c>
      <c r="E83" s="460">
        <f t="shared" si="139"/>
        <v>0</v>
      </c>
      <c r="F83" s="413">
        <v>0</v>
      </c>
      <c r="G83" s="414">
        <v>0</v>
      </c>
      <c r="H83" s="413">
        <v>0</v>
      </c>
      <c r="I83" s="414">
        <v>0</v>
      </c>
      <c r="J83" s="413">
        <v>0</v>
      </c>
      <c r="K83" s="414">
        <v>0</v>
      </c>
      <c r="L83" s="413">
        <v>0</v>
      </c>
      <c r="M83" s="414">
        <v>0</v>
      </c>
      <c r="N83" s="413">
        <v>0</v>
      </c>
      <c r="O83" s="414">
        <v>0</v>
      </c>
      <c r="P83" s="413">
        <v>0</v>
      </c>
      <c r="Q83" s="414">
        <v>0</v>
      </c>
      <c r="R83" s="413">
        <v>0</v>
      </c>
      <c r="S83" s="414">
        <v>0</v>
      </c>
      <c r="T83" s="413">
        <v>0</v>
      </c>
      <c r="U83" s="414">
        <v>0</v>
      </c>
      <c r="V83" s="413">
        <v>0</v>
      </c>
      <c r="W83" s="414">
        <v>0</v>
      </c>
      <c r="X83" s="413">
        <v>0</v>
      </c>
      <c r="Y83" s="414">
        <v>0</v>
      </c>
      <c r="Z83" s="413">
        <v>0</v>
      </c>
      <c r="AA83" s="414">
        <v>0</v>
      </c>
      <c r="AB83" s="413">
        <v>0</v>
      </c>
      <c r="AC83" s="414">
        <v>0</v>
      </c>
      <c r="AD83" s="413">
        <v>0</v>
      </c>
      <c r="AE83" s="414">
        <v>0</v>
      </c>
      <c r="AF83" s="413">
        <v>0</v>
      </c>
      <c r="AG83" s="414">
        <v>0</v>
      </c>
      <c r="AH83" s="413">
        <v>0</v>
      </c>
      <c r="AI83" s="414">
        <v>0</v>
      </c>
      <c r="AJ83" s="413">
        <v>0</v>
      </c>
      <c r="AK83" s="414">
        <v>0</v>
      </c>
      <c r="AL83" s="413">
        <v>0</v>
      </c>
      <c r="AM83" s="1052">
        <v>0</v>
      </c>
      <c r="AN83" s="1053">
        <v>0</v>
      </c>
      <c r="AO83" s="666">
        <v>0</v>
      </c>
      <c r="AP83" s="413">
        <v>0</v>
      </c>
      <c r="AQ83" s="542">
        <v>0</v>
      </c>
      <c r="AR83" s="463">
        <v>0</v>
      </c>
      <c r="AS83" s="414">
        <v>0</v>
      </c>
      <c r="AT83" s="414">
        <v>0</v>
      </c>
      <c r="AU83" s="414">
        <v>0</v>
      </c>
      <c r="AV83" s="414">
        <v>0</v>
      </c>
      <c r="AW83" s="414">
        <v>0</v>
      </c>
      <c r="AX83" s="414">
        <v>0</v>
      </c>
      <c r="AY83" s="1057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48">
        <f t="shared" si="123"/>
        <v>0</v>
      </c>
      <c r="CO83" s="1048">
        <f t="shared" si="124"/>
        <v>0</v>
      </c>
      <c r="CP83" s="1048">
        <f t="shared" si="125"/>
        <v>0</v>
      </c>
      <c r="CQ83" s="1048">
        <f t="shared" si="126"/>
        <v>0</v>
      </c>
      <c r="CR83" s="1048">
        <f t="shared" si="127"/>
        <v>0</v>
      </c>
      <c r="CS83" s="1048">
        <f t="shared" si="128"/>
        <v>0</v>
      </c>
      <c r="CT83" s="1048">
        <f t="shared" si="129"/>
        <v>0</v>
      </c>
      <c r="CU83" s="1048">
        <f t="shared" si="130"/>
        <v>0</v>
      </c>
      <c r="CV83" s="1048">
        <f t="shared" si="131"/>
        <v>0</v>
      </c>
      <c r="CW83" s="1048">
        <f t="shared" si="132"/>
        <v>0</v>
      </c>
      <c r="CX83" s="1048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58" t="s">
        <v>646</v>
      </c>
      <c r="B84" s="732" t="s">
        <v>647</v>
      </c>
      <c r="C84" s="1143">
        <f>SUM(D84:E84)</f>
        <v>0</v>
      </c>
      <c r="D84" s="387">
        <f>+H84+J84+L84+N84+P84+R84+T84+V84+X84+Z84+AB84+AD84+AF84+AH84+AJ84+AL84</f>
        <v>0</v>
      </c>
      <c r="E84" s="388">
        <f>+I84+K84+M84+O84+Q84+S84+U84+W84+Y84+AA84+AC84+AE84+AG84+AI84+AK84+AM84</f>
        <v>0</v>
      </c>
      <c r="F84" s="546"/>
      <c r="G84" s="547"/>
      <c r="H84" s="417">
        <v>0</v>
      </c>
      <c r="I84" s="418">
        <v>0</v>
      </c>
      <c r="J84" s="417">
        <v>0</v>
      </c>
      <c r="K84" s="418">
        <v>0</v>
      </c>
      <c r="L84" s="417">
        <v>0</v>
      </c>
      <c r="M84" s="418">
        <v>0</v>
      </c>
      <c r="N84" s="417">
        <v>0</v>
      </c>
      <c r="O84" s="418">
        <v>0</v>
      </c>
      <c r="P84" s="417">
        <v>0</v>
      </c>
      <c r="Q84" s="418">
        <v>0</v>
      </c>
      <c r="R84" s="417">
        <v>0</v>
      </c>
      <c r="S84" s="418">
        <v>0</v>
      </c>
      <c r="T84" s="417">
        <v>0</v>
      </c>
      <c r="U84" s="418">
        <v>0</v>
      </c>
      <c r="V84" s="417">
        <v>0</v>
      </c>
      <c r="W84" s="418">
        <v>0</v>
      </c>
      <c r="X84" s="417">
        <v>0</v>
      </c>
      <c r="Y84" s="418">
        <v>0</v>
      </c>
      <c r="Z84" s="417">
        <v>0</v>
      </c>
      <c r="AA84" s="418">
        <v>0</v>
      </c>
      <c r="AB84" s="417">
        <v>0</v>
      </c>
      <c r="AC84" s="418">
        <v>0</v>
      </c>
      <c r="AD84" s="417">
        <v>0</v>
      </c>
      <c r="AE84" s="418">
        <v>0</v>
      </c>
      <c r="AF84" s="417">
        <v>0</v>
      </c>
      <c r="AG84" s="418">
        <v>0</v>
      </c>
      <c r="AH84" s="417">
        <v>0</v>
      </c>
      <c r="AI84" s="418">
        <v>0</v>
      </c>
      <c r="AJ84" s="417">
        <v>0</v>
      </c>
      <c r="AK84" s="418">
        <v>0</v>
      </c>
      <c r="AL84" s="417">
        <v>0</v>
      </c>
      <c r="AM84" s="469">
        <v>0</v>
      </c>
      <c r="AN84" s="456">
        <v>0</v>
      </c>
      <c r="AO84" s="656">
        <v>0</v>
      </c>
      <c r="AP84" s="417">
        <v>0</v>
      </c>
      <c r="AQ84" s="432">
        <v>0</v>
      </c>
      <c r="AR84" s="468">
        <v>0</v>
      </c>
      <c r="AS84" s="418">
        <v>0</v>
      </c>
      <c r="AT84" s="418">
        <v>0</v>
      </c>
      <c r="AU84" s="418">
        <v>0</v>
      </c>
      <c r="AV84" s="418">
        <v>0</v>
      </c>
      <c r="AW84" s="418">
        <v>0</v>
      </c>
      <c r="AX84" s="418">
        <v>0</v>
      </c>
      <c r="AY84" s="1057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48">
        <f t="shared" si="123"/>
        <v>0</v>
      </c>
      <c r="CO84" s="1048">
        <f t="shared" si="124"/>
        <v>0</v>
      </c>
      <c r="CP84" s="1048">
        <f t="shared" si="125"/>
        <v>0</v>
      </c>
      <c r="CQ84" s="1048">
        <f t="shared" si="126"/>
        <v>0</v>
      </c>
      <c r="CR84" s="1048">
        <f t="shared" si="127"/>
        <v>0</v>
      </c>
      <c r="CS84" s="1048">
        <f t="shared" si="128"/>
        <v>0</v>
      </c>
      <c r="CT84" s="1048">
        <f t="shared" si="129"/>
        <v>0</v>
      </c>
      <c r="CU84" s="1048">
        <f t="shared" si="130"/>
        <v>0</v>
      </c>
      <c r="CV84" s="1048">
        <f t="shared" si="131"/>
        <v>0</v>
      </c>
      <c r="CW84" s="1048">
        <f t="shared" si="132"/>
        <v>0</v>
      </c>
      <c r="CX84" s="1048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59"/>
      <c r="B85" s="770" t="s">
        <v>648</v>
      </c>
      <c r="C85" s="1302">
        <f>SUM(D85:E85)</f>
        <v>0</v>
      </c>
      <c r="D85" s="389">
        <f>+H85+J85+L85+N85+P85+R85+T85+V85+X85+Z85+AB85+AD85+AF85+AH85+AJ85+AL85</f>
        <v>0</v>
      </c>
      <c r="E85" s="583">
        <f>+I85+K85+M85+O85+Q85+S85+U85+W85+Y85+AA85+AC85+AE85+AG85+AI85+AK85+AM85</f>
        <v>0</v>
      </c>
      <c r="F85" s="573"/>
      <c r="G85" s="574"/>
      <c r="H85" s="450">
        <v>0</v>
      </c>
      <c r="I85" s="451">
        <v>0</v>
      </c>
      <c r="J85" s="450">
        <v>0</v>
      </c>
      <c r="K85" s="451">
        <v>0</v>
      </c>
      <c r="L85" s="450">
        <v>0</v>
      </c>
      <c r="M85" s="451">
        <v>0</v>
      </c>
      <c r="N85" s="450">
        <v>0</v>
      </c>
      <c r="O85" s="451">
        <v>0</v>
      </c>
      <c r="P85" s="450">
        <v>0</v>
      </c>
      <c r="Q85" s="451">
        <v>0</v>
      </c>
      <c r="R85" s="450">
        <v>0</v>
      </c>
      <c r="S85" s="451">
        <v>0</v>
      </c>
      <c r="T85" s="450">
        <v>0</v>
      </c>
      <c r="U85" s="451">
        <v>0</v>
      </c>
      <c r="V85" s="450">
        <v>0</v>
      </c>
      <c r="W85" s="451">
        <v>0</v>
      </c>
      <c r="X85" s="450">
        <v>0</v>
      </c>
      <c r="Y85" s="451">
        <v>0</v>
      </c>
      <c r="Z85" s="450">
        <v>0</v>
      </c>
      <c r="AA85" s="451">
        <v>0</v>
      </c>
      <c r="AB85" s="450">
        <v>0</v>
      </c>
      <c r="AC85" s="451">
        <v>0</v>
      </c>
      <c r="AD85" s="450">
        <v>0</v>
      </c>
      <c r="AE85" s="451">
        <v>0</v>
      </c>
      <c r="AF85" s="450">
        <v>0</v>
      </c>
      <c r="AG85" s="451">
        <v>0</v>
      </c>
      <c r="AH85" s="450">
        <v>0</v>
      </c>
      <c r="AI85" s="451">
        <v>0</v>
      </c>
      <c r="AJ85" s="450">
        <v>0</v>
      </c>
      <c r="AK85" s="451">
        <v>0</v>
      </c>
      <c r="AL85" s="450">
        <v>0</v>
      </c>
      <c r="AM85" s="582">
        <v>0</v>
      </c>
      <c r="AN85" s="655">
        <v>0</v>
      </c>
      <c r="AO85" s="1308">
        <v>0</v>
      </c>
      <c r="AP85" s="450">
        <v>0</v>
      </c>
      <c r="AQ85" s="669">
        <v>0</v>
      </c>
      <c r="AR85" s="667">
        <v>0</v>
      </c>
      <c r="AS85" s="451">
        <v>0</v>
      </c>
      <c r="AT85" s="451">
        <v>0</v>
      </c>
      <c r="AU85" s="451">
        <v>0</v>
      </c>
      <c r="AV85" s="451">
        <v>0</v>
      </c>
      <c r="AW85" s="451">
        <v>0</v>
      </c>
      <c r="AX85" s="451">
        <v>0</v>
      </c>
      <c r="AY85" s="1057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48">
        <f t="shared" si="123"/>
        <v>0</v>
      </c>
      <c r="CO85" s="1048">
        <f t="shared" si="124"/>
        <v>0</v>
      </c>
      <c r="CP85" s="1048">
        <f t="shared" si="125"/>
        <v>0</v>
      </c>
      <c r="CQ85" s="1048">
        <f t="shared" si="126"/>
        <v>0</v>
      </c>
      <c r="CR85" s="1048">
        <f t="shared" si="127"/>
        <v>0</v>
      </c>
      <c r="CS85" s="1048">
        <f t="shared" si="128"/>
        <v>0</v>
      </c>
      <c r="CT85" s="1048">
        <f t="shared" si="129"/>
        <v>0</v>
      </c>
      <c r="CU85" s="1048">
        <f t="shared" si="130"/>
        <v>0</v>
      </c>
      <c r="CV85" s="1048">
        <f t="shared" si="131"/>
        <v>0</v>
      </c>
      <c r="CW85" s="1048">
        <f t="shared" si="132"/>
        <v>0</v>
      </c>
      <c r="CX85" s="1048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11" t="s">
        <v>649</v>
      </c>
      <c r="B86" s="2112"/>
      <c r="C86" s="1482">
        <f t="shared" si="137"/>
        <v>0</v>
      </c>
      <c r="D86" s="1483">
        <f t="shared" si="138"/>
        <v>0</v>
      </c>
      <c r="E86" s="460">
        <f t="shared" si="139"/>
        <v>0</v>
      </c>
      <c r="F86" s="1514">
        <v>0</v>
      </c>
      <c r="G86" s="1039">
        <v>0</v>
      </c>
      <c r="H86" s="1514">
        <v>0</v>
      </c>
      <c r="I86" s="1039">
        <v>0</v>
      </c>
      <c r="J86" s="1514">
        <v>0</v>
      </c>
      <c r="K86" s="1039">
        <v>0</v>
      </c>
      <c r="L86" s="1514">
        <v>0</v>
      </c>
      <c r="M86" s="1039">
        <v>0</v>
      </c>
      <c r="N86" s="1514">
        <v>0</v>
      </c>
      <c r="O86" s="1039">
        <v>0</v>
      </c>
      <c r="P86" s="1514">
        <v>0</v>
      </c>
      <c r="Q86" s="1039">
        <v>0</v>
      </c>
      <c r="R86" s="1514">
        <v>0</v>
      </c>
      <c r="S86" s="1039">
        <v>0</v>
      </c>
      <c r="T86" s="1514">
        <v>0</v>
      </c>
      <c r="U86" s="1039">
        <v>0</v>
      </c>
      <c r="V86" s="1514">
        <v>0</v>
      </c>
      <c r="W86" s="1039">
        <v>0</v>
      </c>
      <c r="X86" s="1514">
        <v>0</v>
      </c>
      <c r="Y86" s="1039">
        <v>0</v>
      </c>
      <c r="Z86" s="1514">
        <v>0</v>
      </c>
      <c r="AA86" s="1039">
        <v>0</v>
      </c>
      <c r="AB86" s="1514">
        <v>0</v>
      </c>
      <c r="AC86" s="1039">
        <v>0</v>
      </c>
      <c r="AD86" s="1514">
        <v>0</v>
      </c>
      <c r="AE86" s="1039">
        <v>0</v>
      </c>
      <c r="AF86" s="1514">
        <v>0</v>
      </c>
      <c r="AG86" s="1039">
        <v>0</v>
      </c>
      <c r="AH86" s="1514">
        <v>0</v>
      </c>
      <c r="AI86" s="1039">
        <v>0</v>
      </c>
      <c r="AJ86" s="1514">
        <v>0</v>
      </c>
      <c r="AK86" s="1039">
        <v>0</v>
      </c>
      <c r="AL86" s="1514">
        <v>0</v>
      </c>
      <c r="AM86" s="529">
        <v>0</v>
      </c>
      <c r="AN86" s="668">
        <v>0</v>
      </c>
      <c r="AO86" s="1516">
        <v>0</v>
      </c>
      <c r="AP86" s="1514">
        <v>0</v>
      </c>
      <c r="AQ86" s="1517">
        <v>0</v>
      </c>
      <c r="AR86" s="1515">
        <v>0</v>
      </c>
      <c r="AS86" s="1039">
        <v>0</v>
      </c>
      <c r="AT86" s="1039">
        <v>0</v>
      </c>
      <c r="AU86" s="1039">
        <v>0</v>
      </c>
      <c r="AV86" s="1039">
        <v>0</v>
      </c>
      <c r="AW86" s="1039">
        <v>0</v>
      </c>
      <c r="AX86" s="1039">
        <v>0</v>
      </c>
      <c r="AY86" s="1057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48">
        <f t="shared" si="123"/>
        <v>0</v>
      </c>
      <c r="CO86" s="1048">
        <f t="shared" si="124"/>
        <v>0</v>
      </c>
      <c r="CP86" s="1048">
        <f t="shared" si="125"/>
        <v>0</v>
      </c>
      <c r="CQ86" s="1048">
        <f t="shared" si="126"/>
        <v>0</v>
      </c>
      <c r="CR86" s="1048">
        <f t="shared" si="127"/>
        <v>0</v>
      </c>
      <c r="CS86" s="1048">
        <f t="shared" si="128"/>
        <v>0</v>
      </c>
      <c r="CT86" s="1048">
        <f t="shared" si="129"/>
        <v>0</v>
      </c>
      <c r="CU86" s="1048">
        <f t="shared" si="130"/>
        <v>0</v>
      </c>
      <c r="CV86" s="1048">
        <f t="shared" si="131"/>
        <v>0</v>
      </c>
      <c r="CW86" s="1048">
        <f t="shared" si="132"/>
        <v>0</v>
      </c>
      <c r="CX86" s="1048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13" t="s">
        <v>699</v>
      </c>
      <c r="B87" s="110" t="s">
        <v>700</v>
      </c>
      <c r="C87" s="1143">
        <f>SUM(D87:E87)</f>
        <v>0</v>
      </c>
      <c r="D87" s="387">
        <f t="shared" si="138"/>
        <v>0</v>
      </c>
      <c r="E87" s="531">
        <f t="shared" si="139"/>
        <v>0</v>
      </c>
      <c r="F87" s="417">
        <v>0</v>
      </c>
      <c r="G87" s="418">
        <v>0</v>
      </c>
      <c r="H87" s="417">
        <v>0</v>
      </c>
      <c r="I87" s="418">
        <v>0</v>
      </c>
      <c r="J87" s="417">
        <v>0</v>
      </c>
      <c r="K87" s="418">
        <v>0</v>
      </c>
      <c r="L87" s="417">
        <v>0</v>
      </c>
      <c r="M87" s="418">
        <v>0</v>
      </c>
      <c r="N87" s="417">
        <v>0</v>
      </c>
      <c r="O87" s="418">
        <v>0</v>
      </c>
      <c r="P87" s="417">
        <v>0</v>
      </c>
      <c r="Q87" s="418">
        <v>0</v>
      </c>
      <c r="R87" s="417">
        <v>0</v>
      </c>
      <c r="S87" s="418">
        <v>0</v>
      </c>
      <c r="T87" s="417">
        <v>0</v>
      </c>
      <c r="U87" s="418">
        <v>0</v>
      </c>
      <c r="V87" s="417">
        <v>0</v>
      </c>
      <c r="W87" s="418">
        <v>0</v>
      </c>
      <c r="X87" s="417">
        <v>0</v>
      </c>
      <c r="Y87" s="418">
        <v>0</v>
      </c>
      <c r="Z87" s="417">
        <v>0</v>
      </c>
      <c r="AA87" s="418">
        <v>0</v>
      </c>
      <c r="AB87" s="417">
        <v>0</v>
      </c>
      <c r="AC87" s="418">
        <v>0</v>
      </c>
      <c r="AD87" s="417">
        <v>0</v>
      </c>
      <c r="AE87" s="418">
        <v>0</v>
      </c>
      <c r="AF87" s="417">
        <v>0</v>
      </c>
      <c r="AG87" s="418">
        <v>0</v>
      </c>
      <c r="AH87" s="417">
        <v>0</v>
      </c>
      <c r="AI87" s="418">
        <v>0</v>
      </c>
      <c r="AJ87" s="417">
        <v>0</v>
      </c>
      <c r="AK87" s="418">
        <v>0</v>
      </c>
      <c r="AL87" s="417">
        <v>0</v>
      </c>
      <c r="AM87" s="469">
        <v>0</v>
      </c>
      <c r="AN87" s="456">
        <v>0</v>
      </c>
      <c r="AO87" s="656">
        <v>0</v>
      </c>
      <c r="AP87" s="417">
        <v>0</v>
      </c>
      <c r="AQ87" s="432">
        <v>0</v>
      </c>
      <c r="AR87" s="468">
        <v>0</v>
      </c>
      <c r="AS87" s="418">
        <v>0</v>
      </c>
      <c r="AT87" s="418">
        <v>0</v>
      </c>
      <c r="AU87" s="418">
        <v>0</v>
      </c>
      <c r="AV87" s="418">
        <v>0</v>
      </c>
      <c r="AW87" s="418">
        <v>0</v>
      </c>
      <c r="AX87" s="418">
        <v>0</v>
      </c>
      <c r="AY87" s="1057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48">
        <f t="shared" si="123"/>
        <v>0</v>
      </c>
      <c r="CO87" s="1048">
        <f t="shared" si="124"/>
        <v>0</v>
      </c>
      <c r="CP87" s="1048">
        <f t="shared" si="125"/>
        <v>0</v>
      </c>
      <c r="CQ87" s="1048">
        <f t="shared" si="126"/>
        <v>0</v>
      </c>
      <c r="CR87" s="1048">
        <f t="shared" si="127"/>
        <v>0</v>
      </c>
      <c r="CS87" s="1048">
        <f t="shared" si="128"/>
        <v>0</v>
      </c>
      <c r="CT87" s="1048">
        <f t="shared" si="129"/>
        <v>0</v>
      </c>
      <c r="CU87" s="1048">
        <f t="shared" si="130"/>
        <v>0</v>
      </c>
      <c r="CV87" s="1048">
        <f t="shared" si="131"/>
        <v>0</v>
      </c>
      <c r="CW87" s="1048">
        <f t="shared" si="132"/>
        <v>0</v>
      </c>
      <c r="CX87" s="1048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13"/>
      <c r="B88" s="182" t="s">
        <v>701</v>
      </c>
      <c r="C88" s="1143">
        <f t="shared" si="137"/>
        <v>0</v>
      </c>
      <c r="D88" s="387">
        <f t="shared" si="138"/>
        <v>0</v>
      </c>
      <c r="E88" s="531">
        <f t="shared" si="139"/>
        <v>0</v>
      </c>
      <c r="F88" s="398">
        <v>0</v>
      </c>
      <c r="G88" s="399">
        <v>0</v>
      </c>
      <c r="H88" s="398">
        <v>0</v>
      </c>
      <c r="I88" s="399">
        <v>0</v>
      </c>
      <c r="J88" s="398">
        <v>0</v>
      </c>
      <c r="K88" s="399">
        <v>0</v>
      </c>
      <c r="L88" s="398">
        <v>0</v>
      </c>
      <c r="M88" s="399">
        <v>0</v>
      </c>
      <c r="N88" s="398">
        <v>0</v>
      </c>
      <c r="O88" s="399">
        <v>0</v>
      </c>
      <c r="P88" s="398">
        <v>0</v>
      </c>
      <c r="Q88" s="399">
        <v>0</v>
      </c>
      <c r="R88" s="398">
        <v>0</v>
      </c>
      <c r="S88" s="399">
        <v>0</v>
      </c>
      <c r="T88" s="398">
        <v>0</v>
      </c>
      <c r="U88" s="399">
        <v>0</v>
      </c>
      <c r="V88" s="398">
        <v>0</v>
      </c>
      <c r="W88" s="399">
        <v>0</v>
      </c>
      <c r="X88" s="398">
        <v>0</v>
      </c>
      <c r="Y88" s="399">
        <v>0</v>
      </c>
      <c r="Z88" s="398">
        <v>0</v>
      </c>
      <c r="AA88" s="399">
        <v>0</v>
      </c>
      <c r="AB88" s="398">
        <v>0</v>
      </c>
      <c r="AC88" s="399">
        <v>0</v>
      </c>
      <c r="AD88" s="398">
        <v>0</v>
      </c>
      <c r="AE88" s="399">
        <v>0</v>
      </c>
      <c r="AF88" s="398">
        <v>0</v>
      </c>
      <c r="AG88" s="399">
        <v>0</v>
      </c>
      <c r="AH88" s="398">
        <v>0</v>
      </c>
      <c r="AI88" s="399">
        <v>0</v>
      </c>
      <c r="AJ88" s="398">
        <v>0</v>
      </c>
      <c r="AK88" s="399">
        <v>0</v>
      </c>
      <c r="AL88" s="398">
        <v>0</v>
      </c>
      <c r="AM88" s="466">
        <v>0</v>
      </c>
      <c r="AN88" s="457">
        <v>0</v>
      </c>
      <c r="AO88" s="651">
        <v>0</v>
      </c>
      <c r="AP88" s="398">
        <v>0</v>
      </c>
      <c r="AQ88" s="533">
        <v>0</v>
      </c>
      <c r="AR88" s="465">
        <v>0</v>
      </c>
      <c r="AS88" s="399">
        <v>0</v>
      </c>
      <c r="AT88" s="399">
        <v>0</v>
      </c>
      <c r="AU88" s="399">
        <v>0</v>
      </c>
      <c r="AV88" s="399">
        <v>0</v>
      </c>
      <c r="AW88" s="399">
        <v>0</v>
      </c>
      <c r="AX88" s="399">
        <v>0</v>
      </c>
      <c r="AY88" s="1057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48">
        <f t="shared" si="123"/>
        <v>0</v>
      </c>
      <c r="CO88" s="1048">
        <f t="shared" si="124"/>
        <v>0</v>
      </c>
      <c r="CP88" s="1048">
        <f t="shared" si="125"/>
        <v>0</v>
      </c>
      <c r="CQ88" s="1048">
        <f t="shared" si="126"/>
        <v>0</v>
      </c>
      <c r="CR88" s="1048">
        <f t="shared" si="127"/>
        <v>0</v>
      </c>
      <c r="CS88" s="1048">
        <f t="shared" si="128"/>
        <v>0</v>
      </c>
      <c r="CT88" s="1048">
        <f t="shared" si="129"/>
        <v>0</v>
      </c>
      <c r="CU88" s="1048">
        <f t="shared" si="130"/>
        <v>0</v>
      </c>
      <c r="CV88" s="1048">
        <f t="shared" si="131"/>
        <v>0</v>
      </c>
      <c r="CW88" s="1048">
        <f t="shared" si="132"/>
        <v>0</v>
      </c>
      <c r="CX88" s="1048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13"/>
      <c r="B89" s="182" t="s">
        <v>702</v>
      </c>
      <c r="C89" s="1143">
        <f t="shared" si="137"/>
        <v>0</v>
      </c>
      <c r="D89" s="387">
        <f t="shared" si="138"/>
        <v>0</v>
      </c>
      <c r="E89" s="531">
        <f t="shared" si="139"/>
        <v>0</v>
      </c>
      <c r="F89" s="398">
        <v>0</v>
      </c>
      <c r="G89" s="399">
        <v>0</v>
      </c>
      <c r="H89" s="398">
        <v>0</v>
      </c>
      <c r="I89" s="399">
        <v>0</v>
      </c>
      <c r="J89" s="398">
        <v>0</v>
      </c>
      <c r="K89" s="399">
        <v>0</v>
      </c>
      <c r="L89" s="398">
        <v>0</v>
      </c>
      <c r="M89" s="399">
        <v>0</v>
      </c>
      <c r="N89" s="398">
        <v>0</v>
      </c>
      <c r="O89" s="399">
        <v>0</v>
      </c>
      <c r="P89" s="398">
        <v>0</v>
      </c>
      <c r="Q89" s="399">
        <v>0</v>
      </c>
      <c r="R89" s="398">
        <v>0</v>
      </c>
      <c r="S89" s="399">
        <v>0</v>
      </c>
      <c r="T89" s="398">
        <v>0</v>
      </c>
      <c r="U89" s="399">
        <v>0</v>
      </c>
      <c r="V89" s="398">
        <v>0</v>
      </c>
      <c r="W89" s="399">
        <v>0</v>
      </c>
      <c r="X89" s="398">
        <v>0</v>
      </c>
      <c r="Y89" s="399">
        <v>0</v>
      </c>
      <c r="Z89" s="398">
        <v>0</v>
      </c>
      <c r="AA89" s="399">
        <v>0</v>
      </c>
      <c r="AB89" s="398">
        <v>0</v>
      </c>
      <c r="AC89" s="399">
        <v>0</v>
      </c>
      <c r="AD89" s="398">
        <v>0</v>
      </c>
      <c r="AE89" s="399">
        <v>0</v>
      </c>
      <c r="AF89" s="398">
        <v>0</v>
      </c>
      <c r="AG89" s="399">
        <v>0</v>
      </c>
      <c r="AH89" s="398">
        <v>0</v>
      </c>
      <c r="AI89" s="399">
        <v>0</v>
      </c>
      <c r="AJ89" s="398">
        <v>0</v>
      </c>
      <c r="AK89" s="399">
        <v>0</v>
      </c>
      <c r="AL89" s="398">
        <v>0</v>
      </c>
      <c r="AM89" s="466">
        <v>0</v>
      </c>
      <c r="AN89" s="457">
        <v>0</v>
      </c>
      <c r="AO89" s="651">
        <v>0</v>
      </c>
      <c r="AP89" s="398">
        <v>0</v>
      </c>
      <c r="AQ89" s="533">
        <v>0</v>
      </c>
      <c r="AR89" s="465">
        <v>0</v>
      </c>
      <c r="AS89" s="399">
        <v>0</v>
      </c>
      <c r="AT89" s="399">
        <v>0</v>
      </c>
      <c r="AU89" s="399">
        <v>0</v>
      </c>
      <c r="AV89" s="399">
        <v>0</v>
      </c>
      <c r="AW89" s="399">
        <v>0</v>
      </c>
      <c r="AX89" s="399">
        <v>0</v>
      </c>
      <c r="AY89" s="1057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48">
        <f t="shared" si="123"/>
        <v>0</v>
      </c>
      <c r="CO89" s="1048">
        <f t="shared" si="124"/>
        <v>0</v>
      </c>
      <c r="CP89" s="1048">
        <f t="shared" si="125"/>
        <v>0</v>
      </c>
      <c r="CQ89" s="1048">
        <f t="shared" si="126"/>
        <v>0</v>
      </c>
      <c r="CR89" s="1048">
        <f t="shared" si="127"/>
        <v>0</v>
      </c>
      <c r="CS89" s="1048">
        <f t="shared" si="128"/>
        <v>0</v>
      </c>
      <c r="CT89" s="1048">
        <f t="shared" si="129"/>
        <v>0</v>
      </c>
      <c r="CU89" s="1048">
        <f t="shared" si="130"/>
        <v>0</v>
      </c>
      <c r="CV89" s="1048">
        <f t="shared" si="131"/>
        <v>0</v>
      </c>
      <c r="CW89" s="1048">
        <f t="shared" si="132"/>
        <v>0</v>
      </c>
      <c r="CX89" s="1048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13"/>
      <c r="B90" s="183" t="s">
        <v>654</v>
      </c>
      <c r="C90" s="1143">
        <f>SUM(D90:E90)</f>
        <v>0</v>
      </c>
      <c r="D90" s="534"/>
      <c r="E90" s="535">
        <f>K90+M90+O90+Q90+S90+U90+W90+Y90+AA90+AC90</f>
        <v>0</v>
      </c>
      <c r="F90" s="436"/>
      <c r="G90" s="437"/>
      <c r="H90" s="436"/>
      <c r="I90" s="437"/>
      <c r="J90" s="436"/>
      <c r="K90" s="399">
        <v>0</v>
      </c>
      <c r="L90" s="436"/>
      <c r="M90" s="399">
        <v>0</v>
      </c>
      <c r="N90" s="436"/>
      <c r="O90" s="399">
        <v>0</v>
      </c>
      <c r="P90" s="436"/>
      <c r="Q90" s="399">
        <v>0</v>
      </c>
      <c r="R90" s="436"/>
      <c r="S90" s="399">
        <v>0</v>
      </c>
      <c r="T90" s="436"/>
      <c r="U90" s="399">
        <v>0</v>
      </c>
      <c r="V90" s="436"/>
      <c r="W90" s="399">
        <v>0</v>
      </c>
      <c r="X90" s="436"/>
      <c r="Y90" s="399">
        <v>0</v>
      </c>
      <c r="Z90" s="436"/>
      <c r="AA90" s="399">
        <v>0</v>
      </c>
      <c r="AB90" s="436"/>
      <c r="AC90" s="399">
        <v>0</v>
      </c>
      <c r="AD90" s="436"/>
      <c r="AE90" s="437"/>
      <c r="AF90" s="436"/>
      <c r="AG90" s="437"/>
      <c r="AH90" s="436"/>
      <c r="AI90" s="437"/>
      <c r="AJ90" s="436"/>
      <c r="AK90" s="437"/>
      <c r="AL90" s="436"/>
      <c r="AM90" s="846"/>
      <c r="AN90" s="847"/>
      <c r="AO90" s="651">
        <v>0</v>
      </c>
      <c r="AP90" s="436"/>
      <c r="AQ90" s="533">
        <v>0</v>
      </c>
      <c r="AR90" s="534"/>
      <c r="AS90" s="399">
        <v>0</v>
      </c>
      <c r="AT90" s="399">
        <v>0</v>
      </c>
      <c r="AU90" s="399">
        <v>0</v>
      </c>
      <c r="AV90" s="399">
        <v>0</v>
      </c>
      <c r="AW90" s="399">
        <v>0</v>
      </c>
      <c r="AX90" s="399">
        <v>0</v>
      </c>
      <c r="AY90" s="1057" t="str">
        <f t="shared" si="114"/>
        <v/>
      </c>
      <c r="AZ90" s="112"/>
      <c r="BA90" s="112"/>
      <c r="BB90" s="112"/>
      <c r="CA90" s="1087"/>
      <c r="CB90" s="191" t="str">
        <f t="shared" si="116"/>
        <v/>
      </c>
      <c r="CC90" s="1087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87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87"/>
      <c r="CL90" s="107"/>
      <c r="CM90" s="107"/>
      <c r="CN90" s="1087"/>
      <c r="CO90" s="1048">
        <f t="shared" si="124"/>
        <v>0</v>
      </c>
      <c r="CP90" s="1087"/>
      <c r="CQ90" s="1048">
        <f t="shared" si="126"/>
        <v>0</v>
      </c>
      <c r="CR90" s="1087"/>
      <c r="CS90" s="1048">
        <f t="shared" si="128"/>
        <v>0</v>
      </c>
      <c r="CT90" s="1048">
        <f t="shared" si="129"/>
        <v>0</v>
      </c>
      <c r="CU90" s="1048">
        <f t="shared" si="130"/>
        <v>0</v>
      </c>
      <c r="CV90" s="1048">
        <f t="shared" si="131"/>
        <v>0</v>
      </c>
      <c r="CW90" s="1048">
        <f t="shared" si="132"/>
        <v>0</v>
      </c>
      <c r="CX90" s="1087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13"/>
      <c r="B91" s="111" t="s">
        <v>655</v>
      </c>
      <c r="C91" s="1144">
        <f t="shared" ref="C91:C105" si="140">SUM(D91:E91)</f>
        <v>0</v>
      </c>
      <c r="D91" s="391">
        <f t="shared" ref="D91:E98" si="141">+F91+H91+J91+L91+N91+P91+R91+T91+V91+X91+Z91+AB91+AD91+AF91+AH91+AJ91+AL91</f>
        <v>0</v>
      </c>
      <c r="E91" s="532">
        <f t="shared" si="141"/>
        <v>0</v>
      </c>
      <c r="F91" s="408">
        <v>0</v>
      </c>
      <c r="G91" s="409">
        <v>0</v>
      </c>
      <c r="H91" s="408">
        <v>0</v>
      </c>
      <c r="I91" s="409">
        <v>0</v>
      </c>
      <c r="J91" s="408">
        <v>0</v>
      </c>
      <c r="K91" s="409">
        <v>0</v>
      </c>
      <c r="L91" s="408">
        <v>0</v>
      </c>
      <c r="M91" s="409">
        <v>0</v>
      </c>
      <c r="N91" s="408">
        <v>0</v>
      </c>
      <c r="O91" s="409">
        <v>0</v>
      </c>
      <c r="P91" s="408">
        <v>0</v>
      </c>
      <c r="Q91" s="409">
        <v>0</v>
      </c>
      <c r="R91" s="408">
        <v>0</v>
      </c>
      <c r="S91" s="409">
        <v>0</v>
      </c>
      <c r="T91" s="408">
        <v>0</v>
      </c>
      <c r="U91" s="409">
        <v>0</v>
      </c>
      <c r="V91" s="408">
        <v>0</v>
      </c>
      <c r="W91" s="409">
        <v>0</v>
      </c>
      <c r="X91" s="408">
        <v>0</v>
      </c>
      <c r="Y91" s="409">
        <v>0</v>
      </c>
      <c r="Z91" s="408">
        <v>0</v>
      </c>
      <c r="AA91" s="409">
        <v>0</v>
      </c>
      <c r="AB91" s="408">
        <v>0</v>
      </c>
      <c r="AC91" s="409">
        <v>0</v>
      </c>
      <c r="AD91" s="408">
        <v>0</v>
      </c>
      <c r="AE91" s="409">
        <v>0</v>
      </c>
      <c r="AF91" s="408">
        <v>0</v>
      </c>
      <c r="AG91" s="409">
        <v>0</v>
      </c>
      <c r="AH91" s="408">
        <v>0</v>
      </c>
      <c r="AI91" s="409">
        <v>0</v>
      </c>
      <c r="AJ91" s="408">
        <v>0</v>
      </c>
      <c r="AK91" s="409">
        <v>0</v>
      </c>
      <c r="AL91" s="408">
        <v>0</v>
      </c>
      <c r="AM91" s="544">
        <v>0</v>
      </c>
      <c r="AN91" s="459">
        <v>0</v>
      </c>
      <c r="AO91" s="654">
        <v>0</v>
      </c>
      <c r="AP91" s="408">
        <v>0</v>
      </c>
      <c r="AQ91" s="538">
        <v>0</v>
      </c>
      <c r="AR91" s="660">
        <v>0</v>
      </c>
      <c r="AS91" s="409">
        <v>0</v>
      </c>
      <c r="AT91" s="409">
        <v>0</v>
      </c>
      <c r="AU91" s="409">
        <v>0</v>
      </c>
      <c r="AV91" s="409">
        <v>0</v>
      </c>
      <c r="AW91" s="409">
        <v>0</v>
      </c>
      <c r="AX91" s="409">
        <v>0</v>
      </c>
      <c r="AY91" s="1057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48">
        <f t="shared" ref="CN91:CN105" si="149">IF(AND($E91&gt;0,OR(AN91="")),1,IF(AN91&gt;$E91,1,0))</f>
        <v>0</v>
      </c>
      <c r="CO91" s="1048">
        <f t="shared" si="124"/>
        <v>0</v>
      </c>
      <c r="CP91" s="1048">
        <f t="shared" ref="CP91:CP97" si="150">IF(AND($D91&gt;0,OR(AP91="")),1,IF(AP91&gt;$D91,1,0))</f>
        <v>0</v>
      </c>
      <c r="CQ91" s="1048">
        <f t="shared" si="126"/>
        <v>0</v>
      </c>
      <c r="CR91" s="1048">
        <f t="shared" ref="CR91:CR96" si="151">IF(AND($D91&gt;0,OR(AR91="")),1,IF(AR91&gt;$D91,1,0))</f>
        <v>0</v>
      </c>
      <c r="CS91" s="1048">
        <f t="shared" si="128"/>
        <v>0</v>
      </c>
      <c r="CT91" s="1048">
        <f t="shared" si="129"/>
        <v>0</v>
      </c>
      <c r="CU91" s="1048">
        <f t="shared" si="130"/>
        <v>0</v>
      </c>
      <c r="CV91" s="1048">
        <f t="shared" si="131"/>
        <v>0</v>
      </c>
      <c r="CW91" s="1048">
        <f t="shared" si="132"/>
        <v>0</v>
      </c>
      <c r="CX91" s="1048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13" t="s">
        <v>703</v>
      </c>
      <c r="B92" s="796" t="s">
        <v>657</v>
      </c>
      <c r="C92" s="1146">
        <f t="shared" si="140"/>
        <v>0</v>
      </c>
      <c r="D92" s="392">
        <f t="shared" si="141"/>
        <v>0</v>
      </c>
      <c r="E92" s="539">
        <f t="shared" si="141"/>
        <v>0</v>
      </c>
      <c r="F92" s="394">
        <v>0</v>
      </c>
      <c r="G92" s="395">
        <v>0</v>
      </c>
      <c r="H92" s="394">
        <v>0</v>
      </c>
      <c r="I92" s="395">
        <v>0</v>
      </c>
      <c r="J92" s="394">
        <v>0</v>
      </c>
      <c r="K92" s="395">
        <v>0</v>
      </c>
      <c r="L92" s="394">
        <v>0</v>
      </c>
      <c r="M92" s="395">
        <v>0</v>
      </c>
      <c r="N92" s="394">
        <v>0</v>
      </c>
      <c r="O92" s="395">
        <v>0</v>
      </c>
      <c r="P92" s="394">
        <v>0</v>
      </c>
      <c r="Q92" s="395">
        <v>0</v>
      </c>
      <c r="R92" s="394">
        <v>0</v>
      </c>
      <c r="S92" s="395">
        <v>0</v>
      </c>
      <c r="T92" s="394">
        <v>0</v>
      </c>
      <c r="U92" s="395">
        <v>0</v>
      </c>
      <c r="V92" s="394">
        <v>0</v>
      </c>
      <c r="W92" s="395">
        <v>0</v>
      </c>
      <c r="X92" s="394">
        <v>0</v>
      </c>
      <c r="Y92" s="395">
        <v>0</v>
      </c>
      <c r="Z92" s="394">
        <v>0</v>
      </c>
      <c r="AA92" s="395">
        <v>0</v>
      </c>
      <c r="AB92" s="394">
        <v>0</v>
      </c>
      <c r="AC92" s="395">
        <v>0</v>
      </c>
      <c r="AD92" s="394">
        <v>0</v>
      </c>
      <c r="AE92" s="395">
        <v>0</v>
      </c>
      <c r="AF92" s="394">
        <v>0</v>
      </c>
      <c r="AG92" s="395">
        <v>0</v>
      </c>
      <c r="AH92" s="394">
        <v>0</v>
      </c>
      <c r="AI92" s="395">
        <v>0</v>
      </c>
      <c r="AJ92" s="394">
        <v>0</v>
      </c>
      <c r="AK92" s="395">
        <v>0</v>
      </c>
      <c r="AL92" s="394">
        <v>0</v>
      </c>
      <c r="AM92" s="543">
        <v>0</v>
      </c>
      <c r="AN92" s="649">
        <v>0</v>
      </c>
      <c r="AO92" s="650">
        <v>0</v>
      </c>
      <c r="AP92" s="394">
        <v>0</v>
      </c>
      <c r="AQ92" s="461">
        <v>0</v>
      </c>
      <c r="AR92" s="462">
        <v>0</v>
      </c>
      <c r="AS92" s="395">
        <v>0</v>
      </c>
      <c r="AT92" s="395">
        <v>0</v>
      </c>
      <c r="AU92" s="395">
        <v>0</v>
      </c>
      <c r="AV92" s="395">
        <v>0</v>
      </c>
      <c r="AW92" s="395">
        <v>0</v>
      </c>
      <c r="AX92" s="395">
        <v>0</v>
      </c>
      <c r="AY92" s="1057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48">
        <f t="shared" si="149"/>
        <v>0</v>
      </c>
      <c r="CO92" s="1048">
        <f t="shared" si="124"/>
        <v>0</v>
      </c>
      <c r="CP92" s="1048">
        <f t="shared" si="150"/>
        <v>0</v>
      </c>
      <c r="CQ92" s="1048">
        <f t="shared" si="126"/>
        <v>0</v>
      </c>
      <c r="CR92" s="1048">
        <f t="shared" si="151"/>
        <v>0</v>
      </c>
      <c r="CS92" s="1048">
        <f t="shared" si="128"/>
        <v>0</v>
      </c>
      <c r="CT92" s="1048">
        <f t="shared" si="129"/>
        <v>0</v>
      </c>
      <c r="CU92" s="1048">
        <f t="shared" si="130"/>
        <v>0</v>
      </c>
      <c r="CV92" s="1048">
        <f t="shared" si="131"/>
        <v>0</v>
      </c>
      <c r="CW92" s="1048">
        <f t="shared" si="132"/>
        <v>0</v>
      </c>
      <c r="CX92" s="1048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13"/>
      <c r="B93" s="585" t="s">
        <v>658</v>
      </c>
      <c r="C93" s="1148">
        <f t="shared" si="140"/>
        <v>0</v>
      </c>
      <c r="D93" s="397">
        <f t="shared" si="141"/>
        <v>0</v>
      </c>
      <c r="E93" s="535">
        <f t="shared" si="141"/>
        <v>0</v>
      </c>
      <c r="F93" s="398">
        <v>0</v>
      </c>
      <c r="G93" s="399">
        <v>0</v>
      </c>
      <c r="H93" s="398">
        <v>0</v>
      </c>
      <c r="I93" s="399">
        <v>0</v>
      </c>
      <c r="J93" s="398">
        <v>0</v>
      </c>
      <c r="K93" s="399">
        <v>0</v>
      </c>
      <c r="L93" s="398">
        <v>0</v>
      </c>
      <c r="M93" s="399">
        <v>0</v>
      </c>
      <c r="N93" s="398">
        <v>0</v>
      </c>
      <c r="O93" s="399">
        <v>0</v>
      </c>
      <c r="P93" s="398">
        <v>0</v>
      </c>
      <c r="Q93" s="399">
        <v>0</v>
      </c>
      <c r="R93" s="398">
        <v>0</v>
      </c>
      <c r="S93" s="399">
        <v>0</v>
      </c>
      <c r="T93" s="398">
        <v>0</v>
      </c>
      <c r="U93" s="399">
        <v>0</v>
      </c>
      <c r="V93" s="398">
        <v>0</v>
      </c>
      <c r="W93" s="399">
        <v>0</v>
      </c>
      <c r="X93" s="398">
        <v>0</v>
      </c>
      <c r="Y93" s="399">
        <v>0</v>
      </c>
      <c r="Z93" s="398">
        <v>0</v>
      </c>
      <c r="AA93" s="399">
        <v>0</v>
      </c>
      <c r="AB93" s="398">
        <v>0</v>
      </c>
      <c r="AC93" s="399">
        <v>0</v>
      </c>
      <c r="AD93" s="398">
        <v>0</v>
      </c>
      <c r="AE93" s="399">
        <v>0</v>
      </c>
      <c r="AF93" s="398">
        <v>0</v>
      </c>
      <c r="AG93" s="399">
        <v>0</v>
      </c>
      <c r="AH93" s="398">
        <v>0</v>
      </c>
      <c r="AI93" s="399">
        <v>0</v>
      </c>
      <c r="AJ93" s="398">
        <v>0</v>
      </c>
      <c r="AK93" s="399">
        <v>0</v>
      </c>
      <c r="AL93" s="398">
        <v>0</v>
      </c>
      <c r="AM93" s="466">
        <v>0</v>
      </c>
      <c r="AN93" s="457">
        <v>0</v>
      </c>
      <c r="AO93" s="651">
        <v>0</v>
      </c>
      <c r="AP93" s="398">
        <v>0</v>
      </c>
      <c r="AQ93" s="533">
        <v>0</v>
      </c>
      <c r="AR93" s="465">
        <v>0</v>
      </c>
      <c r="AS93" s="399">
        <v>0</v>
      </c>
      <c r="AT93" s="399">
        <v>0</v>
      </c>
      <c r="AU93" s="399">
        <v>0</v>
      </c>
      <c r="AV93" s="399">
        <v>0</v>
      </c>
      <c r="AW93" s="399">
        <v>0</v>
      </c>
      <c r="AX93" s="399">
        <v>0</v>
      </c>
      <c r="AY93" s="1057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48">
        <f t="shared" si="149"/>
        <v>0</v>
      </c>
      <c r="CO93" s="1048">
        <f t="shared" si="124"/>
        <v>0</v>
      </c>
      <c r="CP93" s="1048">
        <f t="shared" si="150"/>
        <v>0</v>
      </c>
      <c r="CQ93" s="1048">
        <f t="shared" si="126"/>
        <v>0</v>
      </c>
      <c r="CR93" s="1048">
        <f t="shared" si="151"/>
        <v>0</v>
      </c>
      <c r="CS93" s="1048">
        <f t="shared" si="128"/>
        <v>0</v>
      </c>
      <c r="CT93" s="1048">
        <f t="shared" si="129"/>
        <v>0</v>
      </c>
      <c r="CU93" s="1048">
        <f t="shared" si="130"/>
        <v>0</v>
      </c>
      <c r="CV93" s="1048">
        <f t="shared" si="131"/>
        <v>0</v>
      </c>
      <c r="CW93" s="1048">
        <f t="shared" si="132"/>
        <v>0</v>
      </c>
      <c r="CX93" s="1048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13"/>
      <c r="B94" s="797" t="s">
        <v>659</v>
      </c>
      <c r="C94" s="1147">
        <f t="shared" si="140"/>
        <v>0</v>
      </c>
      <c r="D94" s="401">
        <f>+F94+H94+J94+L94+N94+P94+R94+T94+V94+X94+Z94+AB94+AD94+AF94+AH94+AJ94+AL94</f>
        <v>0</v>
      </c>
      <c r="E94" s="537">
        <f t="shared" si="141"/>
        <v>0</v>
      </c>
      <c r="F94" s="408">
        <v>0</v>
      </c>
      <c r="G94" s="409">
        <v>0</v>
      </c>
      <c r="H94" s="408">
        <v>0</v>
      </c>
      <c r="I94" s="409">
        <v>0</v>
      </c>
      <c r="J94" s="408">
        <v>0</v>
      </c>
      <c r="K94" s="409">
        <v>0</v>
      </c>
      <c r="L94" s="408">
        <v>0</v>
      </c>
      <c r="M94" s="409">
        <v>0</v>
      </c>
      <c r="N94" s="408">
        <v>0</v>
      </c>
      <c r="O94" s="409">
        <v>0</v>
      </c>
      <c r="P94" s="408">
        <v>0</v>
      </c>
      <c r="Q94" s="409">
        <v>0</v>
      </c>
      <c r="R94" s="408">
        <v>0</v>
      </c>
      <c r="S94" s="409">
        <v>0</v>
      </c>
      <c r="T94" s="408">
        <v>0</v>
      </c>
      <c r="U94" s="409">
        <v>0</v>
      </c>
      <c r="V94" s="408">
        <v>0</v>
      </c>
      <c r="W94" s="409">
        <v>0</v>
      </c>
      <c r="X94" s="408">
        <v>0</v>
      </c>
      <c r="Y94" s="409">
        <v>0</v>
      </c>
      <c r="Z94" s="408">
        <v>0</v>
      </c>
      <c r="AA94" s="409">
        <v>0</v>
      </c>
      <c r="AB94" s="408">
        <v>0</v>
      </c>
      <c r="AC94" s="409">
        <v>0</v>
      </c>
      <c r="AD94" s="408">
        <v>0</v>
      </c>
      <c r="AE94" s="409">
        <v>0</v>
      </c>
      <c r="AF94" s="408">
        <v>0</v>
      </c>
      <c r="AG94" s="409">
        <v>0</v>
      </c>
      <c r="AH94" s="408">
        <v>0</v>
      </c>
      <c r="AI94" s="409">
        <v>0</v>
      </c>
      <c r="AJ94" s="408">
        <v>0</v>
      </c>
      <c r="AK94" s="409">
        <v>0</v>
      </c>
      <c r="AL94" s="408">
        <v>0</v>
      </c>
      <c r="AM94" s="544">
        <v>0</v>
      </c>
      <c r="AN94" s="459">
        <v>0</v>
      </c>
      <c r="AO94" s="654">
        <v>0</v>
      </c>
      <c r="AP94" s="408">
        <v>0</v>
      </c>
      <c r="AQ94" s="538">
        <v>0</v>
      </c>
      <c r="AR94" s="660">
        <v>0</v>
      </c>
      <c r="AS94" s="409">
        <v>0</v>
      </c>
      <c r="AT94" s="409">
        <v>0</v>
      </c>
      <c r="AU94" s="409">
        <v>0</v>
      </c>
      <c r="AV94" s="409">
        <v>0</v>
      </c>
      <c r="AW94" s="409">
        <v>0</v>
      </c>
      <c r="AX94" s="409">
        <v>0</v>
      </c>
      <c r="AY94" s="1057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48">
        <f t="shared" si="149"/>
        <v>0</v>
      </c>
      <c r="CO94" s="1048">
        <f t="shared" si="124"/>
        <v>0</v>
      </c>
      <c r="CP94" s="1048">
        <f t="shared" si="150"/>
        <v>0</v>
      </c>
      <c r="CQ94" s="1048">
        <f t="shared" si="126"/>
        <v>0</v>
      </c>
      <c r="CR94" s="1048">
        <f t="shared" si="151"/>
        <v>0</v>
      </c>
      <c r="CS94" s="1048">
        <f t="shared" si="128"/>
        <v>0</v>
      </c>
      <c r="CT94" s="1048">
        <f t="shared" si="129"/>
        <v>0</v>
      </c>
      <c r="CU94" s="1048">
        <f t="shared" si="130"/>
        <v>0</v>
      </c>
      <c r="CV94" s="1048">
        <f t="shared" si="131"/>
        <v>0</v>
      </c>
      <c r="CW94" s="1048">
        <f t="shared" si="132"/>
        <v>0</v>
      </c>
      <c r="CX94" s="1048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13"/>
      <c r="B95" s="797" t="s">
        <v>660</v>
      </c>
      <c r="C95" s="1147">
        <f t="shared" si="140"/>
        <v>0</v>
      </c>
      <c r="D95" s="401">
        <f t="shared" si="141"/>
        <v>0</v>
      </c>
      <c r="E95" s="537">
        <f t="shared" si="141"/>
        <v>0</v>
      </c>
      <c r="F95" s="408">
        <v>0</v>
      </c>
      <c r="G95" s="409">
        <v>0</v>
      </c>
      <c r="H95" s="408">
        <v>0</v>
      </c>
      <c r="I95" s="409">
        <v>0</v>
      </c>
      <c r="J95" s="408">
        <v>0</v>
      </c>
      <c r="K95" s="409">
        <v>0</v>
      </c>
      <c r="L95" s="408">
        <v>0</v>
      </c>
      <c r="M95" s="409">
        <v>0</v>
      </c>
      <c r="N95" s="408">
        <v>0</v>
      </c>
      <c r="O95" s="409">
        <v>0</v>
      </c>
      <c r="P95" s="408">
        <v>0</v>
      </c>
      <c r="Q95" s="409">
        <v>0</v>
      </c>
      <c r="R95" s="408">
        <v>0</v>
      </c>
      <c r="S95" s="409">
        <v>0</v>
      </c>
      <c r="T95" s="408">
        <v>0</v>
      </c>
      <c r="U95" s="409">
        <v>0</v>
      </c>
      <c r="V95" s="408">
        <v>0</v>
      </c>
      <c r="W95" s="409">
        <v>0</v>
      </c>
      <c r="X95" s="408">
        <v>0</v>
      </c>
      <c r="Y95" s="409">
        <v>0</v>
      </c>
      <c r="Z95" s="408">
        <v>0</v>
      </c>
      <c r="AA95" s="409">
        <v>0</v>
      </c>
      <c r="AB95" s="408">
        <v>0</v>
      </c>
      <c r="AC95" s="409">
        <v>0</v>
      </c>
      <c r="AD95" s="408">
        <v>0</v>
      </c>
      <c r="AE95" s="409">
        <v>0</v>
      </c>
      <c r="AF95" s="408">
        <v>0</v>
      </c>
      <c r="AG95" s="409">
        <v>0</v>
      </c>
      <c r="AH95" s="408">
        <v>0</v>
      </c>
      <c r="AI95" s="409">
        <v>0</v>
      </c>
      <c r="AJ95" s="408">
        <v>0</v>
      </c>
      <c r="AK95" s="409">
        <v>0</v>
      </c>
      <c r="AL95" s="408">
        <v>0</v>
      </c>
      <c r="AM95" s="544">
        <v>0</v>
      </c>
      <c r="AN95" s="459">
        <v>0</v>
      </c>
      <c r="AO95" s="654">
        <v>0</v>
      </c>
      <c r="AP95" s="408">
        <v>0</v>
      </c>
      <c r="AQ95" s="538">
        <v>0</v>
      </c>
      <c r="AR95" s="660">
        <v>0</v>
      </c>
      <c r="AS95" s="409">
        <v>0</v>
      </c>
      <c r="AT95" s="409">
        <v>0</v>
      </c>
      <c r="AU95" s="409">
        <v>0</v>
      </c>
      <c r="AV95" s="409">
        <v>0</v>
      </c>
      <c r="AW95" s="409">
        <v>0</v>
      </c>
      <c r="AX95" s="409">
        <v>0</v>
      </c>
      <c r="AY95" s="1057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48">
        <f t="shared" si="149"/>
        <v>0</v>
      </c>
      <c r="CO95" s="1048">
        <f t="shared" si="124"/>
        <v>0</v>
      </c>
      <c r="CP95" s="1048">
        <f t="shared" si="150"/>
        <v>0</v>
      </c>
      <c r="CQ95" s="1048">
        <f t="shared" si="126"/>
        <v>0</v>
      </c>
      <c r="CR95" s="1048">
        <f t="shared" si="151"/>
        <v>0</v>
      </c>
      <c r="CS95" s="1048">
        <f t="shared" si="128"/>
        <v>0</v>
      </c>
      <c r="CT95" s="1048">
        <f t="shared" si="129"/>
        <v>0</v>
      </c>
      <c r="CU95" s="1048">
        <f t="shared" si="130"/>
        <v>0</v>
      </c>
      <c r="CV95" s="1048">
        <f t="shared" si="131"/>
        <v>0</v>
      </c>
      <c r="CW95" s="1048">
        <f t="shared" si="132"/>
        <v>0</v>
      </c>
      <c r="CX95" s="1048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13"/>
      <c r="B96" s="592" t="s">
        <v>661</v>
      </c>
      <c r="C96" s="1147">
        <f t="shared" si="140"/>
        <v>0</v>
      </c>
      <c r="D96" s="401">
        <f t="shared" si="141"/>
        <v>0</v>
      </c>
      <c r="E96" s="537">
        <f t="shared" si="141"/>
        <v>0</v>
      </c>
      <c r="F96" s="403">
        <v>0</v>
      </c>
      <c r="G96" s="404">
        <v>0</v>
      </c>
      <c r="H96" s="403">
        <v>0</v>
      </c>
      <c r="I96" s="404">
        <v>0</v>
      </c>
      <c r="J96" s="403">
        <v>0</v>
      </c>
      <c r="K96" s="404">
        <v>0</v>
      </c>
      <c r="L96" s="403">
        <v>0</v>
      </c>
      <c r="M96" s="404">
        <v>0</v>
      </c>
      <c r="N96" s="403">
        <v>0</v>
      </c>
      <c r="O96" s="404">
        <v>0</v>
      </c>
      <c r="P96" s="403">
        <v>0</v>
      </c>
      <c r="Q96" s="404">
        <v>0</v>
      </c>
      <c r="R96" s="403">
        <v>0</v>
      </c>
      <c r="S96" s="404">
        <v>0</v>
      </c>
      <c r="T96" s="403">
        <v>0</v>
      </c>
      <c r="U96" s="404">
        <v>0</v>
      </c>
      <c r="V96" s="403">
        <v>0</v>
      </c>
      <c r="W96" s="404">
        <v>0</v>
      </c>
      <c r="X96" s="403">
        <v>0</v>
      </c>
      <c r="Y96" s="404">
        <v>0</v>
      </c>
      <c r="Z96" s="403">
        <v>0</v>
      </c>
      <c r="AA96" s="404">
        <v>0</v>
      </c>
      <c r="AB96" s="403">
        <v>0</v>
      </c>
      <c r="AC96" s="404">
        <v>0</v>
      </c>
      <c r="AD96" s="403">
        <v>0</v>
      </c>
      <c r="AE96" s="404">
        <v>0</v>
      </c>
      <c r="AF96" s="403">
        <v>0</v>
      </c>
      <c r="AG96" s="404">
        <v>0</v>
      </c>
      <c r="AH96" s="403">
        <v>0</v>
      </c>
      <c r="AI96" s="404">
        <v>0</v>
      </c>
      <c r="AJ96" s="403">
        <v>0</v>
      </c>
      <c r="AK96" s="404">
        <v>0</v>
      </c>
      <c r="AL96" s="403">
        <v>0</v>
      </c>
      <c r="AM96" s="470">
        <v>0</v>
      </c>
      <c r="AN96" s="652">
        <v>0</v>
      </c>
      <c r="AO96" s="653">
        <v>0</v>
      </c>
      <c r="AP96" s="403">
        <v>0</v>
      </c>
      <c r="AQ96" s="442">
        <v>0</v>
      </c>
      <c r="AR96" s="464">
        <v>0</v>
      </c>
      <c r="AS96" s="404">
        <v>0</v>
      </c>
      <c r="AT96" s="404">
        <v>0</v>
      </c>
      <c r="AU96" s="404">
        <v>0</v>
      </c>
      <c r="AV96" s="404">
        <v>0</v>
      </c>
      <c r="AW96" s="404">
        <v>0</v>
      </c>
      <c r="AX96" s="404">
        <v>0</v>
      </c>
      <c r="AY96" s="1057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48">
        <f t="shared" si="149"/>
        <v>0</v>
      </c>
      <c r="CO96" s="1048">
        <f t="shared" si="124"/>
        <v>0</v>
      </c>
      <c r="CP96" s="1048">
        <f t="shared" si="150"/>
        <v>0</v>
      </c>
      <c r="CQ96" s="1048">
        <f t="shared" si="126"/>
        <v>0</v>
      </c>
      <c r="CR96" s="1048">
        <f t="shared" si="151"/>
        <v>0</v>
      </c>
      <c r="CS96" s="1048">
        <f t="shared" si="128"/>
        <v>0</v>
      </c>
      <c r="CT96" s="1048">
        <f t="shared" si="129"/>
        <v>0</v>
      </c>
      <c r="CU96" s="1048">
        <f t="shared" si="130"/>
        <v>0</v>
      </c>
      <c r="CV96" s="1048">
        <f t="shared" si="131"/>
        <v>0</v>
      </c>
      <c r="CW96" s="1048">
        <f t="shared" si="132"/>
        <v>0</v>
      </c>
      <c r="CX96" s="1048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08" t="s">
        <v>662</v>
      </c>
      <c r="B97" s="196" t="s">
        <v>663</v>
      </c>
      <c r="C97" s="1146">
        <f t="shared" si="140"/>
        <v>0</v>
      </c>
      <c r="D97" s="392">
        <f t="shared" si="141"/>
        <v>0</v>
      </c>
      <c r="E97" s="539">
        <f t="shared" si="141"/>
        <v>0</v>
      </c>
      <c r="F97" s="417">
        <v>0</v>
      </c>
      <c r="G97" s="418">
        <v>0</v>
      </c>
      <c r="H97" s="417">
        <v>0</v>
      </c>
      <c r="I97" s="418">
        <v>0</v>
      </c>
      <c r="J97" s="394">
        <v>0</v>
      </c>
      <c r="K97" s="395">
        <v>0</v>
      </c>
      <c r="L97" s="394">
        <v>0</v>
      </c>
      <c r="M97" s="395">
        <v>0</v>
      </c>
      <c r="N97" s="394">
        <v>0</v>
      </c>
      <c r="O97" s="395">
        <v>0</v>
      </c>
      <c r="P97" s="394">
        <v>0</v>
      </c>
      <c r="Q97" s="395">
        <v>0</v>
      </c>
      <c r="R97" s="394">
        <v>0</v>
      </c>
      <c r="S97" s="395">
        <v>0</v>
      </c>
      <c r="T97" s="394">
        <v>0</v>
      </c>
      <c r="U97" s="395">
        <v>0</v>
      </c>
      <c r="V97" s="394">
        <v>0</v>
      </c>
      <c r="W97" s="395">
        <v>0</v>
      </c>
      <c r="X97" s="394">
        <v>0</v>
      </c>
      <c r="Y97" s="395">
        <v>0</v>
      </c>
      <c r="Z97" s="394">
        <v>0</v>
      </c>
      <c r="AA97" s="395">
        <v>0</v>
      </c>
      <c r="AB97" s="394">
        <v>0</v>
      </c>
      <c r="AC97" s="395">
        <v>0</v>
      </c>
      <c r="AD97" s="394">
        <v>0</v>
      </c>
      <c r="AE97" s="395">
        <v>0</v>
      </c>
      <c r="AF97" s="394">
        <v>0</v>
      </c>
      <c r="AG97" s="395">
        <v>0</v>
      </c>
      <c r="AH97" s="394">
        <v>0</v>
      </c>
      <c r="AI97" s="395">
        <v>0</v>
      </c>
      <c r="AJ97" s="394">
        <v>0</v>
      </c>
      <c r="AK97" s="395">
        <v>0</v>
      </c>
      <c r="AL97" s="417">
        <v>0</v>
      </c>
      <c r="AM97" s="545">
        <v>0</v>
      </c>
      <c r="AN97" s="649">
        <v>0</v>
      </c>
      <c r="AO97" s="849"/>
      <c r="AP97" s="417">
        <v>0</v>
      </c>
      <c r="AQ97" s="432">
        <v>0</v>
      </c>
      <c r="AR97" s="394">
        <v>0</v>
      </c>
      <c r="AS97" s="432">
        <v>0</v>
      </c>
      <c r="AT97" s="656">
        <v>0</v>
      </c>
      <c r="AU97" s="656">
        <v>0</v>
      </c>
      <c r="AV97" s="656">
        <v>0</v>
      </c>
      <c r="AW97" s="656">
        <v>0</v>
      </c>
      <c r="AX97" s="656">
        <v>0</v>
      </c>
      <c r="AY97" s="1057" t="str">
        <f t="shared" si="114"/>
        <v/>
      </c>
      <c r="AZ97" s="112"/>
      <c r="BA97" s="112"/>
      <c r="BB97" s="112"/>
      <c r="CA97" s="191" t="str">
        <f t="shared" si="142"/>
        <v/>
      </c>
      <c r="CB97" s="1087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48">
        <f t="shared" si="149"/>
        <v>0</v>
      </c>
      <c r="CO97" s="1087"/>
      <c r="CP97" s="1048">
        <f t="shared" si="150"/>
        <v>0</v>
      </c>
      <c r="CQ97" s="1048">
        <f t="shared" ref="CQ97:CQ100" si="153">IF(AND($E97&gt;0,OR(AQ97="")),1,IF(AQ97&gt;$E97,1,0))</f>
        <v>0</v>
      </c>
      <c r="CR97" s="1048">
        <f t="shared" ref="CR97:CR100" si="154">IF(AND($D97&gt;0,OR(AR97="")),1,IF(AR97&gt;$D97,1,0))</f>
        <v>0</v>
      </c>
      <c r="CS97" s="1048">
        <f t="shared" ref="CS97:CS100" si="155">IF(AND($E97&gt;0,OR(AS97="")),1,IF(AS97&gt;$E97,1,0))</f>
        <v>0</v>
      </c>
      <c r="CT97" s="1048">
        <f t="shared" ref="CT97:CT100" si="156">IF(AND($C97&gt;0,OR(AT97="")),1,IF(AT97&gt;$C97,1,0))</f>
        <v>0</v>
      </c>
      <c r="CU97" s="1048">
        <f t="shared" ref="CU97:CU100" si="157">IF(AND($C97&gt;0,OR(AU97="")),1,IF(AU97&gt;$C97,1,0))</f>
        <v>0</v>
      </c>
      <c r="CV97" s="1048">
        <f t="shared" ref="CV97:CV100" si="158">IF(AND($C97&gt;0,OR(AV97="")),1,IF(AV97&gt;$C97,1,0))</f>
        <v>0</v>
      </c>
      <c r="CW97" s="1048">
        <f t="shared" si="132"/>
        <v>0</v>
      </c>
      <c r="CX97" s="1048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09"/>
      <c r="B98" s="197" t="s">
        <v>664</v>
      </c>
      <c r="C98" s="1148">
        <f t="shared" si="140"/>
        <v>0</v>
      </c>
      <c r="D98" s="397">
        <f t="shared" si="141"/>
        <v>0</v>
      </c>
      <c r="E98" s="535">
        <f t="shared" si="141"/>
        <v>0</v>
      </c>
      <c r="F98" s="417">
        <v>0</v>
      </c>
      <c r="G98" s="418">
        <v>0</v>
      </c>
      <c r="H98" s="417">
        <v>0</v>
      </c>
      <c r="I98" s="418">
        <v>0</v>
      </c>
      <c r="J98" s="398">
        <v>0</v>
      </c>
      <c r="K98" s="399">
        <v>0</v>
      </c>
      <c r="L98" s="398">
        <v>0</v>
      </c>
      <c r="M98" s="399">
        <v>0</v>
      </c>
      <c r="N98" s="398">
        <v>0</v>
      </c>
      <c r="O98" s="399">
        <v>0</v>
      </c>
      <c r="P98" s="398">
        <v>0</v>
      </c>
      <c r="Q98" s="399">
        <v>0</v>
      </c>
      <c r="R98" s="398">
        <v>0</v>
      </c>
      <c r="S98" s="399">
        <v>0</v>
      </c>
      <c r="T98" s="417">
        <v>0</v>
      </c>
      <c r="U98" s="418">
        <v>0</v>
      </c>
      <c r="V98" s="450">
        <v>0</v>
      </c>
      <c r="W98" s="451">
        <v>0</v>
      </c>
      <c r="X98" s="417">
        <v>0</v>
      </c>
      <c r="Y98" s="418">
        <v>0</v>
      </c>
      <c r="Z98" s="417">
        <v>0</v>
      </c>
      <c r="AA98" s="418">
        <v>0</v>
      </c>
      <c r="AB98" s="417">
        <v>0</v>
      </c>
      <c r="AC98" s="418">
        <v>0</v>
      </c>
      <c r="AD98" s="417">
        <v>0</v>
      </c>
      <c r="AE98" s="418">
        <v>0</v>
      </c>
      <c r="AF98" s="417">
        <v>0</v>
      </c>
      <c r="AG98" s="418">
        <v>0</v>
      </c>
      <c r="AH98" s="417">
        <v>0</v>
      </c>
      <c r="AI98" s="418">
        <v>0</v>
      </c>
      <c r="AJ98" s="417">
        <v>0</v>
      </c>
      <c r="AK98" s="418">
        <v>0</v>
      </c>
      <c r="AL98" s="417">
        <v>0</v>
      </c>
      <c r="AM98" s="545">
        <v>0</v>
      </c>
      <c r="AN98" s="456">
        <v>0</v>
      </c>
      <c r="AO98" s="850"/>
      <c r="AP98" s="417">
        <v>0</v>
      </c>
      <c r="AQ98" s="432">
        <v>0</v>
      </c>
      <c r="AR98" s="417">
        <v>0</v>
      </c>
      <c r="AS98" s="432">
        <v>0</v>
      </c>
      <c r="AT98" s="656">
        <v>0</v>
      </c>
      <c r="AU98" s="656">
        <v>0</v>
      </c>
      <c r="AV98" s="656">
        <v>0</v>
      </c>
      <c r="AW98" s="656">
        <v>0</v>
      </c>
      <c r="AX98" s="656">
        <v>0</v>
      </c>
      <c r="AY98" s="1057" t="str">
        <f t="shared" si="114"/>
        <v/>
      </c>
      <c r="AZ98" s="112"/>
      <c r="BA98" s="112"/>
      <c r="BB98" s="112"/>
      <c r="CA98" s="191" t="str">
        <f t="shared" si="142"/>
        <v/>
      </c>
      <c r="CB98" s="1087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48">
        <f t="shared" si="149"/>
        <v>0</v>
      </c>
      <c r="CO98" s="1087"/>
      <c r="CP98" s="1048">
        <f t="shared" ref="CP98:CP100" si="159">IF(AND($D98&gt;0,OR(AP98="")),1,IF(AP98&gt;$D98,1,0))</f>
        <v>0</v>
      </c>
      <c r="CQ98" s="1048">
        <f t="shared" si="153"/>
        <v>0</v>
      </c>
      <c r="CR98" s="1048">
        <f t="shared" si="154"/>
        <v>0</v>
      </c>
      <c r="CS98" s="1048">
        <f t="shared" si="155"/>
        <v>0</v>
      </c>
      <c r="CT98" s="1048">
        <f t="shared" si="156"/>
        <v>0</v>
      </c>
      <c r="CU98" s="1048">
        <f t="shared" si="157"/>
        <v>0</v>
      </c>
      <c r="CV98" s="1048">
        <f t="shared" si="158"/>
        <v>0</v>
      </c>
      <c r="CW98" s="1048">
        <f t="shared" si="132"/>
        <v>0</v>
      </c>
      <c r="CX98" s="1048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09"/>
      <c r="B99" s="197" t="s">
        <v>665</v>
      </c>
      <c r="C99" s="1148">
        <f t="shared" si="140"/>
        <v>0</v>
      </c>
      <c r="D99" s="397">
        <f>+F99+H99+J99</f>
        <v>0</v>
      </c>
      <c r="E99" s="535">
        <f>+G99+I99+K99</f>
        <v>0</v>
      </c>
      <c r="F99" s="417">
        <v>0</v>
      </c>
      <c r="G99" s="418">
        <v>0</v>
      </c>
      <c r="H99" s="417">
        <v>0</v>
      </c>
      <c r="I99" s="418">
        <v>0</v>
      </c>
      <c r="J99" s="417">
        <v>0</v>
      </c>
      <c r="K99" s="399">
        <v>0</v>
      </c>
      <c r="L99" s="436"/>
      <c r="M99" s="437"/>
      <c r="N99" s="436"/>
      <c r="O99" s="437"/>
      <c r="P99" s="436"/>
      <c r="Q99" s="437"/>
      <c r="R99" s="436"/>
      <c r="S99" s="437"/>
      <c r="T99" s="436"/>
      <c r="U99" s="437"/>
      <c r="V99" s="546"/>
      <c r="W99" s="547"/>
      <c r="X99" s="436"/>
      <c r="Y99" s="437"/>
      <c r="Z99" s="436"/>
      <c r="AA99" s="437"/>
      <c r="AB99" s="436"/>
      <c r="AC99" s="437"/>
      <c r="AD99" s="436"/>
      <c r="AE99" s="437"/>
      <c r="AF99" s="436"/>
      <c r="AG99" s="437"/>
      <c r="AH99" s="436"/>
      <c r="AI99" s="437"/>
      <c r="AJ99" s="436"/>
      <c r="AK99" s="437"/>
      <c r="AL99" s="436"/>
      <c r="AM99" s="846"/>
      <c r="AN99" s="456">
        <v>0</v>
      </c>
      <c r="AO99" s="850"/>
      <c r="AP99" s="398">
        <v>0</v>
      </c>
      <c r="AQ99" s="432">
        <v>0</v>
      </c>
      <c r="AR99" s="417">
        <v>0</v>
      </c>
      <c r="AS99" s="432">
        <v>0</v>
      </c>
      <c r="AT99" s="656">
        <v>0</v>
      </c>
      <c r="AU99" s="656">
        <v>0</v>
      </c>
      <c r="AV99" s="656">
        <v>0</v>
      </c>
      <c r="AW99" s="656">
        <v>0</v>
      </c>
      <c r="AX99" s="656">
        <v>0</v>
      </c>
      <c r="AY99" s="1057" t="str">
        <f t="shared" si="114"/>
        <v/>
      </c>
      <c r="AZ99" s="112"/>
      <c r="BA99" s="112"/>
      <c r="BB99" s="112"/>
      <c r="CA99" s="191" t="str">
        <f t="shared" si="142"/>
        <v/>
      </c>
      <c r="CB99" s="1087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48">
        <f t="shared" si="149"/>
        <v>0</v>
      </c>
      <c r="CO99" s="1087"/>
      <c r="CP99" s="1048">
        <f t="shared" si="159"/>
        <v>0</v>
      </c>
      <c r="CQ99" s="1048">
        <f t="shared" si="153"/>
        <v>0</v>
      </c>
      <c r="CR99" s="1048">
        <f t="shared" si="154"/>
        <v>0</v>
      </c>
      <c r="CS99" s="1048">
        <f t="shared" si="155"/>
        <v>0</v>
      </c>
      <c r="CT99" s="1048">
        <f t="shared" si="156"/>
        <v>0</v>
      </c>
      <c r="CU99" s="1048">
        <f t="shared" si="157"/>
        <v>0</v>
      </c>
      <c r="CV99" s="1048">
        <f t="shared" si="158"/>
        <v>0</v>
      </c>
      <c r="CW99" s="1048">
        <f t="shared" si="132"/>
        <v>0</v>
      </c>
      <c r="CX99" s="1048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10"/>
      <c r="B100" s="197" t="s">
        <v>666</v>
      </c>
      <c r="C100" s="1144">
        <f>SUM(D100:E100)</f>
        <v>0</v>
      </c>
      <c r="D100" s="391">
        <f>+F100+H100+J100+L100+N100</f>
        <v>0</v>
      </c>
      <c r="E100" s="532">
        <f>+G100+I100+K100+M100+O100</f>
        <v>0</v>
      </c>
      <c r="F100" s="403">
        <v>0</v>
      </c>
      <c r="G100" s="404">
        <v>0</v>
      </c>
      <c r="H100" s="403">
        <v>0</v>
      </c>
      <c r="I100" s="404">
        <v>0</v>
      </c>
      <c r="J100" s="403">
        <v>0</v>
      </c>
      <c r="K100" s="404">
        <v>0</v>
      </c>
      <c r="L100" s="403">
        <v>0</v>
      </c>
      <c r="M100" s="404">
        <v>0</v>
      </c>
      <c r="N100" s="403">
        <v>0</v>
      </c>
      <c r="O100" s="404">
        <v>0</v>
      </c>
      <c r="P100" s="439"/>
      <c r="Q100" s="440"/>
      <c r="R100" s="439"/>
      <c r="S100" s="440"/>
      <c r="T100" s="439"/>
      <c r="U100" s="440"/>
      <c r="V100" s="439"/>
      <c r="W100" s="440"/>
      <c r="X100" s="439"/>
      <c r="Y100" s="440"/>
      <c r="Z100" s="439"/>
      <c r="AA100" s="440"/>
      <c r="AB100" s="439"/>
      <c r="AC100" s="440"/>
      <c r="AD100" s="439"/>
      <c r="AE100" s="440"/>
      <c r="AF100" s="439"/>
      <c r="AG100" s="440"/>
      <c r="AH100" s="439"/>
      <c r="AI100" s="440"/>
      <c r="AJ100" s="439"/>
      <c r="AK100" s="440"/>
      <c r="AL100" s="439"/>
      <c r="AM100" s="852"/>
      <c r="AN100" s="652">
        <v>0</v>
      </c>
      <c r="AO100" s="851"/>
      <c r="AP100" s="417">
        <v>0</v>
      </c>
      <c r="AQ100" s="432">
        <v>0</v>
      </c>
      <c r="AR100" s="417">
        <v>0</v>
      </c>
      <c r="AS100" s="432">
        <v>0</v>
      </c>
      <c r="AT100" s="656">
        <v>0</v>
      </c>
      <c r="AU100" s="656">
        <v>0</v>
      </c>
      <c r="AV100" s="656">
        <v>0</v>
      </c>
      <c r="AW100" s="656">
        <v>0</v>
      </c>
      <c r="AX100" s="656">
        <v>0</v>
      </c>
      <c r="AY100" s="1057" t="str">
        <f t="shared" si="114"/>
        <v/>
      </c>
      <c r="AZ100" s="112"/>
      <c r="BA100" s="112"/>
      <c r="BB100" s="112"/>
      <c r="CA100" s="191" t="str">
        <f t="shared" si="142"/>
        <v/>
      </c>
      <c r="CB100" s="1087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48">
        <f t="shared" si="149"/>
        <v>0</v>
      </c>
      <c r="CO100" s="1087"/>
      <c r="CP100" s="1048">
        <f t="shared" si="159"/>
        <v>0</v>
      </c>
      <c r="CQ100" s="1048">
        <f t="shared" si="153"/>
        <v>0</v>
      </c>
      <c r="CR100" s="1048">
        <f t="shared" si="154"/>
        <v>0</v>
      </c>
      <c r="CS100" s="1048">
        <f t="shared" si="155"/>
        <v>0</v>
      </c>
      <c r="CT100" s="1048">
        <f t="shared" si="156"/>
        <v>0</v>
      </c>
      <c r="CU100" s="1048">
        <f t="shared" si="157"/>
        <v>0</v>
      </c>
      <c r="CV100" s="1048">
        <f t="shared" si="158"/>
        <v>0</v>
      </c>
      <c r="CW100" s="1048">
        <f t="shared" si="132"/>
        <v>0</v>
      </c>
      <c r="CX100" s="1048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14" t="s">
        <v>667</v>
      </c>
      <c r="B101" s="196" t="s">
        <v>704</v>
      </c>
      <c r="C101" s="709">
        <f t="shared" si="140"/>
        <v>0</v>
      </c>
      <c r="D101" s="1068">
        <f t="shared" ref="D101:E105" si="160">SUM(F101+H101+J101+L101+N101+P101+R101+T101+V101+X101+Z101+AB101+AD101+AF101+AH101+AJ101+AL101)</f>
        <v>0</v>
      </c>
      <c r="E101" s="584">
        <f t="shared" si="160"/>
        <v>0</v>
      </c>
      <c r="F101" s="417">
        <v>0</v>
      </c>
      <c r="G101" s="418">
        <v>0</v>
      </c>
      <c r="H101" s="417">
        <v>0</v>
      </c>
      <c r="I101" s="418">
        <v>0</v>
      </c>
      <c r="J101" s="417">
        <v>0</v>
      </c>
      <c r="K101" s="418">
        <v>0</v>
      </c>
      <c r="L101" s="417">
        <v>0</v>
      </c>
      <c r="M101" s="418">
        <v>0</v>
      </c>
      <c r="N101" s="417">
        <v>0</v>
      </c>
      <c r="O101" s="468">
        <v>0</v>
      </c>
      <c r="P101" s="417">
        <v>0</v>
      </c>
      <c r="Q101" s="468">
        <v>0</v>
      </c>
      <c r="R101" s="417">
        <v>0</v>
      </c>
      <c r="S101" s="468">
        <v>0</v>
      </c>
      <c r="T101" s="417">
        <v>0</v>
      </c>
      <c r="U101" s="468">
        <v>0</v>
      </c>
      <c r="V101" s="417">
        <v>0</v>
      </c>
      <c r="W101" s="468">
        <v>0</v>
      </c>
      <c r="X101" s="417">
        <v>0</v>
      </c>
      <c r="Y101" s="468">
        <v>0</v>
      </c>
      <c r="Z101" s="417">
        <v>0</v>
      </c>
      <c r="AA101" s="468">
        <v>0</v>
      </c>
      <c r="AB101" s="417">
        <v>0</v>
      </c>
      <c r="AC101" s="468">
        <v>0</v>
      </c>
      <c r="AD101" s="417">
        <v>0</v>
      </c>
      <c r="AE101" s="468">
        <v>0</v>
      </c>
      <c r="AF101" s="417">
        <v>0</v>
      </c>
      <c r="AG101" s="468">
        <v>0</v>
      </c>
      <c r="AH101" s="417">
        <v>0</v>
      </c>
      <c r="AI101" s="468">
        <v>0</v>
      </c>
      <c r="AJ101" s="417">
        <v>0</v>
      </c>
      <c r="AK101" s="468">
        <v>0</v>
      </c>
      <c r="AL101" s="417">
        <v>0</v>
      </c>
      <c r="AM101" s="419">
        <v>0</v>
      </c>
      <c r="AN101" s="456">
        <v>0</v>
      </c>
      <c r="AO101" s="656">
        <v>0</v>
      </c>
      <c r="AP101" s="417">
        <v>0</v>
      </c>
      <c r="AQ101" s="432">
        <v>0</v>
      </c>
      <c r="AR101" s="468">
        <v>0</v>
      </c>
      <c r="AS101" s="418">
        <v>0</v>
      </c>
      <c r="AT101" s="418">
        <v>0</v>
      </c>
      <c r="AU101" s="418">
        <v>0</v>
      </c>
      <c r="AV101" s="418">
        <v>0</v>
      </c>
      <c r="AW101" s="418">
        <v>0</v>
      </c>
      <c r="AX101" s="418">
        <v>0</v>
      </c>
      <c r="AY101" s="1057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48">
        <f t="shared" si="149"/>
        <v>0</v>
      </c>
      <c r="CO101" s="1048">
        <f t="shared" ref="CO101:CO105" si="162">IF(AND($E101&gt;0,OR(AO101="")),1,IF(AO101&gt;$E101,1,0))</f>
        <v>0</v>
      </c>
      <c r="CP101" s="1048">
        <f>IF(AND($D101&gt;0,OR(AP101="")),1,IF(AP101&gt;$D101,1,0))</f>
        <v>0</v>
      </c>
      <c r="CQ101" s="1048">
        <f>IF(AND($E101&gt;0,OR(AQ101="")),1,IF(AQ101&gt;$E101,1,0))</f>
        <v>0</v>
      </c>
      <c r="CR101" s="1048">
        <f>IF(AND($D101&gt;0,OR(AR101="")),1,IF(AR101&gt;$D101,1,0))</f>
        <v>0</v>
      </c>
      <c r="CS101" s="1048">
        <f>IF(AND($E101&gt;0,OR(AS101="")),1,IF(AS101&gt;$E101,1,0))</f>
        <v>0</v>
      </c>
      <c r="CT101" s="1048">
        <f t="shared" ref="CT101:CV102" si="163">IF(AND($C101&gt;0,OR(AT101="")),1,IF(AT101&gt;$C101,1,0))</f>
        <v>0</v>
      </c>
      <c r="CU101" s="1048">
        <f t="shared" si="163"/>
        <v>0</v>
      </c>
      <c r="CV101" s="1048">
        <f t="shared" si="163"/>
        <v>0</v>
      </c>
      <c r="CW101" s="1048">
        <f t="shared" si="132"/>
        <v>0</v>
      </c>
      <c r="CX101" s="1048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905"/>
      <c r="B102" s="800" t="s">
        <v>705</v>
      </c>
      <c r="C102" s="710">
        <f t="shared" si="140"/>
        <v>0</v>
      </c>
      <c r="D102" s="1069">
        <f t="shared" si="160"/>
        <v>0</v>
      </c>
      <c r="E102" s="585">
        <f t="shared" si="160"/>
        <v>0</v>
      </c>
      <c r="F102" s="398">
        <v>0</v>
      </c>
      <c r="G102" s="399">
        <v>0</v>
      </c>
      <c r="H102" s="398">
        <v>0</v>
      </c>
      <c r="I102" s="399">
        <v>0</v>
      </c>
      <c r="J102" s="398">
        <v>0</v>
      </c>
      <c r="K102" s="399">
        <v>0</v>
      </c>
      <c r="L102" s="398">
        <v>0</v>
      </c>
      <c r="M102" s="399">
        <v>0</v>
      </c>
      <c r="N102" s="398">
        <v>0</v>
      </c>
      <c r="O102" s="465">
        <v>0</v>
      </c>
      <c r="P102" s="398">
        <v>0</v>
      </c>
      <c r="Q102" s="465">
        <v>0</v>
      </c>
      <c r="R102" s="398">
        <v>0</v>
      </c>
      <c r="S102" s="465">
        <v>0</v>
      </c>
      <c r="T102" s="398">
        <v>0</v>
      </c>
      <c r="U102" s="465">
        <v>0</v>
      </c>
      <c r="V102" s="398">
        <v>0</v>
      </c>
      <c r="W102" s="465">
        <v>0</v>
      </c>
      <c r="X102" s="398">
        <v>0</v>
      </c>
      <c r="Y102" s="465">
        <v>0</v>
      </c>
      <c r="Z102" s="398">
        <v>0</v>
      </c>
      <c r="AA102" s="465">
        <v>0</v>
      </c>
      <c r="AB102" s="398">
        <v>0</v>
      </c>
      <c r="AC102" s="465">
        <v>0</v>
      </c>
      <c r="AD102" s="398">
        <v>0</v>
      </c>
      <c r="AE102" s="465">
        <v>0</v>
      </c>
      <c r="AF102" s="398">
        <v>0</v>
      </c>
      <c r="AG102" s="465">
        <v>0</v>
      </c>
      <c r="AH102" s="398">
        <v>0</v>
      </c>
      <c r="AI102" s="465">
        <v>0</v>
      </c>
      <c r="AJ102" s="398">
        <v>0</v>
      </c>
      <c r="AK102" s="465">
        <v>0</v>
      </c>
      <c r="AL102" s="398">
        <v>0</v>
      </c>
      <c r="AM102" s="407">
        <v>0</v>
      </c>
      <c r="AN102" s="457">
        <v>0</v>
      </c>
      <c r="AO102" s="651">
        <v>0</v>
      </c>
      <c r="AP102" s="398">
        <v>0</v>
      </c>
      <c r="AQ102" s="533">
        <v>0</v>
      </c>
      <c r="AR102" s="465">
        <v>0</v>
      </c>
      <c r="AS102" s="399">
        <v>0</v>
      </c>
      <c r="AT102" s="399">
        <v>0</v>
      </c>
      <c r="AU102" s="399">
        <v>0</v>
      </c>
      <c r="AV102" s="399">
        <v>0</v>
      </c>
      <c r="AW102" s="399">
        <v>0</v>
      </c>
      <c r="AX102" s="399">
        <v>0</v>
      </c>
      <c r="AY102" s="1057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48">
        <f t="shared" si="149"/>
        <v>0</v>
      </c>
      <c r="CO102" s="1048">
        <f t="shared" si="162"/>
        <v>0</v>
      </c>
      <c r="CP102" s="1048">
        <f>IF(AND($D102&gt;0,OR(AP102="")),1,IF(AP102&gt;$D102,1,0))</f>
        <v>0</v>
      </c>
      <c r="CQ102" s="1048">
        <f>IF(AND($E102&gt;0,OR(AQ102="")),1,IF(AQ102&gt;$E102,1,0))</f>
        <v>0</v>
      </c>
      <c r="CR102" s="1048">
        <f>IF(AND($D102&gt;0,OR(AR102="")),1,IF(AR102&gt;$D102,1,0))</f>
        <v>0</v>
      </c>
      <c r="CS102" s="1048">
        <f>IF(AND($E102&gt;0,OR(AS102="")),1,IF(AS102&gt;$E102,1,0))</f>
        <v>0</v>
      </c>
      <c r="CT102" s="1048">
        <f t="shared" si="163"/>
        <v>0</v>
      </c>
      <c r="CU102" s="1048">
        <f t="shared" si="163"/>
        <v>0</v>
      </c>
      <c r="CV102" s="1048">
        <f t="shared" si="163"/>
        <v>0</v>
      </c>
      <c r="CW102" s="1048">
        <f t="shared" si="132"/>
        <v>0</v>
      </c>
      <c r="CX102" s="1048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905"/>
      <c r="B103" s="199" t="s">
        <v>670</v>
      </c>
      <c r="C103" s="710">
        <f t="shared" si="140"/>
        <v>0</v>
      </c>
      <c r="D103" s="1069">
        <f t="shared" si="160"/>
        <v>0</v>
      </c>
      <c r="E103" s="585">
        <f t="shared" si="160"/>
        <v>0</v>
      </c>
      <c r="F103" s="398">
        <v>0</v>
      </c>
      <c r="G103" s="399">
        <v>0</v>
      </c>
      <c r="H103" s="398">
        <v>0</v>
      </c>
      <c r="I103" s="399">
        <v>0</v>
      </c>
      <c r="J103" s="398">
        <v>0</v>
      </c>
      <c r="K103" s="399">
        <v>0</v>
      </c>
      <c r="L103" s="398">
        <v>0</v>
      </c>
      <c r="M103" s="399">
        <v>0</v>
      </c>
      <c r="N103" s="398">
        <v>0</v>
      </c>
      <c r="O103" s="465">
        <v>0</v>
      </c>
      <c r="P103" s="398">
        <v>0</v>
      </c>
      <c r="Q103" s="465">
        <v>0</v>
      </c>
      <c r="R103" s="398">
        <v>0</v>
      </c>
      <c r="S103" s="465">
        <v>0</v>
      </c>
      <c r="T103" s="398">
        <v>0</v>
      </c>
      <c r="U103" s="465">
        <v>0</v>
      </c>
      <c r="V103" s="398">
        <v>0</v>
      </c>
      <c r="W103" s="465">
        <v>0</v>
      </c>
      <c r="X103" s="398">
        <v>0</v>
      </c>
      <c r="Y103" s="465">
        <v>0</v>
      </c>
      <c r="Z103" s="398">
        <v>0</v>
      </c>
      <c r="AA103" s="465">
        <v>0</v>
      </c>
      <c r="AB103" s="398">
        <v>0</v>
      </c>
      <c r="AC103" s="465">
        <v>0</v>
      </c>
      <c r="AD103" s="398">
        <v>0</v>
      </c>
      <c r="AE103" s="465">
        <v>0</v>
      </c>
      <c r="AF103" s="398">
        <v>0</v>
      </c>
      <c r="AG103" s="465">
        <v>0</v>
      </c>
      <c r="AH103" s="398">
        <v>0</v>
      </c>
      <c r="AI103" s="465">
        <v>0</v>
      </c>
      <c r="AJ103" s="398">
        <v>0</v>
      </c>
      <c r="AK103" s="465">
        <v>0</v>
      </c>
      <c r="AL103" s="398">
        <v>0</v>
      </c>
      <c r="AM103" s="407">
        <v>0</v>
      </c>
      <c r="AN103" s="457">
        <v>0</v>
      </c>
      <c r="AO103" s="651">
        <v>0</v>
      </c>
      <c r="AP103" s="398">
        <v>0</v>
      </c>
      <c r="AQ103" s="533">
        <v>0</v>
      </c>
      <c r="AR103" s="465">
        <v>0</v>
      </c>
      <c r="AS103" s="399">
        <v>0</v>
      </c>
      <c r="AT103" s="399">
        <v>0</v>
      </c>
      <c r="AU103" s="399">
        <v>0</v>
      </c>
      <c r="AV103" s="399">
        <v>0</v>
      </c>
      <c r="AW103" s="399">
        <v>0</v>
      </c>
      <c r="AX103" s="399">
        <v>0</v>
      </c>
      <c r="AY103" s="1057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48">
        <f t="shared" si="149"/>
        <v>0</v>
      </c>
      <c r="CO103" s="1048">
        <f t="shared" si="162"/>
        <v>0</v>
      </c>
      <c r="CP103" s="1048">
        <f t="shared" ref="CP103:CP120" si="164">IF(AND($D103&gt;0,OR(AP103="")),1,IF(AP103&gt;$D103,1,0))</f>
        <v>0</v>
      </c>
      <c r="CQ103" s="1048">
        <f t="shared" ref="CQ103:CQ120" si="165">IF(AND($E103&gt;0,OR(AQ103="")),1,IF(AQ103&gt;$E103,1,0))</f>
        <v>0</v>
      </c>
      <c r="CR103" s="1048">
        <f t="shared" ref="CR103:CR120" si="166">IF(AND($D103&gt;0,OR(AR103="")),1,IF(AR103&gt;$D103,1,0))</f>
        <v>0</v>
      </c>
      <c r="CS103" s="1048">
        <f t="shared" ref="CS103:CS120" si="167">IF(AND($E103&gt;0,OR(AS103="")),1,IF(AS103&gt;$E103,1,0))</f>
        <v>0</v>
      </c>
      <c r="CT103" s="1048">
        <f t="shared" ref="CT103:CT105" si="168">IF(AND($C103&gt;0,OR(AT103="")),1,IF(AT103&gt;$C103,1,0))</f>
        <v>0</v>
      </c>
      <c r="CU103" s="1048">
        <f t="shared" ref="CU103:CU105" si="169">IF(AND($C103&gt;0,OR(AU103="")),1,IF(AU103&gt;$C103,1,0))</f>
        <v>0</v>
      </c>
      <c r="CV103" s="1048">
        <f t="shared" ref="CV103:CV120" si="170">IF(AND($C103&gt;0,OR(AV103="")),1,IF(AV103&gt;$C103,1,0))</f>
        <v>0</v>
      </c>
      <c r="CW103" s="1048">
        <f t="shared" si="132"/>
        <v>0</v>
      </c>
      <c r="CX103" s="1048">
        <f t="shared" si="152"/>
        <v>0</v>
      </c>
      <c r="DM103" s="107"/>
      <c r="DN103" s="107"/>
      <c r="DO103" s="107"/>
    </row>
    <row r="104" spans="1:124" ht="15" customHeight="1" x14ac:dyDescent="0.25">
      <c r="A104" s="1905"/>
      <c r="B104" s="199" t="s">
        <v>671</v>
      </c>
      <c r="C104" s="709">
        <f t="shared" si="140"/>
        <v>0</v>
      </c>
      <c r="D104" s="1068">
        <f t="shared" si="160"/>
        <v>0</v>
      </c>
      <c r="E104" s="584">
        <f t="shared" si="160"/>
        <v>0</v>
      </c>
      <c r="F104" s="398">
        <v>0</v>
      </c>
      <c r="G104" s="399">
        <v>0</v>
      </c>
      <c r="H104" s="398">
        <v>0</v>
      </c>
      <c r="I104" s="399">
        <v>0</v>
      </c>
      <c r="J104" s="398">
        <v>0</v>
      </c>
      <c r="K104" s="399">
        <v>0</v>
      </c>
      <c r="L104" s="398">
        <v>0</v>
      </c>
      <c r="M104" s="399">
        <v>0</v>
      </c>
      <c r="N104" s="398">
        <v>0</v>
      </c>
      <c r="O104" s="465">
        <v>0</v>
      </c>
      <c r="P104" s="398">
        <v>0</v>
      </c>
      <c r="Q104" s="465">
        <v>0</v>
      </c>
      <c r="R104" s="398">
        <v>0</v>
      </c>
      <c r="S104" s="465">
        <v>0</v>
      </c>
      <c r="T104" s="398">
        <v>0</v>
      </c>
      <c r="U104" s="465">
        <v>0</v>
      </c>
      <c r="V104" s="398">
        <v>0</v>
      </c>
      <c r="W104" s="465">
        <v>0</v>
      </c>
      <c r="X104" s="398">
        <v>0</v>
      </c>
      <c r="Y104" s="465">
        <v>0</v>
      </c>
      <c r="Z104" s="398">
        <v>0</v>
      </c>
      <c r="AA104" s="465">
        <v>0</v>
      </c>
      <c r="AB104" s="398">
        <v>0</v>
      </c>
      <c r="AC104" s="465">
        <v>0</v>
      </c>
      <c r="AD104" s="398">
        <v>0</v>
      </c>
      <c r="AE104" s="465">
        <v>0</v>
      </c>
      <c r="AF104" s="398">
        <v>0</v>
      </c>
      <c r="AG104" s="465">
        <v>0</v>
      </c>
      <c r="AH104" s="398">
        <v>0</v>
      </c>
      <c r="AI104" s="465">
        <v>0</v>
      </c>
      <c r="AJ104" s="398">
        <v>0</v>
      </c>
      <c r="AK104" s="465">
        <v>0</v>
      </c>
      <c r="AL104" s="398">
        <v>0</v>
      </c>
      <c r="AM104" s="407">
        <v>0</v>
      </c>
      <c r="AN104" s="457">
        <v>0</v>
      </c>
      <c r="AO104" s="651">
        <v>0</v>
      </c>
      <c r="AP104" s="398">
        <v>0</v>
      </c>
      <c r="AQ104" s="533">
        <v>0</v>
      </c>
      <c r="AR104" s="465">
        <v>0</v>
      </c>
      <c r="AS104" s="399">
        <v>0</v>
      </c>
      <c r="AT104" s="399">
        <v>0</v>
      </c>
      <c r="AU104" s="651">
        <v>0</v>
      </c>
      <c r="AV104" s="399">
        <v>0</v>
      </c>
      <c r="AW104" s="399">
        <v>0</v>
      </c>
      <c r="AX104" s="399">
        <v>0</v>
      </c>
      <c r="AY104" s="1057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48">
        <f t="shared" si="149"/>
        <v>0</v>
      </c>
      <c r="CO104" s="1048">
        <f t="shared" si="162"/>
        <v>0</v>
      </c>
      <c r="CP104" s="1048">
        <f t="shared" si="164"/>
        <v>0</v>
      </c>
      <c r="CQ104" s="1048">
        <f t="shared" si="165"/>
        <v>0</v>
      </c>
      <c r="CR104" s="1048">
        <f t="shared" si="166"/>
        <v>0</v>
      </c>
      <c r="CS104" s="1048">
        <f t="shared" si="167"/>
        <v>0</v>
      </c>
      <c r="CT104" s="1048">
        <f t="shared" si="168"/>
        <v>0</v>
      </c>
      <c r="CU104" s="1048">
        <f t="shared" si="169"/>
        <v>0</v>
      </c>
      <c r="CV104" s="1048">
        <f t="shared" si="170"/>
        <v>0</v>
      </c>
      <c r="CW104" s="1048">
        <f t="shared" si="132"/>
        <v>0</v>
      </c>
      <c r="CX104" s="1048">
        <f t="shared" si="152"/>
        <v>0</v>
      </c>
      <c r="DM104" s="107"/>
      <c r="DN104" s="107"/>
      <c r="DO104" s="107"/>
    </row>
    <row r="105" spans="1:124" ht="15" customHeight="1" x14ac:dyDescent="0.25">
      <c r="A105" s="1901"/>
      <c r="B105" s="587" t="s">
        <v>672</v>
      </c>
      <c r="C105" s="711">
        <f t="shared" si="140"/>
        <v>0</v>
      </c>
      <c r="D105" s="1153">
        <f t="shared" si="160"/>
        <v>0</v>
      </c>
      <c r="E105" s="592">
        <f t="shared" si="160"/>
        <v>0</v>
      </c>
      <c r="F105" s="403">
        <v>0</v>
      </c>
      <c r="G105" s="404">
        <v>0</v>
      </c>
      <c r="H105" s="403">
        <v>0</v>
      </c>
      <c r="I105" s="404">
        <v>0</v>
      </c>
      <c r="J105" s="403">
        <v>0</v>
      </c>
      <c r="K105" s="404">
        <v>0</v>
      </c>
      <c r="L105" s="403">
        <v>0</v>
      </c>
      <c r="M105" s="404">
        <v>0</v>
      </c>
      <c r="N105" s="403">
        <v>0</v>
      </c>
      <c r="O105" s="464">
        <v>0</v>
      </c>
      <c r="P105" s="403">
        <v>0</v>
      </c>
      <c r="Q105" s="464">
        <v>0</v>
      </c>
      <c r="R105" s="403">
        <v>0</v>
      </c>
      <c r="S105" s="464">
        <v>0</v>
      </c>
      <c r="T105" s="403">
        <v>0</v>
      </c>
      <c r="U105" s="464">
        <v>0</v>
      </c>
      <c r="V105" s="403">
        <v>0</v>
      </c>
      <c r="W105" s="464">
        <v>0</v>
      </c>
      <c r="X105" s="403">
        <v>0</v>
      </c>
      <c r="Y105" s="464">
        <v>0</v>
      </c>
      <c r="Z105" s="403">
        <v>0</v>
      </c>
      <c r="AA105" s="464">
        <v>0</v>
      </c>
      <c r="AB105" s="403">
        <v>0</v>
      </c>
      <c r="AC105" s="464">
        <v>0</v>
      </c>
      <c r="AD105" s="403">
        <v>0</v>
      </c>
      <c r="AE105" s="464">
        <v>0</v>
      </c>
      <c r="AF105" s="403">
        <v>0</v>
      </c>
      <c r="AG105" s="464">
        <v>0</v>
      </c>
      <c r="AH105" s="403">
        <v>0</v>
      </c>
      <c r="AI105" s="464">
        <v>0</v>
      </c>
      <c r="AJ105" s="403">
        <v>0</v>
      </c>
      <c r="AK105" s="464">
        <v>0</v>
      </c>
      <c r="AL105" s="403">
        <v>0</v>
      </c>
      <c r="AM105" s="431">
        <v>0</v>
      </c>
      <c r="AN105" s="652">
        <v>0</v>
      </c>
      <c r="AO105" s="653">
        <v>0</v>
      </c>
      <c r="AP105" s="403">
        <v>0</v>
      </c>
      <c r="AQ105" s="442">
        <v>0</v>
      </c>
      <c r="AR105" s="464">
        <v>0</v>
      </c>
      <c r="AS105" s="404">
        <v>0</v>
      </c>
      <c r="AT105" s="404">
        <v>0</v>
      </c>
      <c r="AU105" s="653">
        <v>0</v>
      </c>
      <c r="AV105" s="404">
        <v>0</v>
      </c>
      <c r="AW105" s="404">
        <v>0</v>
      </c>
      <c r="AX105" s="404">
        <v>0</v>
      </c>
      <c r="AY105" s="1057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48">
        <f t="shared" si="149"/>
        <v>0</v>
      </c>
      <c r="CO105" s="1048">
        <f t="shared" si="162"/>
        <v>0</v>
      </c>
      <c r="CP105" s="1048">
        <f t="shared" si="164"/>
        <v>0</v>
      </c>
      <c r="CQ105" s="1048">
        <f t="shared" si="165"/>
        <v>0</v>
      </c>
      <c r="CR105" s="1048">
        <f t="shared" si="166"/>
        <v>0</v>
      </c>
      <c r="CS105" s="1048">
        <f t="shared" si="167"/>
        <v>0</v>
      </c>
      <c r="CT105" s="1048">
        <f t="shared" si="168"/>
        <v>0</v>
      </c>
      <c r="CU105" s="1048">
        <f t="shared" si="169"/>
        <v>0</v>
      </c>
      <c r="CV105" s="1048">
        <f t="shared" si="170"/>
        <v>0</v>
      </c>
      <c r="CW105" s="1048">
        <f t="shared" si="132"/>
        <v>0</v>
      </c>
      <c r="CX105" s="1048">
        <f t="shared" si="152"/>
        <v>0</v>
      </c>
      <c r="DM105" s="107"/>
      <c r="DN105" s="107"/>
      <c r="DO105" s="107"/>
    </row>
    <row r="106" spans="1:124" ht="15" customHeight="1" x14ac:dyDescent="0.25">
      <c r="A106" s="2114" t="s">
        <v>673</v>
      </c>
      <c r="B106" s="1272" t="s">
        <v>287</v>
      </c>
      <c r="C106" s="1143">
        <f t="shared" ref="C106:C120" si="171">SUM(D106:E106)</f>
        <v>0</v>
      </c>
      <c r="D106" s="387">
        <f t="shared" ref="D106:D118" si="172">+F106+H106+J106+L106+N106+P106+R106+T106+V106+X106+Z106+AB106+AD106+AF106+AH106+AJ106+AL106</f>
        <v>0</v>
      </c>
      <c r="E106" s="531">
        <f>+G106+I106+K106+M106+O106+Q106+S106+U106+W106+Y106+AA106+AC106+AE106+AG106+AI106+AK106+AM106</f>
        <v>0</v>
      </c>
      <c r="F106" s="546"/>
      <c r="G106" s="547"/>
      <c r="H106" s="546"/>
      <c r="I106" s="547"/>
      <c r="J106" s="546"/>
      <c r="K106" s="547"/>
      <c r="L106" s="546"/>
      <c r="M106" s="547"/>
      <c r="N106" s="546"/>
      <c r="O106" s="547"/>
      <c r="P106" s="546"/>
      <c r="Q106" s="547"/>
      <c r="R106" s="417">
        <v>0</v>
      </c>
      <c r="S106" s="418">
        <v>0</v>
      </c>
      <c r="T106" s="417">
        <v>0</v>
      </c>
      <c r="U106" s="418">
        <v>0</v>
      </c>
      <c r="V106" s="417">
        <v>0</v>
      </c>
      <c r="W106" s="418">
        <v>0</v>
      </c>
      <c r="X106" s="417">
        <v>0</v>
      </c>
      <c r="Y106" s="418">
        <v>0</v>
      </c>
      <c r="Z106" s="417">
        <v>0</v>
      </c>
      <c r="AA106" s="418">
        <v>0</v>
      </c>
      <c r="AB106" s="417">
        <v>0</v>
      </c>
      <c r="AC106" s="418">
        <v>0</v>
      </c>
      <c r="AD106" s="417">
        <v>0</v>
      </c>
      <c r="AE106" s="418">
        <v>0</v>
      </c>
      <c r="AF106" s="417">
        <v>0</v>
      </c>
      <c r="AG106" s="418">
        <v>0</v>
      </c>
      <c r="AH106" s="417">
        <v>0</v>
      </c>
      <c r="AI106" s="418">
        <v>0</v>
      </c>
      <c r="AJ106" s="417">
        <v>0</v>
      </c>
      <c r="AK106" s="418">
        <v>0</v>
      </c>
      <c r="AL106" s="417">
        <v>0</v>
      </c>
      <c r="AM106" s="418">
        <v>0</v>
      </c>
      <c r="AN106" s="853"/>
      <c r="AO106" s="854"/>
      <c r="AP106" s="417">
        <v>0</v>
      </c>
      <c r="AQ106" s="432">
        <v>0</v>
      </c>
      <c r="AR106" s="468">
        <v>0</v>
      </c>
      <c r="AS106" s="418">
        <v>0</v>
      </c>
      <c r="AT106" s="547"/>
      <c r="AU106" s="547"/>
      <c r="AV106" s="418">
        <v>0</v>
      </c>
      <c r="AW106" s="418">
        <v>0</v>
      </c>
      <c r="AX106" s="418">
        <v>0</v>
      </c>
      <c r="AY106" s="1057" t="str">
        <f t="shared" si="114"/>
        <v/>
      </c>
      <c r="BC106" s="107"/>
      <c r="CA106" s="1087"/>
      <c r="CB106" s="1087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87"/>
      <c r="CH106" s="1087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87"/>
      <c r="CO106" s="1087"/>
      <c r="CP106" s="1048">
        <f t="shared" si="164"/>
        <v>0</v>
      </c>
      <c r="CQ106" s="1048">
        <f t="shared" si="165"/>
        <v>0</v>
      </c>
      <c r="CR106" s="1048">
        <f t="shared" si="166"/>
        <v>0</v>
      </c>
      <c r="CS106" s="1048">
        <f t="shared" si="167"/>
        <v>0</v>
      </c>
      <c r="CT106" s="1087"/>
      <c r="CU106" s="1087"/>
      <c r="CV106" s="1048">
        <f t="shared" si="170"/>
        <v>0</v>
      </c>
      <c r="CW106" s="1048">
        <f t="shared" si="132"/>
        <v>0</v>
      </c>
      <c r="CX106" s="1048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905"/>
      <c r="B107" s="1273" t="s">
        <v>288</v>
      </c>
      <c r="C107" s="1143">
        <f t="shared" si="171"/>
        <v>0</v>
      </c>
      <c r="D107" s="387">
        <f t="shared" si="172"/>
        <v>0</v>
      </c>
      <c r="E107" s="531">
        <f t="shared" ref="E107:E118" si="173">+G107+I107+K107+M107+O107+Q107+S107+U107+W107+Y107+AA107+AC107+AE107+AG107+AI107+AK107+AM107</f>
        <v>0</v>
      </c>
      <c r="F107" s="436"/>
      <c r="G107" s="437"/>
      <c r="H107" s="436"/>
      <c r="I107" s="437"/>
      <c r="J107" s="436"/>
      <c r="K107" s="437"/>
      <c r="L107" s="436"/>
      <c r="M107" s="437"/>
      <c r="N107" s="436"/>
      <c r="O107" s="437"/>
      <c r="P107" s="436"/>
      <c r="Q107" s="437"/>
      <c r="R107" s="398">
        <v>0</v>
      </c>
      <c r="S107" s="399">
        <v>0</v>
      </c>
      <c r="T107" s="398">
        <v>0</v>
      </c>
      <c r="U107" s="399">
        <v>0</v>
      </c>
      <c r="V107" s="398">
        <v>0</v>
      </c>
      <c r="W107" s="399">
        <v>0</v>
      </c>
      <c r="X107" s="398">
        <v>0</v>
      </c>
      <c r="Y107" s="399">
        <v>0</v>
      </c>
      <c r="Z107" s="398">
        <v>0</v>
      </c>
      <c r="AA107" s="399">
        <v>0</v>
      </c>
      <c r="AB107" s="398">
        <v>0</v>
      </c>
      <c r="AC107" s="399">
        <v>0</v>
      </c>
      <c r="AD107" s="398">
        <v>0</v>
      </c>
      <c r="AE107" s="399">
        <v>0</v>
      </c>
      <c r="AF107" s="398">
        <v>0</v>
      </c>
      <c r="AG107" s="399">
        <v>0</v>
      </c>
      <c r="AH107" s="398">
        <v>0</v>
      </c>
      <c r="AI107" s="399">
        <v>0</v>
      </c>
      <c r="AJ107" s="398">
        <v>0</v>
      </c>
      <c r="AK107" s="399">
        <v>0</v>
      </c>
      <c r="AL107" s="398">
        <v>0</v>
      </c>
      <c r="AM107" s="399">
        <v>0</v>
      </c>
      <c r="AN107" s="847"/>
      <c r="AO107" s="848"/>
      <c r="AP107" s="398">
        <v>0</v>
      </c>
      <c r="AQ107" s="533">
        <v>0</v>
      </c>
      <c r="AR107" s="465">
        <v>0</v>
      </c>
      <c r="AS107" s="399">
        <v>0</v>
      </c>
      <c r="AT107" s="437"/>
      <c r="AU107" s="437"/>
      <c r="AV107" s="399">
        <v>0</v>
      </c>
      <c r="AW107" s="399">
        <v>0</v>
      </c>
      <c r="AX107" s="399">
        <v>0</v>
      </c>
      <c r="AY107" s="1057" t="str">
        <f t="shared" si="114"/>
        <v/>
      </c>
      <c r="BC107" s="107"/>
      <c r="CA107" s="1087"/>
      <c r="CB107" s="1087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87"/>
      <c r="CH107" s="1087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87"/>
      <c r="CO107" s="1087"/>
      <c r="CP107" s="1048">
        <f t="shared" si="164"/>
        <v>0</v>
      </c>
      <c r="CQ107" s="1048">
        <f t="shared" si="165"/>
        <v>0</v>
      </c>
      <c r="CR107" s="1048">
        <f t="shared" si="166"/>
        <v>0</v>
      </c>
      <c r="CS107" s="1048">
        <f t="shared" si="167"/>
        <v>0</v>
      </c>
      <c r="CT107" s="1087"/>
      <c r="CU107" s="1087"/>
      <c r="CV107" s="1048">
        <f t="shared" si="170"/>
        <v>0</v>
      </c>
      <c r="CW107" s="1048">
        <f t="shared" si="132"/>
        <v>0</v>
      </c>
      <c r="CX107" s="1048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901"/>
      <c r="B108" s="1274" t="s">
        <v>674</v>
      </c>
      <c r="C108" s="1145">
        <f t="shared" si="171"/>
        <v>0</v>
      </c>
      <c r="D108" s="540">
        <f t="shared" si="172"/>
        <v>0</v>
      </c>
      <c r="E108" s="541">
        <f t="shared" si="173"/>
        <v>0</v>
      </c>
      <c r="F108" s="439"/>
      <c r="G108" s="440"/>
      <c r="H108" s="439"/>
      <c r="I108" s="440"/>
      <c r="J108" s="439"/>
      <c r="K108" s="440"/>
      <c r="L108" s="439"/>
      <c r="M108" s="440"/>
      <c r="N108" s="439"/>
      <c r="O108" s="440"/>
      <c r="P108" s="439"/>
      <c r="Q108" s="440"/>
      <c r="R108" s="403">
        <v>0</v>
      </c>
      <c r="S108" s="404">
        <v>0</v>
      </c>
      <c r="T108" s="403">
        <v>0</v>
      </c>
      <c r="U108" s="404">
        <v>0</v>
      </c>
      <c r="V108" s="403">
        <v>0</v>
      </c>
      <c r="W108" s="404">
        <v>0</v>
      </c>
      <c r="X108" s="403">
        <v>0</v>
      </c>
      <c r="Y108" s="404">
        <v>0</v>
      </c>
      <c r="Z108" s="403">
        <v>0</v>
      </c>
      <c r="AA108" s="404">
        <v>0</v>
      </c>
      <c r="AB108" s="403">
        <v>0</v>
      </c>
      <c r="AC108" s="404">
        <v>0</v>
      </c>
      <c r="AD108" s="403">
        <v>0</v>
      </c>
      <c r="AE108" s="404">
        <v>0</v>
      </c>
      <c r="AF108" s="403">
        <v>0</v>
      </c>
      <c r="AG108" s="404">
        <v>0</v>
      </c>
      <c r="AH108" s="403">
        <v>0</v>
      </c>
      <c r="AI108" s="404">
        <v>0</v>
      </c>
      <c r="AJ108" s="403">
        <v>0</v>
      </c>
      <c r="AK108" s="404">
        <v>0</v>
      </c>
      <c r="AL108" s="403">
        <v>0</v>
      </c>
      <c r="AM108" s="404">
        <v>0</v>
      </c>
      <c r="AN108" s="855"/>
      <c r="AO108" s="856"/>
      <c r="AP108" s="403">
        <v>0</v>
      </c>
      <c r="AQ108" s="442">
        <v>0</v>
      </c>
      <c r="AR108" s="464">
        <v>0</v>
      </c>
      <c r="AS108" s="404">
        <v>0</v>
      </c>
      <c r="AT108" s="440"/>
      <c r="AU108" s="440"/>
      <c r="AV108" s="404">
        <v>0</v>
      </c>
      <c r="AW108" s="404">
        <v>0</v>
      </c>
      <c r="AX108" s="404">
        <v>0</v>
      </c>
      <c r="AY108" s="1057" t="str">
        <f t="shared" si="114"/>
        <v/>
      </c>
      <c r="BC108" s="107"/>
      <c r="CA108" s="1087"/>
      <c r="CB108" s="1087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87"/>
      <c r="CH108" s="1087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87"/>
      <c r="CO108" s="1087"/>
      <c r="CP108" s="1048">
        <f t="shared" si="164"/>
        <v>0</v>
      </c>
      <c r="CQ108" s="1048">
        <f t="shared" si="165"/>
        <v>0</v>
      </c>
      <c r="CR108" s="1048">
        <f t="shared" si="166"/>
        <v>0</v>
      </c>
      <c r="CS108" s="1048">
        <f t="shared" si="167"/>
        <v>0</v>
      </c>
      <c r="CT108" s="1087"/>
      <c r="CU108" s="1087"/>
      <c r="CV108" s="1048">
        <f t="shared" si="170"/>
        <v>0</v>
      </c>
      <c r="CW108" s="1048">
        <f t="shared" si="132"/>
        <v>0</v>
      </c>
      <c r="CX108" s="1048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20" t="s">
        <v>675</v>
      </c>
      <c r="B109" s="2121"/>
      <c r="C109" s="1148">
        <f>SUM(D109:E109)</f>
        <v>0</v>
      </c>
      <c r="D109" s="397">
        <f t="shared" ref="D109" si="175">+F109+H109+J109+L109+N109+P109+R109+T109+V109+X109+Z109+AB109+AD109+AF109+AH109+AJ109+AL109</f>
        <v>0</v>
      </c>
      <c r="E109" s="397">
        <f t="shared" ref="E109" si="176">+G109+I109+K109+M109+O109+Q109+S109+U109+W109+Y109+AA109+AC109+AE109+AG109+AI109+AK109+AM109</f>
        <v>0</v>
      </c>
      <c r="F109" s="417">
        <v>0</v>
      </c>
      <c r="G109" s="418">
        <v>0</v>
      </c>
      <c r="H109" s="417">
        <v>0</v>
      </c>
      <c r="I109" s="418">
        <v>0</v>
      </c>
      <c r="J109" s="417">
        <v>0</v>
      </c>
      <c r="K109" s="418">
        <v>0</v>
      </c>
      <c r="L109" s="417">
        <v>0</v>
      </c>
      <c r="M109" s="418">
        <v>0</v>
      </c>
      <c r="N109" s="417">
        <v>0</v>
      </c>
      <c r="O109" s="418">
        <v>0</v>
      </c>
      <c r="P109" s="417">
        <v>0</v>
      </c>
      <c r="Q109" s="418">
        <v>0</v>
      </c>
      <c r="R109" s="417">
        <v>0</v>
      </c>
      <c r="S109" s="418">
        <v>0</v>
      </c>
      <c r="T109" s="417">
        <v>0</v>
      </c>
      <c r="U109" s="418">
        <v>0</v>
      </c>
      <c r="V109" s="417">
        <v>0</v>
      </c>
      <c r="W109" s="418">
        <v>0</v>
      </c>
      <c r="X109" s="417">
        <v>0</v>
      </c>
      <c r="Y109" s="418">
        <v>0</v>
      </c>
      <c r="Z109" s="417">
        <v>0</v>
      </c>
      <c r="AA109" s="418">
        <v>0</v>
      </c>
      <c r="AB109" s="417">
        <v>0</v>
      </c>
      <c r="AC109" s="418">
        <v>0</v>
      </c>
      <c r="AD109" s="417">
        <v>0</v>
      </c>
      <c r="AE109" s="418">
        <v>0</v>
      </c>
      <c r="AF109" s="417">
        <v>0</v>
      </c>
      <c r="AG109" s="418">
        <v>0</v>
      </c>
      <c r="AH109" s="417">
        <v>0</v>
      </c>
      <c r="AI109" s="418">
        <v>0</v>
      </c>
      <c r="AJ109" s="417">
        <v>0</v>
      </c>
      <c r="AK109" s="418">
        <v>0</v>
      </c>
      <c r="AL109" s="417">
        <v>0</v>
      </c>
      <c r="AM109" s="418">
        <v>0</v>
      </c>
      <c r="AN109" s="456">
        <v>0</v>
      </c>
      <c r="AO109" s="656">
        <v>0</v>
      </c>
      <c r="AP109" s="417">
        <v>0</v>
      </c>
      <c r="AQ109" s="432">
        <v>0</v>
      </c>
      <c r="AR109" s="468">
        <v>0</v>
      </c>
      <c r="AS109" s="418">
        <v>0</v>
      </c>
      <c r="AT109" s="418">
        <v>0</v>
      </c>
      <c r="AU109" s="418">
        <v>0</v>
      </c>
      <c r="AV109" s="418">
        <v>0</v>
      </c>
      <c r="AW109" s="418">
        <v>0</v>
      </c>
      <c r="AX109" s="418">
        <v>0</v>
      </c>
      <c r="AY109" s="1057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48">
        <f t="shared" ref="CN109:CN120" si="181">IF(AND($E109&gt;0,OR(AN109="")),1,IF(AN109&gt;$E109,1,0))</f>
        <v>0</v>
      </c>
      <c r="CO109" s="1048">
        <f t="shared" ref="CO109:CO120" si="182">IF(AND($E109&gt;0,OR(AO109="")),1,IF(AO109&gt;$E109,1,0))</f>
        <v>0</v>
      </c>
      <c r="CP109" s="1048">
        <f t="shared" si="164"/>
        <v>0</v>
      </c>
      <c r="CQ109" s="1048">
        <f t="shared" si="165"/>
        <v>0</v>
      </c>
      <c r="CR109" s="1048">
        <f t="shared" si="166"/>
        <v>0</v>
      </c>
      <c r="CS109" s="1048">
        <f t="shared" si="167"/>
        <v>0</v>
      </c>
      <c r="CT109" s="1048">
        <f t="shared" ref="CT109:CT120" si="183">IF(AND($C109&gt;0,OR(AT109="")),1,IF(AT109&gt;$C109,1,0))</f>
        <v>0</v>
      </c>
      <c r="CU109" s="1048">
        <f t="shared" ref="CU109:CU120" si="184">IF(AND($C109&gt;0,OR(AU109="")),1,IF(AU109&gt;$C109,1,0))</f>
        <v>0</v>
      </c>
      <c r="CV109" s="1048">
        <f t="shared" si="170"/>
        <v>0</v>
      </c>
      <c r="CW109" s="1048">
        <f t="shared" si="132"/>
        <v>0</v>
      </c>
      <c r="CX109" s="1048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062" t="s">
        <v>676</v>
      </c>
      <c r="B110" s="2063"/>
      <c r="C110" s="1143">
        <f t="shared" si="171"/>
        <v>0</v>
      </c>
      <c r="D110" s="387">
        <f t="shared" si="172"/>
        <v>0</v>
      </c>
      <c r="E110" s="531">
        <f t="shared" si="173"/>
        <v>0</v>
      </c>
      <c r="F110" s="417">
        <v>0</v>
      </c>
      <c r="G110" s="418">
        <v>0</v>
      </c>
      <c r="H110" s="417">
        <v>0</v>
      </c>
      <c r="I110" s="418">
        <v>0</v>
      </c>
      <c r="J110" s="417">
        <v>0</v>
      </c>
      <c r="K110" s="418">
        <v>0</v>
      </c>
      <c r="L110" s="417">
        <v>0</v>
      </c>
      <c r="M110" s="418">
        <v>0</v>
      </c>
      <c r="N110" s="417">
        <v>0</v>
      </c>
      <c r="O110" s="418">
        <v>0</v>
      </c>
      <c r="P110" s="417">
        <v>0</v>
      </c>
      <c r="Q110" s="418">
        <v>0</v>
      </c>
      <c r="R110" s="417">
        <v>0</v>
      </c>
      <c r="S110" s="418">
        <v>0</v>
      </c>
      <c r="T110" s="417">
        <v>0</v>
      </c>
      <c r="U110" s="418">
        <v>0</v>
      </c>
      <c r="V110" s="417">
        <v>0</v>
      </c>
      <c r="W110" s="418">
        <v>0</v>
      </c>
      <c r="X110" s="417">
        <v>0</v>
      </c>
      <c r="Y110" s="418">
        <v>0</v>
      </c>
      <c r="Z110" s="417">
        <v>0</v>
      </c>
      <c r="AA110" s="418">
        <v>0</v>
      </c>
      <c r="AB110" s="417">
        <v>0</v>
      </c>
      <c r="AC110" s="418">
        <v>0</v>
      </c>
      <c r="AD110" s="417">
        <v>0</v>
      </c>
      <c r="AE110" s="418">
        <v>0</v>
      </c>
      <c r="AF110" s="417">
        <v>0</v>
      </c>
      <c r="AG110" s="418">
        <v>0</v>
      </c>
      <c r="AH110" s="417">
        <v>0</v>
      </c>
      <c r="AI110" s="418">
        <v>0</v>
      </c>
      <c r="AJ110" s="417">
        <v>0</v>
      </c>
      <c r="AK110" s="418">
        <v>0</v>
      </c>
      <c r="AL110" s="417">
        <v>0</v>
      </c>
      <c r="AM110" s="418">
        <v>0</v>
      </c>
      <c r="AN110" s="456">
        <v>0</v>
      </c>
      <c r="AO110" s="656">
        <v>0</v>
      </c>
      <c r="AP110" s="417">
        <v>0</v>
      </c>
      <c r="AQ110" s="432">
        <v>0</v>
      </c>
      <c r="AR110" s="468">
        <v>0</v>
      </c>
      <c r="AS110" s="418">
        <v>0</v>
      </c>
      <c r="AT110" s="418">
        <v>0</v>
      </c>
      <c r="AU110" s="418">
        <v>0</v>
      </c>
      <c r="AV110" s="418">
        <v>0</v>
      </c>
      <c r="AW110" s="418">
        <v>0</v>
      </c>
      <c r="AX110" s="418">
        <v>0</v>
      </c>
      <c r="AY110" s="1057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48">
        <f t="shared" si="181"/>
        <v>0</v>
      </c>
      <c r="CO110" s="1048">
        <f t="shared" si="182"/>
        <v>0</v>
      </c>
      <c r="CP110" s="1048">
        <f t="shared" si="164"/>
        <v>0</v>
      </c>
      <c r="CQ110" s="1048">
        <f t="shared" si="165"/>
        <v>0</v>
      </c>
      <c r="CR110" s="1048">
        <f t="shared" si="166"/>
        <v>0</v>
      </c>
      <c r="CS110" s="1048">
        <f t="shared" si="167"/>
        <v>0</v>
      </c>
      <c r="CT110" s="1048">
        <f t="shared" si="183"/>
        <v>0</v>
      </c>
      <c r="CU110" s="1048">
        <f t="shared" si="184"/>
        <v>0</v>
      </c>
      <c r="CV110" s="1048">
        <f t="shared" si="170"/>
        <v>0</v>
      </c>
      <c r="CW110" s="1048">
        <f t="shared" si="132"/>
        <v>0</v>
      </c>
      <c r="CX110" s="1048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15" t="s">
        <v>677</v>
      </c>
      <c r="B111" s="2116"/>
      <c r="C111" s="1148">
        <f t="shared" si="171"/>
        <v>0</v>
      </c>
      <c r="D111" s="397">
        <f t="shared" si="172"/>
        <v>0</v>
      </c>
      <c r="E111" s="535">
        <f t="shared" si="173"/>
        <v>0</v>
      </c>
      <c r="F111" s="398">
        <v>0</v>
      </c>
      <c r="G111" s="399">
        <v>0</v>
      </c>
      <c r="H111" s="398">
        <v>0</v>
      </c>
      <c r="I111" s="399">
        <v>0</v>
      </c>
      <c r="J111" s="398">
        <v>0</v>
      </c>
      <c r="K111" s="399">
        <v>0</v>
      </c>
      <c r="L111" s="398">
        <v>0</v>
      </c>
      <c r="M111" s="399">
        <v>0</v>
      </c>
      <c r="N111" s="398">
        <v>0</v>
      </c>
      <c r="O111" s="399">
        <v>0</v>
      </c>
      <c r="P111" s="398">
        <v>0</v>
      </c>
      <c r="Q111" s="399">
        <v>0</v>
      </c>
      <c r="R111" s="398">
        <v>0</v>
      </c>
      <c r="S111" s="399">
        <v>0</v>
      </c>
      <c r="T111" s="398">
        <v>0</v>
      </c>
      <c r="U111" s="399">
        <v>0</v>
      </c>
      <c r="V111" s="398">
        <v>0</v>
      </c>
      <c r="W111" s="399">
        <v>0</v>
      </c>
      <c r="X111" s="398">
        <v>0</v>
      </c>
      <c r="Y111" s="399">
        <v>0</v>
      </c>
      <c r="Z111" s="398">
        <v>0</v>
      </c>
      <c r="AA111" s="399">
        <v>0</v>
      </c>
      <c r="AB111" s="398">
        <v>0</v>
      </c>
      <c r="AC111" s="399">
        <v>0</v>
      </c>
      <c r="AD111" s="398">
        <v>0</v>
      </c>
      <c r="AE111" s="399">
        <v>0</v>
      </c>
      <c r="AF111" s="398">
        <v>0</v>
      </c>
      <c r="AG111" s="399">
        <v>0</v>
      </c>
      <c r="AH111" s="398">
        <v>0</v>
      </c>
      <c r="AI111" s="399">
        <v>0</v>
      </c>
      <c r="AJ111" s="398">
        <v>0</v>
      </c>
      <c r="AK111" s="399">
        <v>0</v>
      </c>
      <c r="AL111" s="398">
        <v>0</v>
      </c>
      <c r="AM111" s="399">
        <v>0</v>
      </c>
      <c r="AN111" s="457">
        <v>0</v>
      </c>
      <c r="AO111" s="651">
        <v>0</v>
      </c>
      <c r="AP111" s="398">
        <v>0</v>
      </c>
      <c r="AQ111" s="533">
        <v>0</v>
      </c>
      <c r="AR111" s="465">
        <v>0</v>
      </c>
      <c r="AS111" s="399">
        <v>0</v>
      </c>
      <c r="AT111" s="399">
        <v>0</v>
      </c>
      <c r="AU111" s="399">
        <v>0</v>
      </c>
      <c r="AV111" s="399">
        <v>0</v>
      </c>
      <c r="AW111" s="399">
        <v>0</v>
      </c>
      <c r="AX111" s="399">
        <v>0</v>
      </c>
      <c r="AY111" s="1057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48">
        <f t="shared" si="181"/>
        <v>0</v>
      </c>
      <c r="CO111" s="1048">
        <f t="shared" si="182"/>
        <v>0</v>
      </c>
      <c r="CP111" s="1048">
        <f t="shared" si="164"/>
        <v>0</v>
      </c>
      <c r="CQ111" s="1048">
        <f t="shared" si="165"/>
        <v>0</v>
      </c>
      <c r="CR111" s="1048">
        <f t="shared" si="166"/>
        <v>0</v>
      </c>
      <c r="CS111" s="1048">
        <f t="shared" si="167"/>
        <v>0</v>
      </c>
      <c r="CT111" s="1048">
        <f t="shared" si="183"/>
        <v>0</v>
      </c>
      <c r="CU111" s="1048">
        <f t="shared" si="184"/>
        <v>0</v>
      </c>
      <c r="CV111" s="1048">
        <f t="shared" si="170"/>
        <v>0</v>
      </c>
      <c r="CW111" s="1048">
        <f t="shared" si="132"/>
        <v>0</v>
      </c>
      <c r="CX111" s="1048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15" t="s">
        <v>678</v>
      </c>
      <c r="B112" s="2116"/>
      <c r="C112" s="1148">
        <f t="shared" si="171"/>
        <v>0</v>
      </c>
      <c r="D112" s="397">
        <f t="shared" si="172"/>
        <v>0</v>
      </c>
      <c r="E112" s="535">
        <f t="shared" si="173"/>
        <v>0</v>
      </c>
      <c r="F112" s="398">
        <v>0</v>
      </c>
      <c r="G112" s="399">
        <v>0</v>
      </c>
      <c r="H112" s="398">
        <v>0</v>
      </c>
      <c r="I112" s="399">
        <v>0</v>
      </c>
      <c r="J112" s="398">
        <v>0</v>
      </c>
      <c r="K112" s="399">
        <v>0</v>
      </c>
      <c r="L112" s="398">
        <v>0</v>
      </c>
      <c r="M112" s="399">
        <v>0</v>
      </c>
      <c r="N112" s="398">
        <v>0</v>
      </c>
      <c r="O112" s="399">
        <v>0</v>
      </c>
      <c r="P112" s="398">
        <v>0</v>
      </c>
      <c r="Q112" s="399">
        <v>0</v>
      </c>
      <c r="R112" s="398">
        <v>0</v>
      </c>
      <c r="S112" s="399">
        <v>0</v>
      </c>
      <c r="T112" s="398">
        <v>0</v>
      </c>
      <c r="U112" s="399">
        <v>0</v>
      </c>
      <c r="V112" s="398">
        <v>0</v>
      </c>
      <c r="W112" s="399">
        <v>0</v>
      </c>
      <c r="X112" s="398">
        <v>0</v>
      </c>
      <c r="Y112" s="399">
        <v>0</v>
      </c>
      <c r="Z112" s="398">
        <v>0</v>
      </c>
      <c r="AA112" s="399">
        <v>0</v>
      </c>
      <c r="AB112" s="398">
        <v>0</v>
      </c>
      <c r="AC112" s="399">
        <v>0</v>
      </c>
      <c r="AD112" s="398">
        <v>0</v>
      </c>
      <c r="AE112" s="399">
        <v>0</v>
      </c>
      <c r="AF112" s="398">
        <v>0</v>
      </c>
      <c r="AG112" s="399">
        <v>0</v>
      </c>
      <c r="AH112" s="398">
        <v>0</v>
      </c>
      <c r="AI112" s="399">
        <v>0</v>
      </c>
      <c r="AJ112" s="398">
        <v>0</v>
      </c>
      <c r="AK112" s="399">
        <v>0</v>
      </c>
      <c r="AL112" s="398">
        <v>0</v>
      </c>
      <c r="AM112" s="399">
        <v>0</v>
      </c>
      <c r="AN112" s="457">
        <v>0</v>
      </c>
      <c r="AO112" s="651">
        <v>0</v>
      </c>
      <c r="AP112" s="398">
        <v>0</v>
      </c>
      <c r="AQ112" s="533">
        <v>0</v>
      </c>
      <c r="AR112" s="465">
        <v>0</v>
      </c>
      <c r="AS112" s="399">
        <v>0</v>
      </c>
      <c r="AT112" s="399">
        <v>0</v>
      </c>
      <c r="AU112" s="399">
        <v>0</v>
      </c>
      <c r="AV112" s="399">
        <v>0</v>
      </c>
      <c r="AW112" s="399">
        <v>0</v>
      </c>
      <c r="AX112" s="399">
        <v>0</v>
      </c>
      <c r="AY112" s="1057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48">
        <f t="shared" si="181"/>
        <v>0</v>
      </c>
      <c r="CO112" s="1048">
        <f t="shared" si="182"/>
        <v>0</v>
      </c>
      <c r="CP112" s="1048">
        <f t="shared" si="164"/>
        <v>0</v>
      </c>
      <c r="CQ112" s="1048">
        <f t="shared" si="165"/>
        <v>0</v>
      </c>
      <c r="CR112" s="1048">
        <f t="shared" si="166"/>
        <v>0</v>
      </c>
      <c r="CS112" s="1048">
        <f t="shared" si="167"/>
        <v>0</v>
      </c>
      <c r="CT112" s="1048">
        <f t="shared" si="183"/>
        <v>0</v>
      </c>
      <c r="CU112" s="1048">
        <f t="shared" si="184"/>
        <v>0</v>
      </c>
      <c r="CV112" s="1048">
        <f t="shared" si="170"/>
        <v>0</v>
      </c>
      <c r="CW112" s="1048">
        <f t="shared" si="132"/>
        <v>0</v>
      </c>
      <c r="CX112" s="1048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17" t="s">
        <v>679</v>
      </c>
      <c r="B113" s="2118"/>
      <c r="C113" s="1144">
        <f t="shared" si="171"/>
        <v>0</v>
      </c>
      <c r="D113" s="391">
        <f t="shared" si="172"/>
        <v>0</v>
      </c>
      <c r="E113" s="532">
        <f t="shared" si="173"/>
        <v>0</v>
      </c>
      <c r="F113" s="403">
        <v>0</v>
      </c>
      <c r="G113" s="404">
        <v>0</v>
      </c>
      <c r="H113" s="403">
        <v>0</v>
      </c>
      <c r="I113" s="404">
        <v>0</v>
      </c>
      <c r="J113" s="403">
        <v>0</v>
      </c>
      <c r="K113" s="404">
        <v>0</v>
      </c>
      <c r="L113" s="403">
        <v>0</v>
      </c>
      <c r="M113" s="404">
        <v>0</v>
      </c>
      <c r="N113" s="403">
        <v>0</v>
      </c>
      <c r="O113" s="404">
        <v>0</v>
      </c>
      <c r="P113" s="403">
        <v>0</v>
      </c>
      <c r="Q113" s="404">
        <v>0</v>
      </c>
      <c r="R113" s="403">
        <v>0</v>
      </c>
      <c r="S113" s="404">
        <v>0</v>
      </c>
      <c r="T113" s="403">
        <v>0</v>
      </c>
      <c r="U113" s="404">
        <v>0</v>
      </c>
      <c r="V113" s="403">
        <v>0</v>
      </c>
      <c r="W113" s="404">
        <v>0</v>
      </c>
      <c r="X113" s="403">
        <v>0</v>
      </c>
      <c r="Y113" s="404">
        <v>0</v>
      </c>
      <c r="Z113" s="403">
        <v>0</v>
      </c>
      <c r="AA113" s="404">
        <v>0</v>
      </c>
      <c r="AB113" s="403">
        <v>0</v>
      </c>
      <c r="AC113" s="404">
        <v>0</v>
      </c>
      <c r="AD113" s="403">
        <v>0</v>
      </c>
      <c r="AE113" s="404">
        <v>0</v>
      </c>
      <c r="AF113" s="403">
        <v>0</v>
      </c>
      <c r="AG113" s="404">
        <v>0</v>
      </c>
      <c r="AH113" s="403">
        <v>0</v>
      </c>
      <c r="AI113" s="404">
        <v>0</v>
      </c>
      <c r="AJ113" s="403">
        <v>0</v>
      </c>
      <c r="AK113" s="404">
        <v>0</v>
      </c>
      <c r="AL113" s="403">
        <v>0</v>
      </c>
      <c r="AM113" s="404">
        <v>0</v>
      </c>
      <c r="AN113" s="652">
        <v>0</v>
      </c>
      <c r="AO113" s="653">
        <v>0</v>
      </c>
      <c r="AP113" s="403">
        <v>0</v>
      </c>
      <c r="AQ113" s="442">
        <v>0</v>
      </c>
      <c r="AR113" s="464">
        <v>0</v>
      </c>
      <c r="AS113" s="404">
        <v>0</v>
      </c>
      <c r="AT113" s="404">
        <v>0</v>
      </c>
      <c r="AU113" s="404">
        <v>0</v>
      </c>
      <c r="AV113" s="404">
        <v>0</v>
      </c>
      <c r="AW113" s="404">
        <v>0</v>
      </c>
      <c r="AX113" s="404">
        <v>0</v>
      </c>
      <c r="AY113" s="1057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48">
        <f t="shared" si="181"/>
        <v>0</v>
      </c>
      <c r="CO113" s="1048">
        <f t="shared" si="182"/>
        <v>0</v>
      </c>
      <c r="CP113" s="1048">
        <f t="shared" si="164"/>
        <v>0</v>
      </c>
      <c r="CQ113" s="1048">
        <f t="shared" si="165"/>
        <v>0</v>
      </c>
      <c r="CR113" s="1048">
        <f t="shared" si="166"/>
        <v>0</v>
      </c>
      <c r="CS113" s="1048">
        <f t="shared" si="167"/>
        <v>0</v>
      </c>
      <c r="CT113" s="1048">
        <f t="shared" si="183"/>
        <v>0</v>
      </c>
      <c r="CU113" s="1048">
        <f t="shared" si="184"/>
        <v>0</v>
      </c>
      <c r="CV113" s="1048">
        <f t="shared" si="170"/>
        <v>0</v>
      </c>
      <c r="CW113" s="1048">
        <f t="shared" si="132"/>
        <v>0</v>
      </c>
      <c r="CX113" s="1048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19" t="s">
        <v>680</v>
      </c>
      <c r="B114" s="709" t="s">
        <v>681</v>
      </c>
      <c r="C114" s="1302">
        <f t="shared" ref="C114:C117" si="187">SUM(D114:E114)</f>
        <v>0</v>
      </c>
      <c r="D114" s="389">
        <f t="shared" ref="D114:D117" si="188">+F114+H114+J114+L114+N114+P114+R114+T114+V114+X114+Z114+AB114+AD114+AF114+AH114+AJ114+AL114</f>
        <v>0</v>
      </c>
      <c r="E114" s="583">
        <f t="shared" ref="E114:E117" si="189">+G114+I114+K114+M114+O114+Q114+S114+U114+W114+Y114+AA114+AC114+AE114+AG114+AI114+AK114+AM114</f>
        <v>0</v>
      </c>
      <c r="F114" s="417">
        <v>0</v>
      </c>
      <c r="G114" s="418">
        <v>0</v>
      </c>
      <c r="H114" s="417">
        <v>0</v>
      </c>
      <c r="I114" s="418">
        <v>0</v>
      </c>
      <c r="J114" s="417">
        <v>0</v>
      </c>
      <c r="K114" s="418">
        <v>0</v>
      </c>
      <c r="L114" s="417">
        <v>0</v>
      </c>
      <c r="M114" s="418">
        <v>0</v>
      </c>
      <c r="N114" s="417">
        <v>0</v>
      </c>
      <c r="O114" s="418">
        <v>0</v>
      </c>
      <c r="P114" s="417">
        <v>0</v>
      </c>
      <c r="Q114" s="418">
        <v>0</v>
      </c>
      <c r="R114" s="417">
        <v>0</v>
      </c>
      <c r="S114" s="418">
        <v>0</v>
      </c>
      <c r="T114" s="417">
        <v>0</v>
      </c>
      <c r="U114" s="418">
        <v>0</v>
      </c>
      <c r="V114" s="417">
        <v>0</v>
      </c>
      <c r="W114" s="418">
        <v>0</v>
      </c>
      <c r="X114" s="417">
        <v>0</v>
      </c>
      <c r="Y114" s="418">
        <v>0</v>
      </c>
      <c r="Z114" s="417">
        <v>0</v>
      </c>
      <c r="AA114" s="418">
        <v>0</v>
      </c>
      <c r="AB114" s="417">
        <v>0</v>
      </c>
      <c r="AC114" s="418">
        <v>0</v>
      </c>
      <c r="AD114" s="417">
        <v>0</v>
      </c>
      <c r="AE114" s="418">
        <v>0</v>
      </c>
      <c r="AF114" s="417">
        <v>0</v>
      </c>
      <c r="AG114" s="418">
        <v>0</v>
      </c>
      <c r="AH114" s="417">
        <v>0</v>
      </c>
      <c r="AI114" s="418">
        <v>0</v>
      </c>
      <c r="AJ114" s="417">
        <v>0</v>
      </c>
      <c r="AK114" s="418">
        <v>0</v>
      </c>
      <c r="AL114" s="417">
        <v>0</v>
      </c>
      <c r="AM114" s="418">
        <v>0</v>
      </c>
      <c r="AN114" s="456">
        <v>0</v>
      </c>
      <c r="AO114" s="656">
        <v>0</v>
      </c>
      <c r="AP114" s="417">
        <v>0</v>
      </c>
      <c r="AQ114" s="432">
        <v>0</v>
      </c>
      <c r="AR114" s="468">
        <v>0</v>
      </c>
      <c r="AS114" s="418">
        <v>0</v>
      </c>
      <c r="AT114" s="418">
        <v>0</v>
      </c>
      <c r="AU114" s="418">
        <v>0</v>
      </c>
      <c r="AV114" s="418">
        <v>0</v>
      </c>
      <c r="AW114" s="418">
        <v>0</v>
      </c>
      <c r="AX114" s="418">
        <v>0</v>
      </c>
      <c r="AY114" s="1057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48">
        <f t="shared" si="181"/>
        <v>0</v>
      </c>
      <c r="CO114" s="1048">
        <f t="shared" si="182"/>
        <v>0</v>
      </c>
      <c r="CP114" s="1048">
        <f t="shared" si="164"/>
        <v>0</v>
      </c>
      <c r="CQ114" s="1048">
        <f t="shared" si="165"/>
        <v>0</v>
      </c>
      <c r="CR114" s="1048">
        <f t="shared" si="166"/>
        <v>0</v>
      </c>
      <c r="CS114" s="1048">
        <f t="shared" si="167"/>
        <v>0</v>
      </c>
      <c r="CT114" s="1048">
        <f t="shared" si="183"/>
        <v>0</v>
      </c>
      <c r="CU114" s="1048">
        <f t="shared" si="184"/>
        <v>0</v>
      </c>
      <c r="CV114" s="1048">
        <f t="shared" si="170"/>
        <v>0</v>
      </c>
      <c r="CW114" s="1048">
        <f t="shared" si="132"/>
        <v>0</v>
      </c>
      <c r="CX114" s="1048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898"/>
      <c r="B115" s="710" t="s">
        <v>428</v>
      </c>
      <c r="C115" s="1147">
        <f t="shared" si="187"/>
        <v>0</v>
      </c>
      <c r="D115" s="401">
        <f t="shared" si="188"/>
        <v>0</v>
      </c>
      <c r="E115" s="537">
        <f t="shared" si="189"/>
        <v>0</v>
      </c>
      <c r="F115" s="398">
        <v>0</v>
      </c>
      <c r="G115" s="399">
        <v>0</v>
      </c>
      <c r="H115" s="398">
        <v>0</v>
      </c>
      <c r="I115" s="399">
        <v>0</v>
      </c>
      <c r="J115" s="398">
        <v>0</v>
      </c>
      <c r="K115" s="399">
        <v>0</v>
      </c>
      <c r="L115" s="398">
        <v>0</v>
      </c>
      <c r="M115" s="399">
        <v>0</v>
      </c>
      <c r="N115" s="398">
        <v>0</v>
      </c>
      <c r="O115" s="399">
        <v>0</v>
      </c>
      <c r="P115" s="398">
        <v>0</v>
      </c>
      <c r="Q115" s="399">
        <v>0</v>
      </c>
      <c r="R115" s="398">
        <v>0</v>
      </c>
      <c r="S115" s="399">
        <v>0</v>
      </c>
      <c r="T115" s="398">
        <v>0</v>
      </c>
      <c r="U115" s="399">
        <v>0</v>
      </c>
      <c r="V115" s="398">
        <v>0</v>
      </c>
      <c r="W115" s="399">
        <v>0</v>
      </c>
      <c r="X115" s="398">
        <v>0</v>
      </c>
      <c r="Y115" s="399">
        <v>0</v>
      </c>
      <c r="Z115" s="398">
        <v>0</v>
      </c>
      <c r="AA115" s="399">
        <v>0</v>
      </c>
      <c r="AB115" s="398">
        <v>0</v>
      </c>
      <c r="AC115" s="399">
        <v>0</v>
      </c>
      <c r="AD115" s="398">
        <v>0</v>
      </c>
      <c r="AE115" s="399">
        <v>0</v>
      </c>
      <c r="AF115" s="398">
        <v>0</v>
      </c>
      <c r="AG115" s="399">
        <v>0</v>
      </c>
      <c r="AH115" s="398">
        <v>0</v>
      </c>
      <c r="AI115" s="399">
        <v>0</v>
      </c>
      <c r="AJ115" s="398">
        <v>0</v>
      </c>
      <c r="AK115" s="399">
        <v>0</v>
      </c>
      <c r="AL115" s="398">
        <v>0</v>
      </c>
      <c r="AM115" s="399">
        <v>0</v>
      </c>
      <c r="AN115" s="457">
        <v>0</v>
      </c>
      <c r="AO115" s="651">
        <v>0</v>
      </c>
      <c r="AP115" s="398">
        <v>0</v>
      </c>
      <c r="AQ115" s="533">
        <v>0</v>
      </c>
      <c r="AR115" s="465">
        <v>0</v>
      </c>
      <c r="AS115" s="399">
        <v>0</v>
      </c>
      <c r="AT115" s="399">
        <v>0</v>
      </c>
      <c r="AU115" s="399">
        <v>0</v>
      </c>
      <c r="AV115" s="399">
        <v>0</v>
      </c>
      <c r="AW115" s="399">
        <v>0</v>
      </c>
      <c r="AX115" s="399">
        <v>0</v>
      </c>
      <c r="AY115" s="1057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48">
        <f t="shared" si="181"/>
        <v>0</v>
      </c>
      <c r="CO115" s="1048">
        <f t="shared" si="182"/>
        <v>0</v>
      </c>
      <c r="CP115" s="1048">
        <f t="shared" si="164"/>
        <v>0</v>
      </c>
      <c r="CQ115" s="1048">
        <f t="shared" si="165"/>
        <v>0</v>
      </c>
      <c r="CR115" s="1048">
        <f t="shared" si="166"/>
        <v>0</v>
      </c>
      <c r="CS115" s="1048">
        <f t="shared" si="167"/>
        <v>0</v>
      </c>
      <c r="CT115" s="1048">
        <f t="shared" si="183"/>
        <v>0</v>
      </c>
      <c r="CU115" s="1048">
        <f t="shared" si="184"/>
        <v>0</v>
      </c>
      <c r="CV115" s="1048">
        <f t="shared" si="170"/>
        <v>0</v>
      </c>
      <c r="CW115" s="1048">
        <f t="shared" si="132"/>
        <v>0</v>
      </c>
      <c r="CX115" s="1048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898"/>
      <c r="B116" s="710" t="s">
        <v>706</v>
      </c>
      <c r="C116" s="1147">
        <f t="shared" si="187"/>
        <v>0</v>
      </c>
      <c r="D116" s="401">
        <f t="shared" si="188"/>
        <v>0</v>
      </c>
      <c r="E116" s="537">
        <f t="shared" si="189"/>
        <v>0</v>
      </c>
      <c r="F116" s="398">
        <v>0</v>
      </c>
      <c r="G116" s="399">
        <v>0</v>
      </c>
      <c r="H116" s="398">
        <v>0</v>
      </c>
      <c r="I116" s="399">
        <v>0</v>
      </c>
      <c r="J116" s="398">
        <v>0</v>
      </c>
      <c r="K116" s="399">
        <v>0</v>
      </c>
      <c r="L116" s="398">
        <v>0</v>
      </c>
      <c r="M116" s="399">
        <v>0</v>
      </c>
      <c r="N116" s="398">
        <v>0</v>
      </c>
      <c r="O116" s="399">
        <v>0</v>
      </c>
      <c r="P116" s="398">
        <v>0</v>
      </c>
      <c r="Q116" s="399">
        <v>0</v>
      </c>
      <c r="R116" s="398">
        <v>0</v>
      </c>
      <c r="S116" s="399">
        <v>0</v>
      </c>
      <c r="T116" s="398">
        <v>0</v>
      </c>
      <c r="U116" s="399">
        <v>0</v>
      </c>
      <c r="V116" s="398">
        <v>0</v>
      </c>
      <c r="W116" s="399">
        <v>0</v>
      </c>
      <c r="X116" s="398">
        <v>0</v>
      </c>
      <c r="Y116" s="399">
        <v>0</v>
      </c>
      <c r="Z116" s="398">
        <v>0</v>
      </c>
      <c r="AA116" s="399">
        <v>0</v>
      </c>
      <c r="AB116" s="398">
        <v>0</v>
      </c>
      <c r="AC116" s="399">
        <v>0</v>
      </c>
      <c r="AD116" s="398">
        <v>0</v>
      </c>
      <c r="AE116" s="399">
        <v>0</v>
      </c>
      <c r="AF116" s="398">
        <v>0</v>
      </c>
      <c r="AG116" s="399">
        <v>0</v>
      </c>
      <c r="AH116" s="398">
        <v>0</v>
      </c>
      <c r="AI116" s="399">
        <v>0</v>
      </c>
      <c r="AJ116" s="398">
        <v>0</v>
      </c>
      <c r="AK116" s="399">
        <v>0</v>
      </c>
      <c r="AL116" s="398">
        <v>0</v>
      </c>
      <c r="AM116" s="399">
        <v>0</v>
      </c>
      <c r="AN116" s="457">
        <v>0</v>
      </c>
      <c r="AO116" s="651">
        <v>0</v>
      </c>
      <c r="AP116" s="398">
        <v>0</v>
      </c>
      <c r="AQ116" s="533">
        <v>0</v>
      </c>
      <c r="AR116" s="465">
        <v>0</v>
      </c>
      <c r="AS116" s="399">
        <v>0</v>
      </c>
      <c r="AT116" s="399">
        <v>0</v>
      </c>
      <c r="AU116" s="399">
        <v>0</v>
      </c>
      <c r="AV116" s="399">
        <v>0</v>
      </c>
      <c r="AW116" s="399">
        <v>0</v>
      </c>
      <c r="AX116" s="399">
        <v>0</v>
      </c>
      <c r="AY116" s="1057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48">
        <f t="shared" si="181"/>
        <v>0</v>
      </c>
      <c r="CO116" s="1048">
        <f t="shared" si="182"/>
        <v>0</v>
      </c>
      <c r="CP116" s="1048">
        <f t="shared" si="164"/>
        <v>0</v>
      </c>
      <c r="CQ116" s="1048">
        <f t="shared" si="165"/>
        <v>0</v>
      </c>
      <c r="CR116" s="1048">
        <f t="shared" si="166"/>
        <v>0</v>
      </c>
      <c r="CS116" s="1048">
        <f t="shared" si="167"/>
        <v>0</v>
      </c>
      <c r="CT116" s="1048">
        <f t="shared" si="183"/>
        <v>0</v>
      </c>
      <c r="CU116" s="1048">
        <f t="shared" si="184"/>
        <v>0</v>
      </c>
      <c r="CV116" s="1048">
        <f t="shared" si="170"/>
        <v>0</v>
      </c>
      <c r="CW116" s="1048">
        <f t="shared" si="132"/>
        <v>0</v>
      </c>
      <c r="CX116" s="1048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898"/>
      <c r="B117" s="710" t="s">
        <v>683</v>
      </c>
      <c r="C117" s="1147">
        <f t="shared" si="187"/>
        <v>0</v>
      </c>
      <c r="D117" s="401">
        <f t="shared" si="188"/>
        <v>0</v>
      </c>
      <c r="E117" s="537">
        <f t="shared" si="189"/>
        <v>0</v>
      </c>
      <c r="F117" s="398">
        <v>0</v>
      </c>
      <c r="G117" s="399">
        <v>0</v>
      </c>
      <c r="H117" s="398">
        <v>0</v>
      </c>
      <c r="I117" s="399">
        <v>0</v>
      </c>
      <c r="J117" s="398">
        <v>0</v>
      </c>
      <c r="K117" s="399">
        <v>0</v>
      </c>
      <c r="L117" s="398">
        <v>0</v>
      </c>
      <c r="M117" s="399">
        <v>0</v>
      </c>
      <c r="N117" s="398">
        <v>0</v>
      </c>
      <c r="O117" s="399">
        <v>0</v>
      </c>
      <c r="P117" s="398">
        <v>0</v>
      </c>
      <c r="Q117" s="399">
        <v>0</v>
      </c>
      <c r="R117" s="398">
        <v>0</v>
      </c>
      <c r="S117" s="399">
        <v>0</v>
      </c>
      <c r="T117" s="398">
        <v>0</v>
      </c>
      <c r="U117" s="399">
        <v>0</v>
      </c>
      <c r="V117" s="398">
        <v>0</v>
      </c>
      <c r="W117" s="399">
        <v>0</v>
      </c>
      <c r="X117" s="398">
        <v>0</v>
      </c>
      <c r="Y117" s="399">
        <v>0</v>
      </c>
      <c r="Z117" s="398">
        <v>0</v>
      </c>
      <c r="AA117" s="399">
        <v>0</v>
      </c>
      <c r="AB117" s="398">
        <v>0</v>
      </c>
      <c r="AC117" s="399">
        <v>0</v>
      </c>
      <c r="AD117" s="398">
        <v>0</v>
      </c>
      <c r="AE117" s="399">
        <v>0</v>
      </c>
      <c r="AF117" s="398">
        <v>0</v>
      </c>
      <c r="AG117" s="399">
        <v>0</v>
      </c>
      <c r="AH117" s="398">
        <v>0</v>
      </c>
      <c r="AI117" s="399">
        <v>0</v>
      </c>
      <c r="AJ117" s="398">
        <v>0</v>
      </c>
      <c r="AK117" s="399">
        <v>0</v>
      </c>
      <c r="AL117" s="398">
        <v>0</v>
      </c>
      <c r="AM117" s="399">
        <v>0</v>
      </c>
      <c r="AN117" s="457">
        <v>0</v>
      </c>
      <c r="AO117" s="651">
        <v>0</v>
      </c>
      <c r="AP117" s="398">
        <v>0</v>
      </c>
      <c r="AQ117" s="533">
        <v>0</v>
      </c>
      <c r="AR117" s="465">
        <v>0</v>
      </c>
      <c r="AS117" s="399">
        <v>0</v>
      </c>
      <c r="AT117" s="399">
        <v>0</v>
      </c>
      <c r="AU117" s="399">
        <v>0</v>
      </c>
      <c r="AV117" s="399">
        <v>0</v>
      </c>
      <c r="AW117" s="399">
        <v>0</v>
      </c>
      <c r="AX117" s="399">
        <v>0</v>
      </c>
      <c r="AY117" s="1057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48">
        <f t="shared" si="181"/>
        <v>0</v>
      </c>
      <c r="CO117" s="1048">
        <f t="shared" si="182"/>
        <v>0</v>
      </c>
      <c r="CP117" s="1048">
        <f t="shared" si="164"/>
        <v>0</v>
      </c>
      <c r="CQ117" s="1048">
        <f t="shared" si="165"/>
        <v>0</v>
      </c>
      <c r="CR117" s="1048">
        <f t="shared" si="166"/>
        <v>0</v>
      </c>
      <c r="CS117" s="1048">
        <f t="shared" si="167"/>
        <v>0</v>
      </c>
      <c r="CT117" s="1048">
        <f t="shared" si="183"/>
        <v>0</v>
      </c>
      <c r="CU117" s="1048">
        <f t="shared" si="184"/>
        <v>0</v>
      </c>
      <c r="CV117" s="1048">
        <f t="shared" si="170"/>
        <v>0</v>
      </c>
      <c r="CW117" s="1048">
        <f t="shared" si="132"/>
        <v>0</v>
      </c>
      <c r="CX117" s="1048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899"/>
      <c r="B118" s="711" t="s">
        <v>707</v>
      </c>
      <c r="C118" s="1144">
        <f t="shared" si="171"/>
        <v>0</v>
      </c>
      <c r="D118" s="391">
        <f t="shared" si="172"/>
        <v>0</v>
      </c>
      <c r="E118" s="532">
        <f t="shared" si="173"/>
        <v>0</v>
      </c>
      <c r="F118" s="403">
        <v>0</v>
      </c>
      <c r="G118" s="404">
        <v>0</v>
      </c>
      <c r="H118" s="403">
        <v>0</v>
      </c>
      <c r="I118" s="404">
        <v>0</v>
      </c>
      <c r="J118" s="403">
        <v>0</v>
      </c>
      <c r="K118" s="404">
        <v>0</v>
      </c>
      <c r="L118" s="403">
        <v>0</v>
      </c>
      <c r="M118" s="404">
        <v>0</v>
      </c>
      <c r="N118" s="403">
        <v>0</v>
      </c>
      <c r="O118" s="404">
        <v>0</v>
      </c>
      <c r="P118" s="403">
        <v>0</v>
      </c>
      <c r="Q118" s="404">
        <v>0</v>
      </c>
      <c r="R118" s="403">
        <v>0</v>
      </c>
      <c r="S118" s="404">
        <v>0</v>
      </c>
      <c r="T118" s="403">
        <v>0</v>
      </c>
      <c r="U118" s="404">
        <v>0</v>
      </c>
      <c r="V118" s="403">
        <v>0</v>
      </c>
      <c r="W118" s="404">
        <v>0</v>
      </c>
      <c r="X118" s="403">
        <v>0</v>
      </c>
      <c r="Y118" s="404">
        <v>0</v>
      </c>
      <c r="Z118" s="403">
        <v>0</v>
      </c>
      <c r="AA118" s="404">
        <v>0</v>
      </c>
      <c r="AB118" s="403">
        <v>0</v>
      </c>
      <c r="AC118" s="404">
        <v>0</v>
      </c>
      <c r="AD118" s="403">
        <v>0</v>
      </c>
      <c r="AE118" s="404">
        <v>0</v>
      </c>
      <c r="AF118" s="403">
        <v>0</v>
      </c>
      <c r="AG118" s="404">
        <v>0</v>
      </c>
      <c r="AH118" s="403">
        <v>0</v>
      </c>
      <c r="AI118" s="404">
        <v>0</v>
      </c>
      <c r="AJ118" s="403">
        <v>0</v>
      </c>
      <c r="AK118" s="404">
        <v>0</v>
      </c>
      <c r="AL118" s="403">
        <v>0</v>
      </c>
      <c r="AM118" s="404">
        <v>0</v>
      </c>
      <c r="AN118" s="652">
        <v>0</v>
      </c>
      <c r="AO118" s="653">
        <v>0</v>
      </c>
      <c r="AP118" s="403">
        <v>0</v>
      </c>
      <c r="AQ118" s="442">
        <v>0</v>
      </c>
      <c r="AR118" s="464">
        <v>0</v>
      </c>
      <c r="AS118" s="404">
        <v>0</v>
      </c>
      <c r="AT118" s="404">
        <v>0</v>
      </c>
      <c r="AU118" s="404">
        <v>0</v>
      </c>
      <c r="AV118" s="404">
        <v>0</v>
      </c>
      <c r="AW118" s="404">
        <v>0</v>
      </c>
      <c r="AX118" s="404">
        <v>0</v>
      </c>
      <c r="AY118" s="1057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48">
        <f t="shared" si="181"/>
        <v>0</v>
      </c>
      <c r="CO118" s="1048">
        <f t="shared" si="182"/>
        <v>0</v>
      </c>
      <c r="CP118" s="1048">
        <f t="shared" si="164"/>
        <v>0</v>
      </c>
      <c r="CQ118" s="1048">
        <f t="shared" si="165"/>
        <v>0</v>
      </c>
      <c r="CR118" s="1048">
        <f t="shared" si="166"/>
        <v>0</v>
      </c>
      <c r="CS118" s="1048">
        <f t="shared" si="167"/>
        <v>0</v>
      </c>
      <c r="CT118" s="1048">
        <f t="shared" si="183"/>
        <v>0</v>
      </c>
      <c r="CU118" s="1048">
        <f t="shared" si="184"/>
        <v>0</v>
      </c>
      <c r="CV118" s="1048">
        <f t="shared" si="170"/>
        <v>0</v>
      </c>
      <c r="CW118" s="1048">
        <f t="shared" si="132"/>
        <v>0</v>
      </c>
      <c r="CX118" s="1048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060" t="s">
        <v>685</v>
      </c>
      <c r="B119" s="2061"/>
      <c r="C119" s="1302">
        <f>SUM(D119+E119)</f>
        <v>0</v>
      </c>
      <c r="D119" s="389">
        <f>SUM(F119+H119+J119+L119+N119+P119+R119+T119+V119+X119+Z119+AB119+AD119+AF119+AH119+AJ119+AL119)</f>
        <v>0</v>
      </c>
      <c r="E119" s="583">
        <f>SUM(G119+I119+K119+M119+O119+Q119+S119+U119+W119+Y119+AA119+AC119+AE119+AG119+AI119+AK119+AM119)</f>
        <v>0</v>
      </c>
      <c r="F119" s="450">
        <v>0</v>
      </c>
      <c r="G119" s="451">
        <v>0</v>
      </c>
      <c r="H119" s="450">
        <v>0</v>
      </c>
      <c r="I119" s="451">
        <v>0</v>
      </c>
      <c r="J119" s="450">
        <v>0</v>
      </c>
      <c r="K119" s="451">
        <v>0</v>
      </c>
      <c r="L119" s="450">
        <v>0</v>
      </c>
      <c r="M119" s="451">
        <v>0</v>
      </c>
      <c r="N119" s="450">
        <v>0</v>
      </c>
      <c r="O119" s="451">
        <v>0</v>
      </c>
      <c r="P119" s="450">
        <v>0</v>
      </c>
      <c r="Q119" s="451">
        <v>0</v>
      </c>
      <c r="R119" s="450">
        <v>0</v>
      </c>
      <c r="S119" s="451">
        <v>0</v>
      </c>
      <c r="T119" s="450">
        <v>0</v>
      </c>
      <c r="U119" s="451">
        <v>0</v>
      </c>
      <c r="V119" s="450">
        <v>0</v>
      </c>
      <c r="W119" s="451">
        <v>0</v>
      </c>
      <c r="X119" s="450">
        <v>0</v>
      </c>
      <c r="Y119" s="451">
        <v>0</v>
      </c>
      <c r="Z119" s="450">
        <v>0</v>
      </c>
      <c r="AA119" s="451">
        <v>0</v>
      </c>
      <c r="AB119" s="450">
        <v>0</v>
      </c>
      <c r="AC119" s="451">
        <v>0</v>
      </c>
      <c r="AD119" s="450">
        <v>0</v>
      </c>
      <c r="AE119" s="451">
        <v>0</v>
      </c>
      <c r="AF119" s="450">
        <v>0</v>
      </c>
      <c r="AG119" s="451">
        <v>0</v>
      </c>
      <c r="AH119" s="450">
        <v>0</v>
      </c>
      <c r="AI119" s="451">
        <v>0</v>
      </c>
      <c r="AJ119" s="450">
        <v>0</v>
      </c>
      <c r="AK119" s="451">
        <v>0</v>
      </c>
      <c r="AL119" s="450">
        <v>0</v>
      </c>
      <c r="AM119" s="451">
        <v>0</v>
      </c>
      <c r="AN119" s="655">
        <v>0</v>
      </c>
      <c r="AO119" s="1308">
        <v>0</v>
      </c>
      <c r="AP119" s="450">
        <v>0</v>
      </c>
      <c r="AQ119" s="669">
        <v>0</v>
      </c>
      <c r="AR119" s="667">
        <v>0</v>
      </c>
      <c r="AS119" s="451">
        <v>0</v>
      </c>
      <c r="AT119" s="451">
        <v>0</v>
      </c>
      <c r="AU119" s="451">
        <v>0</v>
      </c>
      <c r="AV119" s="451">
        <v>0</v>
      </c>
      <c r="AW119" s="451">
        <v>0</v>
      </c>
      <c r="AX119" s="451">
        <v>0</v>
      </c>
      <c r="AY119" s="1057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48">
        <f t="shared" si="181"/>
        <v>0</v>
      </c>
      <c r="CO119" s="1048">
        <f t="shared" si="182"/>
        <v>0</v>
      </c>
      <c r="CP119" s="1048">
        <f t="shared" si="164"/>
        <v>0</v>
      </c>
      <c r="CQ119" s="1048">
        <f t="shared" si="165"/>
        <v>0</v>
      </c>
      <c r="CR119" s="1048">
        <f t="shared" si="166"/>
        <v>0</v>
      </c>
      <c r="CS119" s="1048">
        <f t="shared" si="167"/>
        <v>0</v>
      </c>
      <c r="CT119" s="1048">
        <f t="shared" si="183"/>
        <v>0</v>
      </c>
      <c r="CU119" s="1048">
        <f t="shared" si="184"/>
        <v>0</v>
      </c>
      <c r="CV119" s="1048">
        <f t="shared" si="170"/>
        <v>0</v>
      </c>
      <c r="CW119" s="1048">
        <f t="shared" si="132"/>
        <v>0</v>
      </c>
      <c r="CX119" s="1048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17" t="s">
        <v>708</v>
      </c>
      <c r="B120" s="2118"/>
      <c r="C120" s="1144">
        <f t="shared" si="171"/>
        <v>0</v>
      </c>
      <c r="D120" s="391">
        <f>+F120+H120+J120+L120+N120+P120+R120+T120+V120+X120+Z120+AB120+AD120+AF120+AH120+AJ120+AL120</f>
        <v>0</v>
      </c>
      <c r="E120" s="386">
        <f>+G120+I120+K120+M120+O120+Q120+S120+U120+W120+Y120+AA120+AC120+AE120+AG120+AI120+AK120+AM120</f>
        <v>0</v>
      </c>
      <c r="F120" s="403">
        <v>0</v>
      </c>
      <c r="G120" s="404">
        <v>0</v>
      </c>
      <c r="H120" s="403">
        <v>0</v>
      </c>
      <c r="I120" s="404">
        <v>0</v>
      </c>
      <c r="J120" s="403">
        <v>0</v>
      </c>
      <c r="K120" s="404">
        <v>0</v>
      </c>
      <c r="L120" s="403">
        <v>0</v>
      </c>
      <c r="M120" s="404">
        <v>0</v>
      </c>
      <c r="N120" s="403">
        <v>0</v>
      </c>
      <c r="O120" s="404">
        <v>0</v>
      </c>
      <c r="P120" s="403">
        <v>0</v>
      </c>
      <c r="Q120" s="404">
        <v>0</v>
      </c>
      <c r="R120" s="403">
        <v>0</v>
      </c>
      <c r="S120" s="404">
        <v>0</v>
      </c>
      <c r="T120" s="403">
        <v>0</v>
      </c>
      <c r="U120" s="404">
        <v>0</v>
      </c>
      <c r="V120" s="403">
        <v>0</v>
      </c>
      <c r="W120" s="404">
        <v>0</v>
      </c>
      <c r="X120" s="403">
        <v>0</v>
      </c>
      <c r="Y120" s="404">
        <v>0</v>
      </c>
      <c r="Z120" s="403">
        <v>0</v>
      </c>
      <c r="AA120" s="404">
        <v>0</v>
      </c>
      <c r="AB120" s="403">
        <v>0</v>
      </c>
      <c r="AC120" s="404">
        <v>0</v>
      </c>
      <c r="AD120" s="403">
        <v>0</v>
      </c>
      <c r="AE120" s="404">
        <v>0</v>
      </c>
      <c r="AF120" s="403">
        <v>0</v>
      </c>
      <c r="AG120" s="404">
        <v>0</v>
      </c>
      <c r="AH120" s="403">
        <v>0</v>
      </c>
      <c r="AI120" s="404">
        <v>0</v>
      </c>
      <c r="AJ120" s="403">
        <v>0</v>
      </c>
      <c r="AK120" s="404">
        <v>0</v>
      </c>
      <c r="AL120" s="403">
        <v>0</v>
      </c>
      <c r="AM120" s="404">
        <v>0</v>
      </c>
      <c r="AN120" s="652">
        <v>0</v>
      </c>
      <c r="AO120" s="653">
        <v>0</v>
      </c>
      <c r="AP120" s="403">
        <v>0</v>
      </c>
      <c r="AQ120" s="442">
        <v>0</v>
      </c>
      <c r="AR120" s="464">
        <v>0</v>
      </c>
      <c r="AS120" s="404">
        <v>0</v>
      </c>
      <c r="AT120" s="404">
        <v>0</v>
      </c>
      <c r="AU120" s="404">
        <v>0</v>
      </c>
      <c r="AV120" s="404">
        <v>0</v>
      </c>
      <c r="AW120" s="404">
        <v>0</v>
      </c>
      <c r="AX120" s="404">
        <v>0</v>
      </c>
      <c r="AY120" s="1057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48">
        <f t="shared" si="181"/>
        <v>0</v>
      </c>
      <c r="CO120" s="1048">
        <f t="shared" si="182"/>
        <v>0</v>
      </c>
      <c r="CP120" s="1048">
        <f t="shared" si="164"/>
        <v>0</v>
      </c>
      <c r="CQ120" s="1048">
        <f t="shared" si="165"/>
        <v>0</v>
      </c>
      <c r="CR120" s="1048">
        <f t="shared" si="166"/>
        <v>0</v>
      </c>
      <c r="CS120" s="1048">
        <f t="shared" si="167"/>
        <v>0</v>
      </c>
      <c r="CT120" s="1048">
        <f t="shared" si="183"/>
        <v>0</v>
      </c>
      <c r="CU120" s="1048">
        <f t="shared" si="184"/>
        <v>0</v>
      </c>
      <c r="CV120" s="1048">
        <f t="shared" si="170"/>
        <v>0</v>
      </c>
      <c r="CW120" s="1048">
        <f t="shared" si="132"/>
        <v>0</v>
      </c>
      <c r="CX120" s="1048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89" t="s">
        <v>709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094" t="s">
        <v>688</v>
      </c>
      <c r="B122" s="2094" t="s">
        <v>689</v>
      </c>
      <c r="C122" s="1942" t="s">
        <v>621</v>
      </c>
      <c r="D122" s="1942"/>
      <c r="E122" s="1942"/>
      <c r="F122" s="2128" t="s">
        <v>382</v>
      </c>
      <c r="G122" s="1942"/>
      <c r="H122" s="1942"/>
      <c r="I122" s="1942"/>
      <c r="J122" s="1942"/>
      <c r="K122" s="1942"/>
      <c r="L122" s="1942"/>
      <c r="M122" s="1942"/>
      <c r="N122" s="1942"/>
      <c r="O122" s="1942"/>
      <c r="P122" s="1942"/>
      <c r="Q122" s="1942"/>
      <c r="R122" s="1942"/>
      <c r="S122" s="1942"/>
      <c r="T122" s="1942"/>
      <c r="U122" s="1942"/>
      <c r="V122" s="1942"/>
      <c r="W122" s="1942"/>
      <c r="X122" s="1942"/>
      <c r="Y122" s="1942"/>
      <c r="Z122" s="1942"/>
      <c r="AA122" s="1942"/>
      <c r="AB122" s="1942"/>
      <c r="AC122" s="1942"/>
      <c r="AD122" s="1942"/>
      <c r="AE122" s="1942"/>
      <c r="AF122" s="1942"/>
      <c r="AG122" s="1942"/>
      <c r="AH122" s="1942"/>
      <c r="AI122" s="1942"/>
      <c r="AJ122" s="1942"/>
      <c r="AK122" s="1942"/>
      <c r="AL122" s="1942"/>
      <c r="AM122" s="1942"/>
      <c r="AT122" s="220"/>
    </row>
    <row r="123" spans="1:119" ht="17.25" customHeight="1" x14ac:dyDescent="0.25">
      <c r="A123" s="2094"/>
      <c r="B123" s="2094"/>
      <c r="C123" s="1942"/>
      <c r="D123" s="1942"/>
      <c r="E123" s="1942"/>
      <c r="F123" s="1942" t="s">
        <v>410</v>
      </c>
      <c r="G123" s="1942"/>
      <c r="H123" s="1942" t="s">
        <v>411</v>
      </c>
      <c r="I123" s="1942"/>
      <c r="J123" s="1804" t="s">
        <v>322</v>
      </c>
      <c r="K123" s="1804"/>
      <c r="L123" s="1804" t="s">
        <v>62</v>
      </c>
      <c r="M123" s="1804"/>
      <c r="N123" s="1804" t="s">
        <v>63</v>
      </c>
      <c r="O123" s="1804"/>
      <c r="P123" s="1804" t="s">
        <v>64</v>
      </c>
      <c r="Q123" s="1804"/>
      <c r="R123" s="1804" t="s">
        <v>65</v>
      </c>
      <c r="S123" s="1804"/>
      <c r="T123" s="1804" t="s">
        <v>66</v>
      </c>
      <c r="U123" s="1804"/>
      <c r="V123" s="1804" t="s">
        <v>67</v>
      </c>
      <c r="W123" s="1804"/>
      <c r="X123" s="1804" t="s">
        <v>68</v>
      </c>
      <c r="Y123" s="1804"/>
      <c r="Z123" s="1804" t="s">
        <v>69</v>
      </c>
      <c r="AA123" s="1804"/>
      <c r="AB123" s="1804" t="s">
        <v>70</v>
      </c>
      <c r="AC123" s="1804"/>
      <c r="AD123" s="1804" t="s">
        <v>71</v>
      </c>
      <c r="AE123" s="1804"/>
      <c r="AF123" s="2131" t="s">
        <v>72</v>
      </c>
      <c r="AG123" s="2131"/>
      <c r="AH123" s="2131" t="s">
        <v>412</v>
      </c>
      <c r="AI123" s="2131"/>
      <c r="AJ123" s="2131" t="s">
        <v>413</v>
      </c>
      <c r="AK123" s="2131"/>
      <c r="AL123" s="2020" t="s">
        <v>414</v>
      </c>
      <c r="AM123" s="2020"/>
    </row>
    <row r="124" spans="1:119" x14ac:dyDescent="0.25">
      <c r="A124" s="2094"/>
      <c r="B124" s="2094"/>
      <c r="C124" s="1492" t="s">
        <v>231</v>
      </c>
      <c r="D124" s="1354" t="s">
        <v>91</v>
      </c>
      <c r="E124" s="994" t="s">
        <v>232</v>
      </c>
      <c r="F124" s="1465" t="s">
        <v>91</v>
      </c>
      <c r="G124" s="994" t="s">
        <v>232</v>
      </c>
      <c r="H124" s="1465" t="s">
        <v>91</v>
      </c>
      <c r="I124" s="994" t="s">
        <v>232</v>
      </c>
      <c r="J124" s="1465" t="s">
        <v>91</v>
      </c>
      <c r="K124" s="994" t="s">
        <v>232</v>
      </c>
      <c r="L124" s="1465" t="s">
        <v>91</v>
      </c>
      <c r="M124" s="994" t="s">
        <v>232</v>
      </c>
      <c r="N124" s="1465" t="s">
        <v>91</v>
      </c>
      <c r="O124" s="994" t="s">
        <v>232</v>
      </c>
      <c r="P124" s="1465" t="s">
        <v>91</v>
      </c>
      <c r="Q124" s="994" t="s">
        <v>232</v>
      </c>
      <c r="R124" s="1465" t="s">
        <v>91</v>
      </c>
      <c r="S124" s="994" t="s">
        <v>232</v>
      </c>
      <c r="T124" s="1465" t="s">
        <v>91</v>
      </c>
      <c r="U124" s="994" t="s">
        <v>232</v>
      </c>
      <c r="V124" s="1465" t="s">
        <v>91</v>
      </c>
      <c r="W124" s="994" t="s">
        <v>232</v>
      </c>
      <c r="X124" s="1465" t="s">
        <v>91</v>
      </c>
      <c r="Y124" s="994" t="s">
        <v>232</v>
      </c>
      <c r="Z124" s="1465" t="s">
        <v>91</v>
      </c>
      <c r="AA124" s="994" t="s">
        <v>232</v>
      </c>
      <c r="AB124" s="1465" t="s">
        <v>91</v>
      </c>
      <c r="AC124" s="994" t="s">
        <v>232</v>
      </c>
      <c r="AD124" s="1465" t="s">
        <v>91</v>
      </c>
      <c r="AE124" s="994" t="s">
        <v>232</v>
      </c>
      <c r="AF124" s="1465" t="s">
        <v>91</v>
      </c>
      <c r="AG124" s="994" t="s">
        <v>232</v>
      </c>
      <c r="AH124" s="1465" t="s">
        <v>91</v>
      </c>
      <c r="AI124" s="994" t="s">
        <v>232</v>
      </c>
      <c r="AJ124" s="1465" t="s">
        <v>91</v>
      </c>
      <c r="AK124" s="994" t="s">
        <v>232</v>
      </c>
      <c r="AL124" s="1465" t="s">
        <v>91</v>
      </c>
      <c r="AM124" s="994" t="s">
        <v>232</v>
      </c>
    </row>
    <row r="125" spans="1:119" ht="15" customHeight="1" x14ac:dyDescent="0.25">
      <c r="A125" s="1075" t="s">
        <v>690</v>
      </c>
      <c r="B125" s="1075" t="s">
        <v>637</v>
      </c>
      <c r="C125" s="1151">
        <f>SUM(D125:E125)</f>
        <v>0</v>
      </c>
      <c r="D125" s="1149">
        <f>+F125+H125+J125+L125+N125+P125+R125+T125+V125+X125+Z125+AB125+AD125+AF125+AH125+AJ125+AL125</f>
        <v>0</v>
      </c>
      <c r="E125" s="1076">
        <f>+G125+I125+K125+M125+O125+Q125+S125+U125+W125+Y125+AA125+AC125+AE125+AG125+AI125+AK125+AM125</f>
        <v>0</v>
      </c>
      <c r="F125" s="1077">
        <v>0</v>
      </c>
      <c r="G125" s="1078">
        <v>0</v>
      </c>
      <c r="H125" s="1077">
        <v>0</v>
      </c>
      <c r="I125" s="1078">
        <v>0</v>
      </c>
      <c r="J125" s="1077">
        <v>0</v>
      </c>
      <c r="K125" s="1085">
        <v>0</v>
      </c>
      <c r="L125" s="1077">
        <v>0</v>
      </c>
      <c r="M125" s="1085">
        <v>0</v>
      </c>
      <c r="N125" s="1077">
        <v>0</v>
      </c>
      <c r="O125" s="1085">
        <v>0</v>
      </c>
      <c r="P125" s="1077">
        <v>0</v>
      </c>
      <c r="Q125" s="1078">
        <v>0</v>
      </c>
      <c r="R125" s="1077">
        <v>0</v>
      </c>
      <c r="S125" s="1078">
        <v>0</v>
      </c>
      <c r="T125" s="1077">
        <v>0</v>
      </c>
      <c r="U125" s="1085">
        <v>0</v>
      </c>
      <c r="V125" s="1077">
        <v>0</v>
      </c>
      <c r="W125" s="1085">
        <v>0</v>
      </c>
      <c r="X125" s="1077">
        <v>0</v>
      </c>
      <c r="Y125" s="1085">
        <v>0</v>
      </c>
      <c r="Z125" s="1077">
        <v>0</v>
      </c>
      <c r="AA125" s="1078">
        <v>0</v>
      </c>
      <c r="AB125" s="1077">
        <v>0</v>
      </c>
      <c r="AC125" s="1078">
        <v>0</v>
      </c>
      <c r="AD125" s="1077">
        <v>0</v>
      </c>
      <c r="AE125" s="1085">
        <v>0</v>
      </c>
      <c r="AF125" s="1077">
        <v>0</v>
      </c>
      <c r="AG125" s="1085">
        <v>0</v>
      </c>
      <c r="AH125" s="1077">
        <v>0</v>
      </c>
      <c r="AI125" s="1085">
        <v>0</v>
      </c>
      <c r="AJ125" s="1077">
        <v>0</v>
      </c>
      <c r="AK125" s="1085">
        <v>0</v>
      </c>
      <c r="AL125" s="1077">
        <v>0</v>
      </c>
      <c r="AM125" s="1079">
        <v>0</v>
      </c>
      <c r="AN125" s="220"/>
    </row>
    <row r="126" spans="1:119" ht="15" customHeight="1" x14ac:dyDescent="0.25">
      <c r="A126" s="1080" t="s">
        <v>691</v>
      </c>
      <c r="B126" s="1080" t="s">
        <v>637</v>
      </c>
      <c r="C126" s="1152">
        <f>SUM(D126:E126)</f>
        <v>0</v>
      </c>
      <c r="D126" s="1150">
        <f>+F126+H126+J126+L126+N126+P126+R126+T126+V126+X126+Z126+AB126+AD126+AF126+AH126+AJ126+AL126</f>
        <v>0</v>
      </c>
      <c r="E126" s="1081">
        <f>+G126+I126+K126+M126+O126+Q126+S126+U126+W126+Y126+AA126+AC126+AE126+AG126+AI126+AK126+AM126</f>
        <v>0</v>
      </c>
      <c r="F126" s="1082">
        <v>0</v>
      </c>
      <c r="G126" s="1083">
        <v>0</v>
      </c>
      <c r="H126" s="1082">
        <v>0</v>
      </c>
      <c r="I126" s="1083">
        <v>0</v>
      </c>
      <c r="J126" s="1082">
        <v>0</v>
      </c>
      <c r="K126" s="1086">
        <v>0</v>
      </c>
      <c r="L126" s="1082">
        <v>0</v>
      </c>
      <c r="M126" s="1086">
        <v>0</v>
      </c>
      <c r="N126" s="1082">
        <v>0</v>
      </c>
      <c r="O126" s="1086">
        <v>0</v>
      </c>
      <c r="P126" s="1082">
        <v>0</v>
      </c>
      <c r="Q126" s="1083">
        <v>0</v>
      </c>
      <c r="R126" s="1082">
        <v>0</v>
      </c>
      <c r="S126" s="1083">
        <v>0</v>
      </c>
      <c r="T126" s="1082">
        <v>0</v>
      </c>
      <c r="U126" s="1086">
        <v>0</v>
      </c>
      <c r="V126" s="1082">
        <v>0</v>
      </c>
      <c r="W126" s="1086">
        <v>0</v>
      </c>
      <c r="X126" s="1082">
        <v>0</v>
      </c>
      <c r="Y126" s="1086">
        <v>0</v>
      </c>
      <c r="Z126" s="1082">
        <v>0</v>
      </c>
      <c r="AA126" s="1083">
        <v>0</v>
      </c>
      <c r="AB126" s="1082">
        <v>0</v>
      </c>
      <c r="AC126" s="1083">
        <v>0</v>
      </c>
      <c r="AD126" s="1082">
        <v>0</v>
      </c>
      <c r="AE126" s="1086">
        <v>0</v>
      </c>
      <c r="AF126" s="1082">
        <v>0</v>
      </c>
      <c r="AG126" s="1086">
        <v>0</v>
      </c>
      <c r="AH126" s="1082">
        <v>0</v>
      </c>
      <c r="AI126" s="1086">
        <v>0</v>
      </c>
      <c r="AJ126" s="1082">
        <v>0</v>
      </c>
      <c r="AK126" s="1086">
        <v>0</v>
      </c>
      <c r="AL126" s="1082">
        <v>0</v>
      </c>
      <c r="AM126" s="1084">
        <v>0</v>
      </c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7"/>
      <c r="BD132" s="607"/>
      <c r="BE132" s="607"/>
      <c r="BF132" s="607"/>
      <c r="BG132" s="607"/>
      <c r="BH132" s="607"/>
      <c r="BI132" s="607"/>
      <c r="BJ132" s="607"/>
      <c r="BK132" s="607"/>
      <c r="BL132" s="607"/>
      <c r="BM132" s="607"/>
      <c r="BN132" s="607"/>
      <c r="BO132" s="607"/>
      <c r="BP132" s="607"/>
      <c r="BQ132" s="607"/>
      <c r="BR132" s="607"/>
      <c r="BS132" s="607"/>
      <c r="BT132" s="607"/>
      <c r="BU132" s="607"/>
      <c r="BV132" s="607"/>
      <c r="BW132" s="607"/>
      <c r="BX132" s="607"/>
      <c r="BY132" s="607"/>
      <c r="BZ132" s="607"/>
      <c r="CA132" s="607"/>
      <c r="CB132" s="607"/>
      <c r="CC132" s="607"/>
      <c r="CD132" s="607"/>
      <c r="CE132" s="607"/>
      <c r="CF132" s="607"/>
      <c r="CG132" s="607"/>
      <c r="CH132" s="607"/>
      <c r="CI132" s="607"/>
      <c r="CJ132" s="607"/>
      <c r="CK132" s="607"/>
      <c r="CL132" s="607"/>
      <c r="CM132" s="607"/>
      <c r="CN132" s="607"/>
      <c r="CO132" s="607"/>
      <c r="CP132" s="607"/>
      <c r="CQ132" s="607"/>
      <c r="CR132" s="607"/>
      <c r="CS132" s="607"/>
      <c r="CT132" s="607"/>
      <c r="CU132" s="607"/>
      <c r="CV132" s="607"/>
      <c r="CW132" s="607"/>
      <c r="CX132" s="607"/>
      <c r="CY132" s="607"/>
      <c r="CZ132" s="607"/>
      <c r="DA132" s="607"/>
      <c r="DB132" s="607"/>
      <c r="DC132" s="607"/>
      <c r="DD132" s="607"/>
      <c r="DE132" s="607"/>
      <c r="DF132" s="607"/>
      <c r="DG132" s="607"/>
      <c r="DH132" s="607"/>
      <c r="DI132" s="607"/>
      <c r="DJ132" s="607"/>
      <c r="DK132" s="607"/>
      <c r="DL132" s="607"/>
      <c r="DM132" s="607"/>
      <c r="DN132" s="607"/>
      <c r="DO132" s="607"/>
      <c r="DP132" s="607"/>
      <c r="DQ132" s="607"/>
      <c r="DR132" s="607"/>
      <c r="DS132" s="607"/>
      <c r="DT132" s="607"/>
      <c r="DU132" s="607"/>
      <c r="DV132" s="607"/>
      <c r="DW132" s="607"/>
      <c r="DX132" s="607"/>
      <c r="DY132" s="607"/>
      <c r="DZ132" s="607"/>
      <c r="EA132" s="607"/>
      <c r="EB132" s="607"/>
      <c r="EC132" s="607"/>
      <c r="ED132" s="607"/>
      <c r="EE132" s="607"/>
      <c r="EF132" s="607"/>
      <c r="EG132" s="607"/>
      <c r="EH132" s="607"/>
      <c r="EI132" s="607"/>
      <c r="EJ132" s="607"/>
      <c r="EK132" s="607"/>
      <c r="EL132" s="607"/>
      <c r="EM132" s="607"/>
      <c r="EN132" s="607"/>
      <c r="EO132" s="607"/>
      <c r="EP132" s="607"/>
      <c r="EQ132" s="607"/>
      <c r="ER132" s="607"/>
      <c r="ES132" s="607"/>
      <c r="ET132" s="607"/>
      <c r="EU132" s="607"/>
      <c r="EV132" s="607"/>
      <c r="EW132" s="607"/>
      <c r="EX132" s="607"/>
      <c r="EY132" s="607"/>
      <c r="EZ132" s="607"/>
      <c r="FA132" s="607"/>
      <c r="FB132" s="607"/>
      <c r="FC132" s="607"/>
      <c r="FD132" s="607"/>
      <c r="FE132" s="607"/>
      <c r="FF132" s="607"/>
      <c r="FG132" s="607"/>
      <c r="FH132" s="607"/>
      <c r="FI132" s="607"/>
      <c r="FJ132" s="607"/>
      <c r="FK132" s="607"/>
      <c r="FL132" s="607"/>
      <c r="FM132" s="607"/>
      <c r="FN132" s="607"/>
      <c r="FO132" s="607"/>
      <c r="FP132" s="607"/>
      <c r="FQ132" s="607"/>
      <c r="FR132" s="607"/>
      <c r="FS132" s="607"/>
      <c r="FT132" s="607"/>
      <c r="FU132" s="607"/>
      <c r="FV132" s="607"/>
      <c r="FW132" s="607"/>
      <c r="FX132" s="607"/>
      <c r="FY132" s="607"/>
      <c r="FZ132" s="607"/>
      <c r="GA132" s="607"/>
      <c r="GB132" s="607"/>
      <c r="GC132" s="607"/>
      <c r="GD132" s="607"/>
      <c r="GE132" s="607"/>
      <c r="GF132" s="607"/>
      <c r="GG132" s="607"/>
      <c r="GH132" s="607"/>
      <c r="GI132" s="607"/>
      <c r="GJ132" s="607"/>
      <c r="GK132" s="607"/>
      <c r="GL132" s="607"/>
      <c r="GM132" s="607"/>
      <c r="GN132" s="607"/>
      <c r="GO132" s="607"/>
      <c r="GP132" s="607"/>
      <c r="GQ132" s="607"/>
      <c r="GR132" s="607"/>
      <c r="GS132" s="607"/>
      <c r="GT132" s="607"/>
      <c r="GU132" s="607"/>
      <c r="GV132" s="607"/>
      <c r="GW132" s="607"/>
      <c r="GX132" s="607"/>
      <c r="GY132" s="607"/>
      <c r="GZ132" s="607"/>
      <c r="HA132" s="607"/>
      <c r="HB132" s="607"/>
      <c r="HC132" s="607"/>
      <c r="HD132" s="607"/>
      <c r="HE132" s="607"/>
      <c r="HF132" s="607"/>
      <c r="HG132" s="607"/>
      <c r="HH132" s="607"/>
      <c r="HI132" s="607"/>
      <c r="HJ132" s="607"/>
      <c r="HK132" s="607"/>
      <c r="HL132" s="607"/>
      <c r="HM132" s="607"/>
      <c r="HN132" s="607"/>
      <c r="HO132" s="607"/>
      <c r="HP132" s="607"/>
      <c r="HQ132" s="607"/>
      <c r="HR132" s="607"/>
      <c r="HS132" s="607"/>
      <c r="HT132" s="607"/>
      <c r="HU132" s="607"/>
      <c r="HV132" s="607"/>
      <c r="HW132" s="607"/>
      <c r="HX132" s="607"/>
      <c r="HY132" s="607"/>
      <c r="HZ132" s="607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7"/>
      <c r="BD133" s="607"/>
      <c r="BE133" s="607"/>
      <c r="BF133" s="607"/>
      <c r="BG133" s="607"/>
      <c r="BH133" s="607"/>
      <c r="BI133" s="607"/>
      <c r="BJ133" s="607"/>
      <c r="BK133" s="607"/>
      <c r="BL133" s="607"/>
      <c r="BM133" s="607"/>
      <c r="BN133" s="607"/>
      <c r="BO133" s="607"/>
      <c r="BP133" s="607"/>
      <c r="BQ133" s="607"/>
      <c r="BR133" s="607"/>
      <c r="BS133" s="607"/>
      <c r="BT133" s="607"/>
      <c r="BU133" s="607"/>
      <c r="BV133" s="607"/>
      <c r="BW133" s="607"/>
      <c r="BX133" s="607"/>
      <c r="BY133" s="607"/>
      <c r="BZ133" s="607"/>
      <c r="CA133" s="607"/>
      <c r="CB133" s="607"/>
      <c r="CC133" s="607"/>
      <c r="CD133" s="607"/>
      <c r="CE133" s="607"/>
      <c r="CF133" s="607"/>
      <c r="CG133" s="607"/>
      <c r="CH133" s="607"/>
      <c r="CI133" s="607"/>
      <c r="CJ133" s="607"/>
      <c r="CK133" s="607"/>
      <c r="CL133" s="607"/>
      <c r="CM133" s="607"/>
      <c r="CN133" s="607"/>
      <c r="CO133" s="607"/>
      <c r="CP133" s="607"/>
      <c r="CQ133" s="607"/>
      <c r="CR133" s="607"/>
      <c r="CS133" s="607"/>
      <c r="CT133" s="607"/>
      <c r="CU133" s="607"/>
      <c r="CV133" s="607"/>
      <c r="CW133" s="607"/>
      <c r="CX133" s="607"/>
      <c r="CY133" s="607"/>
      <c r="CZ133" s="607"/>
      <c r="DA133" s="607"/>
      <c r="DB133" s="607"/>
      <c r="DC133" s="607"/>
      <c r="DD133" s="607"/>
      <c r="DE133" s="607"/>
      <c r="DF133" s="607"/>
      <c r="DG133" s="607"/>
      <c r="DH133" s="607"/>
      <c r="DI133" s="607"/>
      <c r="DJ133" s="607"/>
      <c r="DK133" s="607"/>
      <c r="DL133" s="607"/>
      <c r="DM133" s="607"/>
      <c r="DN133" s="607"/>
      <c r="DO133" s="607"/>
      <c r="DP133" s="607"/>
      <c r="DQ133" s="607"/>
      <c r="DR133" s="607"/>
      <c r="DS133" s="607"/>
      <c r="DT133" s="607"/>
      <c r="DU133" s="607"/>
      <c r="DV133" s="607"/>
      <c r="DW133" s="607"/>
      <c r="DX133" s="607"/>
      <c r="DY133" s="607"/>
      <c r="DZ133" s="607"/>
      <c r="EA133" s="607"/>
      <c r="EB133" s="607"/>
      <c r="EC133" s="607"/>
      <c r="ED133" s="607"/>
      <c r="EE133" s="607"/>
      <c r="EF133" s="607"/>
      <c r="EG133" s="607"/>
      <c r="EH133" s="607"/>
      <c r="EI133" s="607"/>
      <c r="EJ133" s="607"/>
      <c r="EK133" s="607"/>
      <c r="EL133" s="607"/>
      <c r="EM133" s="607"/>
      <c r="EN133" s="607"/>
      <c r="EO133" s="607"/>
      <c r="EP133" s="607"/>
      <c r="EQ133" s="607"/>
      <c r="ER133" s="607"/>
      <c r="ES133" s="607"/>
      <c r="ET133" s="607"/>
      <c r="EU133" s="607"/>
      <c r="EV133" s="607"/>
      <c r="EW133" s="607"/>
      <c r="EX133" s="607"/>
      <c r="EY133" s="607"/>
      <c r="EZ133" s="607"/>
      <c r="FA133" s="607"/>
      <c r="FB133" s="607"/>
      <c r="FC133" s="607"/>
      <c r="FD133" s="607"/>
      <c r="FE133" s="607"/>
      <c r="FF133" s="607"/>
      <c r="FG133" s="607"/>
      <c r="FH133" s="607"/>
      <c r="FI133" s="607"/>
      <c r="FJ133" s="607"/>
      <c r="FK133" s="607"/>
      <c r="FL133" s="607"/>
      <c r="FM133" s="607"/>
      <c r="FN133" s="607"/>
      <c r="FO133" s="607"/>
      <c r="FP133" s="607"/>
      <c r="FQ133" s="607"/>
      <c r="FR133" s="607"/>
      <c r="FS133" s="607"/>
      <c r="FT133" s="607"/>
      <c r="FU133" s="607"/>
      <c r="FV133" s="607"/>
      <c r="FW133" s="607"/>
      <c r="FX133" s="607"/>
      <c r="FY133" s="607"/>
      <c r="FZ133" s="607"/>
      <c r="GA133" s="607"/>
      <c r="GB133" s="607"/>
      <c r="GC133" s="607"/>
      <c r="GD133" s="607"/>
      <c r="GE133" s="607"/>
      <c r="GF133" s="607"/>
      <c r="GG133" s="607"/>
      <c r="GH133" s="607"/>
      <c r="GI133" s="607"/>
      <c r="GJ133" s="607"/>
      <c r="GK133" s="607"/>
      <c r="GL133" s="607"/>
      <c r="GM133" s="607"/>
      <c r="GN133" s="607"/>
      <c r="GO133" s="607"/>
      <c r="GP133" s="607"/>
      <c r="GQ133" s="607"/>
      <c r="GR133" s="607"/>
      <c r="GS133" s="607"/>
      <c r="GT133" s="607"/>
      <c r="GU133" s="607"/>
      <c r="GV133" s="607"/>
      <c r="GW133" s="607"/>
      <c r="GX133" s="607"/>
      <c r="GY133" s="607"/>
      <c r="GZ133" s="607"/>
      <c r="HA133" s="607"/>
      <c r="HB133" s="607"/>
      <c r="HC133" s="607"/>
      <c r="HD133" s="607"/>
      <c r="HE133" s="607"/>
      <c r="HF133" s="607"/>
      <c r="HG133" s="607"/>
      <c r="HH133" s="607"/>
      <c r="HI133" s="607"/>
      <c r="HJ133" s="607"/>
      <c r="HK133" s="607"/>
      <c r="HL133" s="607"/>
      <c r="HM133" s="607"/>
      <c r="HN133" s="607"/>
      <c r="HO133" s="607"/>
      <c r="HP133" s="607"/>
      <c r="HQ133" s="607"/>
      <c r="HR133" s="607"/>
      <c r="HS133" s="607"/>
      <c r="HT133" s="607"/>
      <c r="HU133" s="607"/>
      <c r="HV133" s="607"/>
      <c r="HW133" s="607"/>
      <c r="HX133" s="607"/>
      <c r="HY133" s="607"/>
      <c r="HZ133" s="607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59">
        <f>SUM(C13:C58,C63:C64,C69,C75:C120,C125:C126)</f>
        <v>42</v>
      </c>
      <c r="B146" s="193" t="s">
        <v>211</v>
      </c>
    </row>
    <row r="147" spans="1:2" ht="15" hidden="1" customHeight="1" x14ac:dyDescent="0.25">
      <c r="A147" s="1459">
        <f>SUM(CN13:CX120)</f>
        <v>0</v>
      </c>
      <c r="B147" s="193" t="s">
        <v>212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abSelected="1" topLeftCell="A6" zoomScaleNormal="100" workbookViewId="0">
      <selection activeCell="O21" sqref="O21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JUNIO   ( 06 )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47" t="s">
        <v>710</v>
      </c>
      <c r="B7" s="2147"/>
      <c r="C7" s="2147"/>
      <c r="D7" s="2147"/>
      <c r="E7" s="2147"/>
      <c r="F7" s="2147"/>
      <c r="G7" s="2147"/>
      <c r="H7" s="2147"/>
      <c r="I7" s="2147"/>
      <c r="J7" s="2147"/>
      <c r="K7" s="1116"/>
      <c r="L7" s="1101"/>
      <c r="M7" s="107"/>
    </row>
    <row r="8" spans="1:72" ht="17.100000000000001" customHeight="1" x14ac:dyDescent="0.15">
      <c r="A8" s="2161" t="s">
        <v>711</v>
      </c>
      <c r="B8" s="2161"/>
      <c r="C8" s="2161"/>
      <c r="D8" s="2161"/>
      <c r="E8" s="2161"/>
      <c r="F8" s="2161"/>
      <c r="G8" s="2161"/>
      <c r="H8" s="2161"/>
      <c r="I8" s="2161"/>
      <c r="J8" s="2161"/>
    </row>
    <row r="9" spans="1:72" ht="20.100000000000001" customHeight="1" x14ac:dyDescent="0.15">
      <c r="A9" s="1536" t="s">
        <v>712</v>
      </c>
      <c r="B9" s="1475" t="s">
        <v>54</v>
      </c>
      <c r="C9" s="1354" t="s">
        <v>713</v>
      </c>
      <c r="D9" s="822" t="s">
        <v>714</v>
      </c>
      <c r="E9" s="822" t="s">
        <v>715</v>
      </c>
      <c r="F9" s="822" t="s">
        <v>716</v>
      </c>
      <c r="G9" s="822" t="s">
        <v>717</v>
      </c>
      <c r="H9" s="822" t="s">
        <v>718</v>
      </c>
      <c r="I9" s="822" t="s">
        <v>719</v>
      </c>
      <c r="J9" s="994" t="s">
        <v>720</v>
      </c>
    </row>
    <row r="10" spans="1:72" ht="15" customHeight="1" x14ac:dyDescent="0.15">
      <c r="A10" s="196" t="s">
        <v>721</v>
      </c>
      <c r="B10" s="553">
        <f>SUM(C10:J10)</f>
        <v>0</v>
      </c>
      <c r="C10" s="262"/>
      <c r="D10" s="263"/>
      <c r="E10" s="263"/>
      <c r="F10" s="263"/>
      <c r="G10" s="263"/>
      <c r="H10" s="263"/>
      <c r="I10" s="263"/>
      <c r="J10" s="309"/>
      <c r="K10" s="73" t="str">
        <f>BA10&amp;BB10&amp;BC10&amp;BD10&amp;BE10&amp;BF10&amp;BG10&amp;BH10</f>
        <v/>
      </c>
    </row>
    <row r="11" spans="1:72" ht="15" customHeight="1" x14ac:dyDescent="0.15">
      <c r="A11" s="197" t="s">
        <v>722</v>
      </c>
      <c r="B11" s="554">
        <f>SUM(C11:J11)</f>
        <v>0</v>
      </c>
      <c r="C11" s="277"/>
      <c r="D11" s="278"/>
      <c r="E11" s="278"/>
      <c r="F11" s="278"/>
      <c r="G11" s="278"/>
      <c r="H11" s="278"/>
      <c r="I11" s="278"/>
      <c r="J11" s="311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48">
        <f>IF(C$10 &lt;(C$11), 1,0)</f>
        <v>0</v>
      </c>
      <c r="BN11" s="1048">
        <f t="shared" ref="BN11:BT11" si="0">IF(D$10 &lt;(D$11), 1,0)</f>
        <v>0</v>
      </c>
      <c r="BO11" s="1048">
        <f t="shared" si="0"/>
        <v>0</v>
      </c>
      <c r="BP11" s="1048">
        <f t="shared" si="0"/>
        <v>0</v>
      </c>
      <c r="BQ11" s="1048">
        <f t="shared" si="0"/>
        <v>0</v>
      </c>
      <c r="BR11" s="1048">
        <f t="shared" si="0"/>
        <v>0</v>
      </c>
      <c r="BS11" s="1048">
        <f t="shared" si="0"/>
        <v>0</v>
      </c>
      <c r="BT11" s="1048">
        <f t="shared" si="0"/>
        <v>0</v>
      </c>
    </row>
    <row r="12" spans="1:72" ht="15" customHeight="1" x14ac:dyDescent="0.15">
      <c r="A12" s="199" t="s">
        <v>723</v>
      </c>
      <c r="B12" s="554">
        <f>SUM(C12:J12)</f>
        <v>0</v>
      </c>
      <c r="C12" s="277"/>
      <c r="D12" s="278"/>
      <c r="E12" s="278"/>
      <c r="F12" s="278"/>
      <c r="G12" s="278"/>
      <c r="H12" s="278"/>
      <c r="I12" s="278"/>
      <c r="J12" s="311"/>
      <c r="K12" s="73"/>
    </row>
    <row r="13" spans="1:72" ht="15" customHeight="1" x14ac:dyDescent="0.15">
      <c r="A13" s="199" t="s">
        <v>724</v>
      </c>
      <c r="B13" s="554">
        <f>SUM(C13:J13)</f>
        <v>0</v>
      </c>
      <c r="C13" s="277"/>
      <c r="D13" s="278"/>
      <c r="E13" s="278"/>
      <c r="F13" s="278"/>
      <c r="G13" s="278"/>
      <c r="H13" s="278"/>
      <c r="I13" s="278"/>
      <c r="J13" s="311"/>
      <c r="K13" s="73"/>
    </row>
    <row r="14" spans="1:72" ht="15" customHeight="1" x14ac:dyDescent="0.15">
      <c r="A14" s="200" t="s">
        <v>725</v>
      </c>
      <c r="B14" s="308">
        <f>SUM(C14:J14)</f>
        <v>0</v>
      </c>
      <c r="C14" s="268"/>
      <c r="D14" s="269"/>
      <c r="E14" s="269"/>
      <c r="F14" s="269"/>
      <c r="G14" s="269"/>
      <c r="H14" s="269"/>
      <c r="I14" s="269"/>
      <c r="J14" s="312"/>
      <c r="K14" s="73"/>
    </row>
    <row r="15" spans="1:72" ht="17.100000000000001" customHeight="1" x14ac:dyDescent="0.15">
      <c r="A15" s="2162" t="s">
        <v>726</v>
      </c>
      <c r="B15" s="2162"/>
      <c r="C15" s="2162"/>
      <c r="D15" s="2162"/>
      <c r="E15" s="2162"/>
      <c r="F15" s="2162"/>
      <c r="G15" s="2162"/>
      <c r="H15" s="2162"/>
      <c r="I15" s="2162"/>
      <c r="J15" s="2162"/>
      <c r="K15" s="73"/>
    </row>
    <row r="16" spans="1:72" ht="15.75" customHeight="1" x14ac:dyDescent="0.15">
      <c r="A16" s="1536" t="s">
        <v>712</v>
      </c>
      <c r="B16" s="1475" t="s">
        <v>54</v>
      </c>
      <c r="C16" s="1354" t="s">
        <v>713</v>
      </c>
      <c r="D16" s="822" t="s">
        <v>714</v>
      </c>
      <c r="E16" s="822" t="s">
        <v>715</v>
      </c>
      <c r="F16" s="822" t="s">
        <v>716</v>
      </c>
      <c r="G16" s="822" t="s">
        <v>717</v>
      </c>
      <c r="H16" s="822" t="s">
        <v>718</v>
      </c>
      <c r="I16" s="822" t="s">
        <v>719</v>
      </c>
      <c r="J16" s="1374" t="s">
        <v>720</v>
      </c>
      <c r="K16" s="73"/>
    </row>
    <row r="17" spans="1:72" ht="15" customHeight="1" x14ac:dyDescent="0.15">
      <c r="A17" s="196" t="s">
        <v>721</v>
      </c>
      <c r="B17" s="553">
        <f>SUM(C17:J17)</f>
        <v>135</v>
      </c>
      <c r="C17" s="262">
        <v>135</v>
      </c>
      <c r="D17" s="263"/>
      <c r="E17" s="263"/>
      <c r="F17" s="263"/>
      <c r="G17" s="263"/>
      <c r="H17" s="263"/>
      <c r="I17" s="263"/>
      <c r="J17" s="309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722</v>
      </c>
      <c r="B18" s="554">
        <f>SUM(C18:J18)</f>
        <v>105</v>
      </c>
      <c r="C18" s="277">
        <v>105</v>
      </c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48">
        <f>IF(C$17 &lt;(C$18), 1,0)</f>
        <v>0</v>
      </c>
      <c r="BN18" s="1048">
        <f t="shared" ref="BN18:BS18" si="2">IF(D17 &lt;(D18), 1,0)</f>
        <v>0</v>
      </c>
      <c r="BO18" s="1048">
        <f t="shared" si="2"/>
        <v>0</v>
      </c>
      <c r="BP18" s="1048">
        <f t="shared" si="2"/>
        <v>0</v>
      </c>
      <c r="BQ18" s="1048">
        <f t="shared" si="2"/>
        <v>0</v>
      </c>
      <c r="BR18" s="1048">
        <f t="shared" si="2"/>
        <v>0</v>
      </c>
      <c r="BS18" s="1048">
        <f t="shared" si="2"/>
        <v>0</v>
      </c>
      <c r="BT18" s="1048">
        <f>IF(J17 &lt;(J18), 1,0)</f>
        <v>0</v>
      </c>
    </row>
    <row r="19" spans="1:72" ht="15" customHeight="1" x14ac:dyDescent="0.15">
      <c r="A19" s="199" t="s">
        <v>723</v>
      </c>
      <c r="B19" s="554">
        <f>SUM(C19:J19)</f>
        <v>44</v>
      </c>
      <c r="C19" s="277">
        <v>44</v>
      </c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724</v>
      </c>
      <c r="B20" s="554">
        <f>SUM(C20:J20)</f>
        <v>35</v>
      </c>
      <c r="C20" s="277">
        <v>35</v>
      </c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725</v>
      </c>
      <c r="B21" s="308">
        <f>SUM(C21:J21)</f>
        <v>26</v>
      </c>
      <c r="C21" s="268">
        <v>26</v>
      </c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61" t="s">
        <v>727</v>
      </c>
      <c r="B22" s="2161"/>
      <c r="C22" s="2161"/>
      <c r="D22" s="2161"/>
      <c r="E22" s="2161"/>
      <c r="F22" s="2161"/>
      <c r="G22" s="2161"/>
      <c r="H22" s="2161"/>
      <c r="I22" s="2161"/>
      <c r="J22" s="2161"/>
      <c r="K22" s="2161"/>
      <c r="L22" s="2161"/>
    </row>
    <row r="23" spans="1:72" ht="20.100000000000001" customHeight="1" x14ac:dyDescent="0.15">
      <c r="A23" s="2148" t="s">
        <v>728</v>
      </c>
      <c r="B23" s="2149"/>
      <c r="C23" s="2150"/>
      <c r="D23" s="1537" t="s">
        <v>54</v>
      </c>
      <c r="E23" s="1538" t="s">
        <v>713</v>
      </c>
      <c r="F23" s="1046" t="s">
        <v>714</v>
      </c>
      <c r="G23" s="1046" t="s">
        <v>715</v>
      </c>
      <c r="H23" s="1046" t="s">
        <v>716</v>
      </c>
      <c r="I23" s="1046" t="s">
        <v>717</v>
      </c>
      <c r="J23" s="1046" t="s">
        <v>718</v>
      </c>
      <c r="K23" s="1539" t="s">
        <v>719</v>
      </c>
      <c r="L23" s="1540" t="s">
        <v>720</v>
      </c>
      <c r="M23" s="33"/>
    </row>
    <row r="24" spans="1:72" ht="15" customHeight="1" x14ac:dyDescent="0.15">
      <c r="A24" s="2157" t="s">
        <v>729</v>
      </c>
      <c r="B24" s="2157"/>
      <c r="C24" s="2158"/>
      <c r="D24" s="550">
        <f t="shared" ref="D24:D32" si="3">SUM(E24:L24)</f>
        <v>20</v>
      </c>
      <c r="E24" s="555">
        <v>20</v>
      </c>
      <c r="F24" s="556"/>
      <c r="G24" s="556"/>
      <c r="H24" s="556"/>
      <c r="I24" s="556"/>
      <c r="J24" s="556"/>
      <c r="K24" s="556"/>
      <c r="L24" s="557"/>
      <c r="M24" s="73"/>
    </row>
    <row r="25" spans="1:72" ht="15" customHeight="1" x14ac:dyDescent="0.15">
      <c r="A25" s="2159" t="s">
        <v>730</v>
      </c>
      <c r="B25" s="2153" t="s">
        <v>548</v>
      </c>
      <c r="C25" s="2154"/>
      <c r="D25" s="551">
        <f t="shared" si="3"/>
        <v>39</v>
      </c>
      <c r="E25" s="558">
        <v>39</v>
      </c>
      <c r="F25" s="559"/>
      <c r="G25" s="559"/>
      <c r="H25" s="559"/>
      <c r="I25" s="559"/>
      <c r="J25" s="559"/>
      <c r="K25" s="559"/>
      <c r="L25" s="560"/>
      <c r="M25" s="73"/>
    </row>
    <row r="26" spans="1:72" ht="15" customHeight="1" x14ac:dyDescent="0.15">
      <c r="A26" s="2160"/>
      <c r="B26" s="2151" t="s">
        <v>731</v>
      </c>
      <c r="C26" s="2152"/>
      <c r="D26" s="551">
        <f t="shared" si="3"/>
        <v>28</v>
      </c>
      <c r="E26" s="558">
        <v>28</v>
      </c>
      <c r="F26" s="559"/>
      <c r="G26" s="559"/>
      <c r="H26" s="559"/>
      <c r="I26" s="559"/>
      <c r="J26" s="559"/>
      <c r="K26" s="559"/>
      <c r="L26" s="560"/>
    </row>
    <row r="27" spans="1:72" ht="15" customHeight="1" x14ac:dyDescent="0.15">
      <c r="A27" s="2158"/>
      <c r="B27" s="2155" t="s">
        <v>550</v>
      </c>
      <c r="C27" s="2156"/>
      <c r="D27" s="550">
        <f t="shared" si="3"/>
        <v>18</v>
      </c>
      <c r="E27" s="555">
        <v>18</v>
      </c>
      <c r="F27" s="556"/>
      <c r="G27" s="556"/>
      <c r="H27" s="556"/>
      <c r="I27" s="556"/>
      <c r="J27" s="556"/>
      <c r="K27" s="556"/>
      <c r="L27" s="557"/>
    </row>
    <row r="28" spans="1:72" ht="15" customHeight="1" x14ac:dyDescent="0.15">
      <c r="A28" s="2159" t="s">
        <v>732</v>
      </c>
      <c r="B28" s="2153" t="s">
        <v>733</v>
      </c>
      <c r="C28" s="2154"/>
      <c r="D28" s="552">
        <f t="shared" si="3"/>
        <v>0</v>
      </c>
      <c r="E28" s="561">
        <v>0</v>
      </c>
      <c r="F28" s="562"/>
      <c r="G28" s="562"/>
      <c r="H28" s="562"/>
      <c r="I28" s="562"/>
      <c r="J28" s="562"/>
      <c r="K28" s="562"/>
      <c r="L28" s="563"/>
    </row>
    <row r="29" spans="1:72" ht="15" customHeight="1" x14ac:dyDescent="0.15">
      <c r="A29" s="2160"/>
      <c r="B29" s="2151" t="s">
        <v>734</v>
      </c>
      <c r="C29" s="2152"/>
      <c r="D29" s="551">
        <f t="shared" si="3"/>
        <v>0</v>
      </c>
      <c r="E29" s="558">
        <v>0</v>
      </c>
      <c r="F29" s="559"/>
      <c r="G29" s="559"/>
      <c r="H29" s="559"/>
      <c r="I29" s="559"/>
      <c r="J29" s="559"/>
      <c r="K29" s="559"/>
      <c r="L29" s="564"/>
    </row>
    <row r="30" spans="1:72" ht="15" customHeight="1" x14ac:dyDescent="0.15">
      <c r="A30" s="2160"/>
      <c r="B30" s="2151" t="s">
        <v>735</v>
      </c>
      <c r="C30" s="2152"/>
      <c r="D30" s="551">
        <f t="shared" si="3"/>
        <v>0</v>
      </c>
      <c r="E30" s="558">
        <v>0</v>
      </c>
      <c r="F30" s="559"/>
      <c r="G30" s="559"/>
      <c r="H30" s="559"/>
      <c r="I30" s="559"/>
      <c r="J30" s="559"/>
      <c r="K30" s="559"/>
      <c r="L30" s="564"/>
    </row>
    <row r="31" spans="1:72" ht="15" customHeight="1" x14ac:dyDescent="0.15">
      <c r="A31" s="2160"/>
      <c r="B31" s="2151" t="s">
        <v>736</v>
      </c>
      <c r="C31" s="2152"/>
      <c r="D31" s="551">
        <f t="shared" si="3"/>
        <v>0</v>
      </c>
      <c r="E31" s="558">
        <v>0</v>
      </c>
      <c r="F31" s="559"/>
      <c r="G31" s="559"/>
      <c r="H31" s="559"/>
      <c r="I31" s="559"/>
      <c r="J31" s="559"/>
      <c r="K31" s="559"/>
      <c r="L31" s="564"/>
    </row>
    <row r="32" spans="1:72" ht="15" customHeight="1" x14ac:dyDescent="0.15">
      <c r="A32" s="2158"/>
      <c r="B32" s="2155" t="s">
        <v>737</v>
      </c>
      <c r="C32" s="2156"/>
      <c r="D32" s="550">
        <f t="shared" si="3"/>
        <v>0</v>
      </c>
      <c r="E32" s="555">
        <v>0</v>
      </c>
      <c r="F32" s="556"/>
      <c r="G32" s="556"/>
      <c r="H32" s="556"/>
      <c r="I32" s="556"/>
      <c r="J32" s="556"/>
      <c r="K32" s="556"/>
      <c r="L32" s="565"/>
    </row>
    <row r="49" spans="1:2" ht="12" hidden="1" customHeight="1" x14ac:dyDescent="0.15">
      <c r="A49" s="1479">
        <f>SUM(B10:B14,B17:B21,D24:D32)</f>
        <v>450</v>
      </c>
      <c r="B49" s="189" t="s">
        <v>211</v>
      </c>
    </row>
    <row r="50" spans="1:2" ht="12" hidden="1" customHeight="1" x14ac:dyDescent="0.15">
      <c r="A50" s="1479">
        <f>SUM(BM11:BT18)</f>
        <v>0</v>
      </c>
      <c r="B50" s="189" t="s">
        <v>212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81" zoomScaleNormal="100" workbookViewId="0">
      <selection activeCell="D72" sqref="D72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</row>
    <row r="4" spans="1:46" ht="13.5" customHeight="1" x14ac:dyDescent="0.15">
      <c r="A4" s="32" t="str">
        <f>CONCATENATE("MES: ",NOMBRE!$B$6,"   ","( ",NOMBRE!$C$6,NOMBRE!$D$6," )")</f>
        <v>MES: JUNIO   ( 06 )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170" t="s">
        <v>738</v>
      </c>
      <c r="B7" s="2170"/>
      <c r="C7" s="2170"/>
      <c r="D7" s="2170"/>
      <c r="E7" s="2170"/>
      <c r="F7" s="2170"/>
      <c r="G7" s="2170"/>
      <c r="H7" s="2170"/>
      <c r="I7" s="2170"/>
      <c r="J7" s="2170"/>
      <c r="K7" s="2170"/>
      <c r="L7" s="2170"/>
      <c r="M7" s="2170"/>
      <c r="N7" s="2170"/>
      <c r="O7" s="2170"/>
      <c r="P7" s="2170"/>
      <c r="Q7" s="2170"/>
      <c r="S7" s="567"/>
      <c r="T7" s="567"/>
    </row>
    <row r="9" spans="1:46" ht="17.100000000000001" customHeight="1" x14ac:dyDescent="0.15">
      <c r="A9" s="2171" t="s">
        <v>739</v>
      </c>
      <c r="B9" s="2171"/>
      <c r="C9" s="2171"/>
      <c r="D9" s="2171"/>
      <c r="E9" s="2171"/>
      <c r="F9" s="2171"/>
      <c r="G9" s="2171"/>
      <c r="H9" s="2171"/>
      <c r="I9" s="2171"/>
      <c r="J9" s="2171"/>
      <c r="K9" s="2171"/>
      <c r="L9" s="2171"/>
      <c r="M9" s="2171"/>
      <c r="N9" s="2171"/>
      <c r="O9" s="2171"/>
      <c r="P9" s="2171"/>
      <c r="Q9" s="2171"/>
      <c r="AJ9" s="1885" t="s">
        <v>628</v>
      </c>
      <c r="AK9" s="1803"/>
      <c r="AL9" s="1713" t="s">
        <v>629</v>
      </c>
      <c r="AM9" s="1656"/>
    </row>
    <row r="10" spans="1:46" ht="21" customHeight="1" x14ac:dyDescent="0.15">
      <c r="A10" s="2177" t="s">
        <v>740</v>
      </c>
      <c r="B10" s="2178"/>
      <c r="C10" s="1946" t="s">
        <v>54</v>
      </c>
      <c r="D10" s="1946"/>
      <c r="E10" s="1946"/>
      <c r="F10" s="1946" t="s">
        <v>322</v>
      </c>
      <c r="G10" s="1946"/>
      <c r="H10" s="1946"/>
      <c r="I10" s="1946" t="s">
        <v>741</v>
      </c>
      <c r="J10" s="1946"/>
      <c r="K10" s="2181"/>
      <c r="L10" s="2184" t="s">
        <v>742</v>
      </c>
      <c r="M10" s="1946"/>
      <c r="N10" s="1946"/>
      <c r="O10" s="1946" t="s">
        <v>57</v>
      </c>
      <c r="P10" s="1946"/>
      <c r="Q10" s="1946"/>
      <c r="AJ10" s="1427" t="s">
        <v>743</v>
      </c>
      <c r="AK10" s="1427" t="s">
        <v>744</v>
      </c>
      <c r="AL10" s="1427" t="s">
        <v>743</v>
      </c>
      <c r="AM10" s="1427" t="s">
        <v>744</v>
      </c>
    </row>
    <row r="11" spans="1:46" ht="21" x14ac:dyDescent="0.15">
      <c r="A11" s="2179"/>
      <c r="B11" s="2180"/>
      <c r="C11" s="1492" t="s">
        <v>231</v>
      </c>
      <c r="D11" s="1542" t="s">
        <v>91</v>
      </c>
      <c r="E11" s="1541" t="s">
        <v>232</v>
      </c>
      <c r="F11" s="1492" t="s">
        <v>415</v>
      </c>
      <c r="G11" s="1542" t="s">
        <v>91</v>
      </c>
      <c r="H11" s="1541" t="s">
        <v>232</v>
      </c>
      <c r="I11" s="1492" t="s">
        <v>415</v>
      </c>
      <c r="J11" s="1542" t="s">
        <v>91</v>
      </c>
      <c r="K11" s="1543" t="s">
        <v>232</v>
      </c>
      <c r="L11" s="1541" t="s">
        <v>415</v>
      </c>
      <c r="M11" s="1542" t="s">
        <v>91</v>
      </c>
      <c r="N11" s="1541" t="s">
        <v>232</v>
      </c>
      <c r="O11" s="1492" t="s">
        <v>415</v>
      </c>
      <c r="P11" s="1542" t="s">
        <v>91</v>
      </c>
      <c r="Q11" s="1541" t="s">
        <v>232</v>
      </c>
    </row>
    <row r="12" spans="1:46" ht="15" customHeight="1" x14ac:dyDescent="0.15">
      <c r="A12" s="2175" t="s">
        <v>745</v>
      </c>
      <c r="B12" s="2176"/>
      <c r="C12" s="1544">
        <f>SUM(D12:E12)</f>
        <v>5</v>
      </c>
      <c r="D12" s="1545">
        <f>+G12+J12</f>
        <v>3</v>
      </c>
      <c r="E12" s="1546">
        <f>+H12+K12</f>
        <v>2</v>
      </c>
      <c r="F12" s="1544">
        <f>SUM(G12:H12)</f>
        <v>3</v>
      </c>
      <c r="G12" s="1547">
        <v>2</v>
      </c>
      <c r="H12" s="1548">
        <v>1</v>
      </c>
      <c r="I12" s="1544">
        <f>SUM(J12:K12)</f>
        <v>2</v>
      </c>
      <c r="J12" s="1547">
        <v>1</v>
      </c>
      <c r="K12" s="1549">
        <v>1</v>
      </c>
      <c r="L12" s="1546">
        <f>SUM(M12:N12)</f>
        <v>1</v>
      </c>
      <c r="M12" s="1547">
        <v>0</v>
      </c>
      <c r="N12" s="1548">
        <v>1</v>
      </c>
      <c r="O12" s="1544">
        <f>SUM(P12:Q12)</f>
        <v>0</v>
      </c>
      <c r="P12" s="1547">
        <v>0</v>
      </c>
      <c r="Q12" s="1548">
        <v>0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48">
        <f>IF(AND($D12&gt;0,OR(M12="")),1,IF(M12&gt;$D12,1,0))</f>
        <v>0</v>
      </c>
      <c r="AR12" s="1048">
        <f>IF(AND($E12&gt;0,OR(N12="")),1,IF(N12&gt;$E12,1,0))</f>
        <v>0</v>
      </c>
      <c r="AS12" s="1048">
        <f>IF(AND($D12&gt;0,OR(P12="")),1,IF(P12&gt;$D12,1,0))</f>
        <v>0</v>
      </c>
      <c r="AT12" s="1048">
        <f>IF(AND($E12&gt;0,OR(Q12="")),1,IF(Q12&gt;$E12,1,0))</f>
        <v>0</v>
      </c>
    </row>
    <row r="13" spans="1:46" ht="17.100000000000001" customHeight="1" x14ac:dyDescent="0.15">
      <c r="A13" s="2172" t="s">
        <v>746</v>
      </c>
      <c r="B13" s="2172"/>
      <c r="C13" s="2172"/>
      <c r="D13" s="2172"/>
      <c r="E13" s="2172"/>
      <c r="F13" s="2172"/>
      <c r="G13" s="2172"/>
      <c r="H13" s="2172"/>
      <c r="I13" s="2172"/>
      <c r="J13" s="2172"/>
      <c r="K13" s="2172"/>
      <c r="L13" s="2172"/>
      <c r="M13" s="2172"/>
      <c r="N13" s="2172"/>
      <c r="O13" s="2172"/>
      <c r="P13" s="2172"/>
      <c r="Q13" s="2172"/>
    </row>
    <row r="14" spans="1:46" s="172" customFormat="1" ht="27" customHeight="1" x14ac:dyDescent="0.15">
      <c r="A14" s="2206" t="s">
        <v>747</v>
      </c>
      <c r="B14" s="2207"/>
      <c r="C14" s="2182" t="s">
        <v>54</v>
      </c>
      <c r="D14" s="2183"/>
      <c r="E14" s="2184"/>
      <c r="F14" s="2182" t="s">
        <v>748</v>
      </c>
      <c r="G14" s="2183"/>
      <c r="H14" s="2184"/>
      <c r="I14" s="2182" t="s">
        <v>741</v>
      </c>
      <c r="J14" s="2183"/>
      <c r="K14" s="2183"/>
      <c r="L14" s="2190" t="s">
        <v>742</v>
      </c>
      <c r="M14" s="2183"/>
      <c r="N14" s="2184"/>
      <c r="O14" s="2183" t="s">
        <v>57</v>
      </c>
      <c r="P14" s="2183"/>
      <c r="Q14" s="2184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208"/>
      <c r="B15" s="2209"/>
      <c r="C15" s="1492" t="s">
        <v>231</v>
      </c>
      <c r="D15" s="1542" t="s">
        <v>91</v>
      </c>
      <c r="E15" s="1551" t="s">
        <v>232</v>
      </c>
      <c r="F15" s="1542" t="s">
        <v>415</v>
      </c>
      <c r="G15" s="1542" t="s">
        <v>91</v>
      </c>
      <c r="H15" s="1551" t="s">
        <v>232</v>
      </c>
      <c r="I15" s="1542" t="s">
        <v>415</v>
      </c>
      <c r="J15" s="1542" t="s">
        <v>91</v>
      </c>
      <c r="K15" s="1550" t="s">
        <v>232</v>
      </c>
      <c r="L15" s="168" t="s">
        <v>415</v>
      </c>
      <c r="M15" s="1542" t="s">
        <v>91</v>
      </c>
      <c r="N15" s="1541" t="s">
        <v>232</v>
      </c>
      <c r="O15" s="1551" t="s">
        <v>415</v>
      </c>
      <c r="P15" s="1542" t="s">
        <v>91</v>
      </c>
      <c r="Q15" s="1541" t="s">
        <v>232</v>
      </c>
      <c r="S15" s="6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23" t="s">
        <v>258</v>
      </c>
      <c r="B16" s="1309" t="s">
        <v>749</v>
      </c>
      <c r="C16" s="235">
        <f t="shared" ref="C16:C42" si="0">SUM(D16:E16)</f>
        <v>1</v>
      </c>
      <c r="D16" s="236">
        <f>+G16+J16</f>
        <v>1</v>
      </c>
      <c r="E16" s="237">
        <f t="shared" ref="E16:E42" si="1">+H16+K16</f>
        <v>0</v>
      </c>
      <c r="F16" s="235">
        <f>SUM(G16:H16)</f>
        <v>1</v>
      </c>
      <c r="G16" s="144">
        <v>1</v>
      </c>
      <c r="H16" s="145">
        <v>0</v>
      </c>
      <c r="I16" s="235">
        <f>SUM(J16:K16)</f>
        <v>0</v>
      </c>
      <c r="J16" s="144">
        <v>0</v>
      </c>
      <c r="K16" s="145">
        <v>0</v>
      </c>
      <c r="L16" s="238">
        <f>SUM(M16:N16)</f>
        <v>0</v>
      </c>
      <c r="M16" s="144">
        <v>0</v>
      </c>
      <c r="N16" s="145">
        <v>0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48">
        <f t="shared" ref="AQ16:AQ18" si="5">IF(AND($D16&gt;0,OR(M16="")),1,IF(M16&gt;$D16,1,0))</f>
        <v>0</v>
      </c>
      <c r="AR16" s="1048">
        <f t="shared" ref="AR16:AR18" si="6">IF(AND($E16&gt;0,OR(N16="")),1,IF(N16&gt;$E16,1,0))</f>
        <v>0</v>
      </c>
      <c r="AS16" s="1048">
        <f t="shared" ref="AS16:AS18" si="7">IF(AND($D16&gt;0,OR(P16="")),1,IF(P16&gt;$D16,1,0))</f>
        <v>0</v>
      </c>
      <c r="AT16" s="1048">
        <f t="shared" ref="AT16:AT18" si="8">IF(AND($E16&gt;0,OR(Q16="")),1,IF(Q16&gt;$E16,1,0))</f>
        <v>0</v>
      </c>
    </row>
    <row r="17" spans="1:46" s="172" customFormat="1" ht="15" customHeight="1" x14ac:dyDescent="0.25">
      <c r="A17" s="1723"/>
      <c r="B17" s="113" t="s">
        <v>750</v>
      </c>
      <c r="C17" s="240">
        <f t="shared" si="0"/>
        <v>2</v>
      </c>
      <c r="D17" s="241">
        <f t="shared" ref="D17:D22" si="9">+G17+J17</f>
        <v>1</v>
      </c>
      <c r="E17" s="237">
        <f>+H17+K17</f>
        <v>1</v>
      </c>
      <c r="F17" s="240">
        <f>SUM(G17:H17)</f>
        <v>1</v>
      </c>
      <c r="G17" s="146">
        <v>1</v>
      </c>
      <c r="H17" s="147">
        <v>0</v>
      </c>
      <c r="I17" s="240">
        <f>SUM(J17:K17)</f>
        <v>1</v>
      </c>
      <c r="J17" s="146">
        <v>0</v>
      </c>
      <c r="K17" s="147">
        <v>1</v>
      </c>
      <c r="L17" s="242">
        <f>SUM(M17:N17)</f>
        <v>1</v>
      </c>
      <c r="M17" s="146">
        <v>0</v>
      </c>
      <c r="N17" s="147">
        <v>1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48">
        <f t="shared" si="5"/>
        <v>0</v>
      </c>
      <c r="AR17" s="1048">
        <f t="shared" si="6"/>
        <v>0</v>
      </c>
      <c r="AS17" s="1048">
        <f t="shared" si="7"/>
        <v>0</v>
      </c>
      <c r="AT17" s="1048">
        <f t="shared" si="8"/>
        <v>0</v>
      </c>
    </row>
    <row r="18" spans="1:46" s="172" customFormat="1" ht="15" customHeight="1" x14ac:dyDescent="0.15">
      <c r="A18" s="1723"/>
      <c r="B18" s="114" t="s">
        <v>751</v>
      </c>
      <c r="C18" s="244">
        <f t="shared" si="0"/>
        <v>2</v>
      </c>
      <c r="D18" s="245">
        <f t="shared" si="9"/>
        <v>1</v>
      </c>
      <c r="E18" s="246">
        <f t="shared" si="1"/>
        <v>1</v>
      </c>
      <c r="F18" s="244">
        <f>SUM(G18:H18)</f>
        <v>1</v>
      </c>
      <c r="G18" s="148">
        <v>0</v>
      </c>
      <c r="H18" s="149">
        <v>1</v>
      </c>
      <c r="I18" s="244">
        <f>SUM(J18:K18)</f>
        <v>1</v>
      </c>
      <c r="J18" s="148">
        <v>1</v>
      </c>
      <c r="K18" s="149">
        <v>0</v>
      </c>
      <c r="L18" s="247">
        <f>SUM(M18:N18)</f>
        <v>0</v>
      </c>
      <c r="M18" s="148">
        <v>0</v>
      </c>
      <c r="N18" s="149">
        <v>0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48">
        <f t="shared" si="5"/>
        <v>0</v>
      </c>
      <c r="AR18" s="1048">
        <f t="shared" si="6"/>
        <v>0</v>
      </c>
      <c r="AS18" s="1048">
        <f t="shared" si="7"/>
        <v>0</v>
      </c>
      <c r="AT18" s="1048">
        <f t="shared" si="8"/>
        <v>0</v>
      </c>
    </row>
    <row r="19" spans="1:46" s="172" customFormat="1" ht="15" customHeight="1" x14ac:dyDescent="0.15">
      <c r="A19" s="1723"/>
      <c r="B19" s="115" t="s">
        <v>752</v>
      </c>
      <c r="C19" s="248">
        <f t="shared" si="0"/>
        <v>5</v>
      </c>
      <c r="D19" s="249">
        <f>+G19+J19</f>
        <v>3</v>
      </c>
      <c r="E19" s="250">
        <f>+H19+K19</f>
        <v>2</v>
      </c>
      <c r="F19" s="248">
        <f t="shared" ref="F19:Q19" si="12">SUM(F16:F18)</f>
        <v>3</v>
      </c>
      <c r="G19" s="249">
        <f t="shared" si="12"/>
        <v>2</v>
      </c>
      <c r="H19" s="250">
        <f t="shared" si="12"/>
        <v>1</v>
      </c>
      <c r="I19" s="248">
        <f t="shared" si="12"/>
        <v>2</v>
      </c>
      <c r="J19" s="249">
        <f t="shared" si="12"/>
        <v>1</v>
      </c>
      <c r="K19" s="251">
        <f t="shared" si="12"/>
        <v>1</v>
      </c>
      <c r="L19" s="252">
        <f t="shared" si="12"/>
        <v>1</v>
      </c>
      <c r="M19" s="249">
        <f t="shared" si="12"/>
        <v>0</v>
      </c>
      <c r="N19" s="250">
        <f t="shared" si="12"/>
        <v>1</v>
      </c>
      <c r="O19" s="250">
        <f t="shared" si="12"/>
        <v>0</v>
      </c>
      <c r="P19" s="249">
        <f t="shared" si="12"/>
        <v>0</v>
      </c>
      <c r="Q19" s="253">
        <f t="shared" si="12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23"/>
      <c r="B20" s="1310" t="s">
        <v>753</v>
      </c>
      <c r="C20" s="235">
        <f t="shared" si="0"/>
        <v>0</v>
      </c>
      <c r="D20" s="236">
        <f t="shared" si="9"/>
        <v>0</v>
      </c>
      <c r="E20" s="237">
        <f t="shared" si="1"/>
        <v>0</v>
      </c>
      <c r="F20" s="235">
        <f>SUM(G20:H20)</f>
        <v>0</v>
      </c>
      <c r="G20" s="134">
        <v>0</v>
      </c>
      <c r="H20" s="135">
        <v>0</v>
      </c>
      <c r="I20" s="235">
        <f>SUM(J20:K20)</f>
        <v>0</v>
      </c>
      <c r="J20" s="134">
        <v>0</v>
      </c>
      <c r="K20" s="156">
        <v>0</v>
      </c>
      <c r="L20" s="254">
        <f>SUM(M20:N20)</f>
        <v>0</v>
      </c>
      <c r="M20" s="134">
        <v>0</v>
      </c>
      <c r="N20" s="135">
        <v>0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48">
        <f>IF(AND($D20&gt;0,OR(M20="")),1,IF(M20&gt;$D20,1,0))</f>
        <v>0</v>
      </c>
      <c r="AR20" s="1048">
        <f>IF(AND($E20&gt;0,OR(N20="")),1,IF(N20&gt;$E20,1,0))</f>
        <v>0</v>
      </c>
      <c r="AS20" s="1048">
        <f>IF(AND($D20&gt;0,OR(P20="")),1,IF(P20&gt;$D20,1,0))</f>
        <v>0</v>
      </c>
      <c r="AT20" s="1048">
        <f>IF(AND($E20&gt;0,OR(Q20="")),1,IF(Q20&gt;$E20,1,0))</f>
        <v>0</v>
      </c>
    </row>
    <row r="21" spans="1:46" s="172" customFormat="1" ht="15" customHeight="1" x14ac:dyDescent="0.15">
      <c r="A21" s="1723"/>
      <c r="B21" s="62" t="s">
        <v>754</v>
      </c>
      <c r="C21" s="255">
        <f t="shared" si="0"/>
        <v>0</v>
      </c>
      <c r="D21" s="256">
        <f t="shared" si="9"/>
        <v>0</v>
      </c>
      <c r="E21" s="151">
        <f t="shared" si="1"/>
        <v>0</v>
      </c>
      <c r="F21" s="255">
        <f>SUM(G21:H21)</f>
        <v>0</v>
      </c>
      <c r="G21" s="136">
        <v>0</v>
      </c>
      <c r="H21" s="137">
        <v>0</v>
      </c>
      <c r="I21" s="255">
        <f>SUM(J21:K21)</f>
        <v>0</v>
      </c>
      <c r="J21" s="136">
        <v>0</v>
      </c>
      <c r="K21" s="167">
        <v>0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48">
        <f>IF(AND($D21&gt;0,OR(M21="")),1,IF(M21&gt;$D21,1,0))</f>
        <v>0</v>
      </c>
      <c r="AR21" s="1048">
        <f>IF(AND($E21&gt;0,OR(N21="")),1,IF(N21&gt;$E21,1,0))</f>
        <v>0</v>
      </c>
      <c r="AS21" s="1048">
        <f>IF(AND($D21&gt;0,OR(P21="")),1,IF(P21&gt;$D21,1,0))</f>
        <v>0</v>
      </c>
      <c r="AT21" s="1048">
        <f>IF(AND($E21&gt;0,OR(Q21="")),1,IF(Q21&gt;$E21,1,0))</f>
        <v>0</v>
      </c>
    </row>
    <row r="22" spans="1:46" s="172" customFormat="1" ht="15" customHeight="1" x14ac:dyDescent="0.15">
      <c r="A22" s="1723"/>
      <c r="B22" s="1430" t="s">
        <v>752</v>
      </c>
      <c r="C22" s="1544">
        <f t="shared" si="0"/>
        <v>0</v>
      </c>
      <c r="D22" s="1545">
        <f t="shared" si="9"/>
        <v>0</v>
      </c>
      <c r="E22" s="1546">
        <f t="shared" si="1"/>
        <v>0</v>
      </c>
      <c r="F22" s="1544">
        <f t="shared" ref="F22:K22" si="13">SUM(F20:F21)</f>
        <v>0</v>
      </c>
      <c r="G22" s="1545">
        <f>SUM(G20:G21)</f>
        <v>0</v>
      </c>
      <c r="H22" s="1546">
        <f>SUM(H20:H21)</f>
        <v>0</v>
      </c>
      <c r="I22" s="1544">
        <f t="shared" si="13"/>
        <v>0</v>
      </c>
      <c r="J22" s="1545">
        <f t="shared" si="13"/>
        <v>0</v>
      </c>
      <c r="K22" s="1552">
        <f t="shared" si="13"/>
        <v>0</v>
      </c>
      <c r="L22" s="234">
        <f t="shared" ref="L22:Q22" si="14">SUM(L20:L21)</f>
        <v>0</v>
      </c>
      <c r="M22" s="1545">
        <f t="shared" si="14"/>
        <v>0</v>
      </c>
      <c r="N22" s="1546">
        <f t="shared" si="14"/>
        <v>0</v>
      </c>
      <c r="O22" s="1546">
        <f t="shared" si="14"/>
        <v>0</v>
      </c>
      <c r="P22" s="1545">
        <f t="shared" si="14"/>
        <v>0</v>
      </c>
      <c r="Q22" s="1221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24"/>
      <c r="B23" s="1449" t="s">
        <v>755</v>
      </c>
      <c r="C23" s="1544">
        <f t="shared" si="0"/>
        <v>0</v>
      </c>
      <c r="D23" s="1545">
        <f>+G23+J23</f>
        <v>0</v>
      </c>
      <c r="E23" s="1546">
        <f t="shared" si="1"/>
        <v>0</v>
      </c>
      <c r="F23" s="1544">
        <f>SUM(G23:H23)</f>
        <v>0</v>
      </c>
      <c r="G23" s="1553">
        <v>0</v>
      </c>
      <c r="H23" s="1222">
        <v>0</v>
      </c>
      <c r="I23" s="1544">
        <f>SUM(J23:K23)</f>
        <v>0</v>
      </c>
      <c r="J23" s="1553">
        <v>0</v>
      </c>
      <c r="K23" s="165">
        <v>0</v>
      </c>
      <c r="L23" s="234">
        <f>SUM(M23:N23)</f>
        <v>0</v>
      </c>
      <c r="M23" s="1553">
        <v>0</v>
      </c>
      <c r="N23" s="1222">
        <v>0</v>
      </c>
      <c r="O23" s="1546">
        <f>SUM(P23:Q23)</f>
        <v>0</v>
      </c>
      <c r="P23" s="1553">
        <v>0</v>
      </c>
      <c r="Q23" s="1222">
        <v>0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75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48">
        <f t="shared" ref="AQ23:AQ25" si="18">IF(AND($D23&gt;0,OR(M23="")),1,IF(M23&gt;$D23,1,0))</f>
        <v>0</v>
      </c>
      <c r="AR23" s="1048">
        <f t="shared" ref="AR23:AR25" si="19">IF(AND($E23&gt;0,OR(N23="")),1,IF(N23&gt;$E23,1,0))</f>
        <v>0</v>
      </c>
      <c r="AS23" s="1048">
        <f t="shared" ref="AS23:AS25" si="20">IF(AND($D23&gt;0,OR(P23="")),1,IF(P23&gt;$D23,1,0))</f>
        <v>0</v>
      </c>
      <c r="AT23" s="1048">
        <f t="shared" ref="AT23:AT25" si="21">IF(AND($E23&gt;0,OR(Q23="")),1,IF(Q23&gt;$E23,1,0))</f>
        <v>0</v>
      </c>
    </row>
    <row r="24" spans="1:46" s="172" customFormat="1" ht="15" customHeight="1" x14ac:dyDescent="0.15">
      <c r="A24" s="1725" t="s">
        <v>240</v>
      </c>
      <c r="B24" s="1554" t="s">
        <v>756</v>
      </c>
      <c r="C24" s="138">
        <f t="shared" si="0"/>
        <v>0</v>
      </c>
      <c r="D24" s="236">
        <f t="shared" ref="D24:D39" si="22">+G24+J24</f>
        <v>0</v>
      </c>
      <c r="E24" s="237">
        <f t="shared" si="1"/>
        <v>0</v>
      </c>
      <c r="F24" s="138">
        <f>SUM(G24:H24)</f>
        <v>0</v>
      </c>
      <c r="G24" s="134">
        <v>0</v>
      </c>
      <c r="H24" s="135">
        <v>0</v>
      </c>
      <c r="I24" s="138">
        <f>SUM(J24:K24)</f>
        <v>0</v>
      </c>
      <c r="J24" s="134">
        <v>0</v>
      </c>
      <c r="K24" s="156">
        <v>0</v>
      </c>
      <c r="L24" s="771">
        <f>SUM(M24:N24)</f>
        <v>0</v>
      </c>
      <c r="M24" s="134">
        <v>0</v>
      </c>
      <c r="N24" s="135">
        <v>0</v>
      </c>
      <c r="O24" s="772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75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48">
        <f t="shared" si="18"/>
        <v>0</v>
      </c>
      <c r="AR24" s="1048">
        <f t="shared" si="19"/>
        <v>0</v>
      </c>
      <c r="AS24" s="1048">
        <f t="shared" si="20"/>
        <v>0</v>
      </c>
      <c r="AT24" s="1048">
        <f t="shared" si="21"/>
        <v>0</v>
      </c>
    </row>
    <row r="25" spans="1:46" s="172" customFormat="1" ht="15" customHeight="1" x14ac:dyDescent="0.15">
      <c r="A25" s="1723"/>
      <c r="B25" s="113" t="s">
        <v>757</v>
      </c>
      <c r="C25" s="139">
        <f t="shared" si="0"/>
        <v>0</v>
      </c>
      <c r="D25" s="256">
        <f t="shared" si="22"/>
        <v>0</v>
      </c>
      <c r="E25" s="151">
        <f t="shared" si="1"/>
        <v>0</v>
      </c>
      <c r="F25" s="139">
        <f>SUM(G25:H25)</f>
        <v>0</v>
      </c>
      <c r="G25" s="148">
        <v>0</v>
      </c>
      <c r="H25" s="149">
        <v>0</v>
      </c>
      <c r="I25" s="185">
        <f>SUM(J25:K25)</f>
        <v>0</v>
      </c>
      <c r="J25" s="148">
        <v>0</v>
      </c>
      <c r="K25" s="157">
        <v>0</v>
      </c>
      <c r="L25" s="773">
        <f>SUM(M25:N25)</f>
        <v>0</v>
      </c>
      <c r="M25" s="148">
        <v>0</v>
      </c>
      <c r="N25" s="149">
        <v>0</v>
      </c>
      <c r="O25" s="774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75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48">
        <f t="shared" si="18"/>
        <v>0</v>
      </c>
      <c r="AR25" s="1048">
        <f t="shared" si="19"/>
        <v>0</v>
      </c>
      <c r="AS25" s="1048">
        <f t="shared" si="20"/>
        <v>0</v>
      </c>
      <c r="AT25" s="1048">
        <f t="shared" si="21"/>
        <v>0</v>
      </c>
    </row>
    <row r="26" spans="1:46" s="172" customFormat="1" ht="15" customHeight="1" x14ac:dyDescent="0.15">
      <c r="A26" s="1723"/>
      <c r="B26" s="1555" t="s">
        <v>752</v>
      </c>
      <c r="C26" s="1440">
        <f t="shared" si="0"/>
        <v>0</v>
      </c>
      <c r="D26" s="1545">
        <f t="shared" si="22"/>
        <v>0</v>
      </c>
      <c r="E26" s="1546">
        <f t="shared" si="1"/>
        <v>0</v>
      </c>
      <c r="F26" s="1544">
        <f t="shared" ref="F26:Q26" si="23">SUM(F24:F25)</f>
        <v>0</v>
      </c>
      <c r="G26" s="1545">
        <f>SUM(G24:G25)</f>
        <v>0</v>
      </c>
      <c r="H26" s="1546">
        <f>SUM(H24:H25)</f>
        <v>0</v>
      </c>
      <c r="I26" s="1544">
        <f>SUM(I24:I25)</f>
        <v>0</v>
      </c>
      <c r="J26" s="1545">
        <f t="shared" si="23"/>
        <v>0</v>
      </c>
      <c r="K26" s="1552">
        <f t="shared" si="23"/>
        <v>0</v>
      </c>
      <c r="L26" s="234">
        <f>SUM(L24:L25)</f>
        <v>0</v>
      </c>
      <c r="M26" s="1545">
        <f t="shared" si="23"/>
        <v>0</v>
      </c>
      <c r="N26" s="1546">
        <f t="shared" si="23"/>
        <v>0</v>
      </c>
      <c r="O26" s="1546">
        <f>SUM(O24:O25)</f>
        <v>0</v>
      </c>
      <c r="P26" s="1545">
        <f t="shared" si="23"/>
        <v>0</v>
      </c>
      <c r="Q26" s="1221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23"/>
      <c r="B27" s="1309" t="s">
        <v>758</v>
      </c>
      <c r="C27" s="138">
        <f t="shared" si="0"/>
        <v>1</v>
      </c>
      <c r="D27" s="236">
        <f t="shared" si="22"/>
        <v>1</v>
      </c>
      <c r="E27" s="237">
        <f t="shared" si="1"/>
        <v>0</v>
      </c>
      <c r="F27" s="138">
        <f>SUM(G27:H27)</f>
        <v>1</v>
      </c>
      <c r="G27" s="134">
        <v>1</v>
      </c>
      <c r="H27" s="135">
        <v>0</v>
      </c>
      <c r="I27" s="138">
        <f>SUM(J27:K27)</f>
        <v>0</v>
      </c>
      <c r="J27" s="134">
        <v>0</v>
      </c>
      <c r="K27" s="159">
        <v>0</v>
      </c>
      <c r="L27" s="771">
        <f>SUM(M27:N27)</f>
        <v>0</v>
      </c>
      <c r="M27" s="134">
        <v>0</v>
      </c>
      <c r="N27" s="135">
        <v>0</v>
      </c>
      <c r="O27" s="772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75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48">
        <f t="shared" ref="AQ27:AQ28" si="27">IF(AND($D27&gt;0,OR(M27="")),1,IF(M27&gt;$D27,1,0))</f>
        <v>0</v>
      </c>
      <c r="AR27" s="1048">
        <f t="shared" ref="AR27:AR28" si="28">IF(AND($E27&gt;0,OR(N27="")),1,IF(N27&gt;$E27,1,0))</f>
        <v>0</v>
      </c>
      <c r="AS27" s="1048">
        <f t="shared" ref="AS27:AS28" si="29">IF(AND($D27&gt;0,OR(P27="")),1,IF(P27&gt;$D27,1,0))</f>
        <v>0</v>
      </c>
      <c r="AT27" s="1048">
        <f t="shared" ref="AT27:AT28" si="30">IF(AND($E27&gt;0,OR(Q27="")),1,IF(Q27&gt;$E27,1,0))</f>
        <v>0</v>
      </c>
    </row>
    <row r="28" spans="1:46" s="172" customFormat="1" ht="15" customHeight="1" x14ac:dyDescent="0.15">
      <c r="A28" s="1723"/>
      <c r="B28" s="117" t="s">
        <v>759</v>
      </c>
      <c r="C28" s="139">
        <f t="shared" si="0"/>
        <v>0</v>
      </c>
      <c r="D28" s="256">
        <f t="shared" si="22"/>
        <v>0</v>
      </c>
      <c r="E28" s="151">
        <f t="shared" si="1"/>
        <v>0</v>
      </c>
      <c r="F28" s="139">
        <f>SUM(G28:H28)</f>
        <v>0</v>
      </c>
      <c r="G28" s="136">
        <v>0</v>
      </c>
      <c r="H28" s="137">
        <v>0</v>
      </c>
      <c r="I28" s="139">
        <f>SUM(J28:K28)</f>
        <v>0</v>
      </c>
      <c r="J28" s="136">
        <v>0</v>
      </c>
      <c r="K28" s="157">
        <v>0</v>
      </c>
      <c r="L28" s="775">
        <f>SUM(M28:N28)</f>
        <v>0</v>
      </c>
      <c r="M28" s="136">
        <v>0</v>
      </c>
      <c r="N28" s="137">
        <v>0</v>
      </c>
      <c r="O28" s="776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75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48">
        <f t="shared" si="27"/>
        <v>0</v>
      </c>
      <c r="AR28" s="1048">
        <f t="shared" si="28"/>
        <v>0</v>
      </c>
      <c r="AS28" s="1048">
        <f t="shared" si="29"/>
        <v>0</v>
      </c>
      <c r="AT28" s="1048">
        <f t="shared" si="30"/>
        <v>0</v>
      </c>
    </row>
    <row r="29" spans="1:46" s="172" customFormat="1" ht="15" customHeight="1" x14ac:dyDescent="0.15">
      <c r="A29" s="1723"/>
      <c r="B29" s="1556" t="s">
        <v>752</v>
      </c>
      <c r="C29" s="1544">
        <f t="shared" si="0"/>
        <v>1</v>
      </c>
      <c r="D29" s="1545">
        <f t="shared" si="22"/>
        <v>1</v>
      </c>
      <c r="E29" s="1546">
        <f t="shared" si="1"/>
        <v>0</v>
      </c>
      <c r="F29" s="1544">
        <f t="shared" ref="F29:Q29" si="31">SUM(F27:F28)</f>
        <v>1</v>
      </c>
      <c r="G29" s="1545">
        <f>SUM(G27:G28)</f>
        <v>1</v>
      </c>
      <c r="H29" s="1546">
        <f t="shared" si="31"/>
        <v>0</v>
      </c>
      <c r="I29" s="1544">
        <f>SUM(I27:I28)</f>
        <v>0</v>
      </c>
      <c r="J29" s="1545">
        <f t="shared" si="31"/>
        <v>0</v>
      </c>
      <c r="K29" s="1552">
        <f t="shared" si="31"/>
        <v>0</v>
      </c>
      <c r="L29" s="234">
        <f t="shared" si="31"/>
        <v>0</v>
      </c>
      <c r="M29" s="1545">
        <f t="shared" si="31"/>
        <v>0</v>
      </c>
      <c r="N29" s="1546">
        <f t="shared" si="31"/>
        <v>0</v>
      </c>
      <c r="O29" s="1546">
        <f>SUM(O27:O28)</f>
        <v>0</v>
      </c>
      <c r="P29" s="1545">
        <f t="shared" si="31"/>
        <v>0</v>
      </c>
      <c r="Q29" s="1221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24"/>
      <c r="B30" s="116" t="s">
        <v>760</v>
      </c>
      <c r="C30" s="777">
        <f t="shared" si="0"/>
        <v>4</v>
      </c>
      <c r="D30" s="249">
        <f t="shared" si="22"/>
        <v>2</v>
      </c>
      <c r="E30" s="250">
        <f>+H30+K30</f>
        <v>2</v>
      </c>
      <c r="F30" s="777">
        <f>SUM(G30:H30)</f>
        <v>2</v>
      </c>
      <c r="G30" s="146">
        <v>1</v>
      </c>
      <c r="H30" s="147">
        <v>1</v>
      </c>
      <c r="I30" s="777">
        <f>SUM(J30:K30)</f>
        <v>2</v>
      </c>
      <c r="J30" s="1553">
        <v>1</v>
      </c>
      <c r="K30" s="165">
        <v>1</v>
      </c>
      <c r="L30" s="778">
        <f>SUM(M30:N30)</f>
        <v>1</v>
      </c>
      <c r="M30" s="1553">
        <v>0</v>
      </c>
      <c r="N30" s="1222">
        <v>1</v>
      </c>
      <c r="O30" s="779">
        <f>SUM(P30:Q30)</f>
        <v>0</v>
      </c>
      <c r="P30" s="1553">
        <v>0</v>
      </c>
      <c r="Q30" s="1222">
        <v>0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75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48">
        <f t="shared" ref="AQ30:AQ33" si="35">IF(AND($D30&gt;0,OR(M30="")),1,IF(M30&gt;$D30,1,0))</f>
        <v>0</v>
      </c>
      <c r="AR30" s="1048">
        <f t="shared" ref="AR30:AR33" si="36">IF(AND($E30&gt;0,OR(N30="")),1,IF(N30&gt;$E30,1,0))</f>
        <v>0</v>
      </c>
      <c r="AS30" s="1048">
        <f t="shared" ref="AS30:AS33" si="37">IF(AND($D30&gt;0,OR(P30="")),1,IF(P30&gt;$D30,1,0))</f>
        <v>0</v>
      </c>
      <c r="AT30" s="1048">
        <f t="shared" ref="AT30:AT33" si="38">IF(AND($E30&gt;0,OR(Q30="")),1,IF(Q30&gt;$E30,1,0))</f>
        <v>0</v>
      </c>
    </row>
    <row r="31" spans="1:46" s="172" customFormat="1" ht="15" customHeight="1" x14ac:dyDescent="0.15">
      <c r="A31" s="1725" t="s">
        <v>761</v>
      </c>
      <c r="B31" s="63" t="s">
        <v>762</v>
      </c>
      <c r="C31" s="138">
        <f t="shared" si="0"/>
        <v>0</v>
      </c>
      <c r="D31" s="236">
        <f t="shared" si="22"/>
        <v>0</v>
      </c>
      <c r="E31" s="237">
        <f t="shared" si="1"/>
        <v>0</v>
      </c>
      <c r="F31" s="138">
        <f>SUM(G31:H31)</f>
        <v>0</v>
      </c>
      <c r="G31" s="144">
        <v>0</v>
      </c>
      <c r="H31" s="145">
        <v>0</v>
      </c>
      <c r="I31" s="186">
        <f>SUM(J31:K31)</f>
        <v>0</v>
      </c>
      <c r="J31" s="144">
        <v>0</v>
      </c>
      <c r="K31" s="159">
        <v>0</v>
      </c>
      <c r="L31" s="780">
        <f>SUM(M31:N31)</f>
        <v>0</v>
      </c>
      <c r="M31" s="144">
        <v>0</v>
      </c>
      <c r="N31" s="145">
        <v>0</v>
      </c>
      <c r="O31" s="781">
        <f>SUM(P31:Q31)</f>
        <v>0</v>
      </c>
      <c r="P31" s="144">
        <v>0</v>
      </c>
      <c r="Q31" s="145">
        <v>0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75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48">
        <f t="shared" si="35"/>
        <v>0</v>
      </c>
      <c r="AR31" s="1048">
        <f t="shared" si="36"/>
        <v>0</v>
      </c>
      <c r="AS31" s="1048">
        <f t="shared" si="37"/>
        <v>0</v>
      </c>
      <c r="AT31" s="1048">
        <f t="shared" si="38"/>
        <v>0</v>
      </c>
    </row>
    <row r="32" spans="1:46" s="172" customFormat="1" ht="15" customHeight="1" x14ac:dyDescent="0.15">
      <c r="A32" s="1723"/>
      <c r="B32" s="118" t="s">
        <v>763</v>
      </c>
      <c r="C32" s="141">
        <f t="shared" si="0"/>
        <v>1</v>
      </c>
      <c r="D32" s="241">
        <f t="shared" si="22"/>
        <v>0</v>
      </c>
      <c r="E32" s="237">
        <f t="shared" si="1"/>
        <v>1</v>
      </c>
      <c r="F32" s="141">
        <f>SUM(G32:H32)</f>
        <v>0</v>
      </c>
      <c r="G32" s="146">
        <v>0</v>
      </c>
      <c r="H32" s="147">
        <v>0</v>
      </c>
      <c r="I32" s="141">
        <f>SUM(J32:K32)</f>
        <v>1</v>
      </c>
      <c r="J32" s="146">
        <v>0</v>
      </c>
      <c r="K32" s="166">
        <v>1</v>
      </c>
      <c r="L32" s="782">
        <f>SUM(M32:N32)</f>
        <v>1</v>
      </c>
      <c r="M32" s="146">
        <v>0</v>
      </c>
      <c r="N32" s="147">
        <v>1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75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48">
        <f t="shared" si="35"/>
        <v>0</v>
      </c>
      <c r="AR32" s="1048">
        <f t="shared" si="36"/>
        <v>0</v>
      </c>
      <c r="AS32" s="1048">
        <f t="shared" si="37"/>
        <v>0</v>
      </c>
      <c r="AT32" s="1048">
        <f t="shared" si="38"/>
        <v>0</v>
      </c>
    </row>
    <row r="33" spans="1:46" s="172" customFormat="1" ht="15" customHeight="1" x14ac:dyDescent="0.15">
      <c r="A33" s="1723"/>
      <c r="B33" s="1449" t="s">
        <v>764</v>
      </c>
      <c r="C33" s="139">
        <f t="shared" si="0"/>
        <v>4</v>
      </c>
      <c r="D33" s="256">
        <f t="shared" si="22"/>
        <v>3</v>
      </c>
      <c r="E33" s="151">
        <f t="shared" si="1"/>
        <v>1</v>
      </c>
      <c r="F33" s="139">
        <f>SUM(G33:H33)</f>
        <v>3</v>
      </c>
      <c r="G33" s="148">
        <v>2</v>
      </c>
      <c r="H33" s="149">
        <v>1</v>
      </c>
      <c r="I33" s="185">
        <f>SUM(J33:K33)</f>
        <v>1</v>
      </c>
      <c r="J33" s="148">
        <v>1</v>
      </c>
      <c r="K33" s="157">
        <v>0</v>
      </c>
      <c r="L33" s="773">
        <f>SUM(M33:N33)</f>
        <v>0</v>
      </c>
      <c r="M33" s="148">
        <v>0</v>
      </c>
      <c r="N33" s="149">
        <v>0</v>
      </c>
      <c r="O33" s="774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75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48">
        <f t="shared" si="35"/>
        <v>0</v>
      </c>
      <c r="AR33" s="1048">
        <f t="shared" si="36"/>
        <v>0</v>
      </c>
      <c r="AS33" s="1048">
        <f t="shared" si="37"/>
        <v>0</v>
      </c>
      <c r="AT33" s="1048">
        <f t="shared" si="38"/>
        <v>0</v>
      </c>
    </row>
    <row r="34" spans="1:46" s="172" customFormat="1" ht="15" customHeight="1" x14ac:dyDescent="0.15">
      <c r="A34" s="1724"/>
      <c r="B34" s="1407" t="s">
        <v>54</v>
      </c>
      <c r="C34" s="1544">
        <f t="shared" si="0"/>
        <v>5</v>
      </c>
      <c r="D34" s="1545">
        <f t="shared" si="22"/>
        <v>3</v>
      </c>
      <c r="E34" s="1546">
        <f t="shared" si="1"/>
        <v>2</v>
      </c>
      <c r="F34" s="1544">
        <f>SUM(F31:F33)</f>
        <v>3</v>
      </c>
      <c r="G34" s="1545">
        <f>SUM(G31:G33)</f>
        <v>2</v>
      </c>
      <c r="H34" s="1546">
        <f t="shared" ref="H34:Q34" si="39">SUM(H31:H33)</f>
        <v>1</v>
      </c>
      <c r="I34" s="1544">
        <f>SUM(I31:I33)</f>
        <v>2</v>
      </c>
      <c r="J34" s="1545">
        <f t="shared" si="39"/>
        <v>1</v>
      </c>
      <c r="K34" s="1557">
        <f t="shared" si="39"/>
        <v>1</v>
      </c>
      <c r="L34" s="234">
        <f>SUM(L31:L33)</f>
        <v>1</v>
      </c>
      <c r="M34" s="1545">
        <f t="shared" si="39"/>
        <v>0</v>
      </c>
      <c r="N34" s="1546">
        <f t="shared" si="39"/>
        <v>1</v>
      </c>
      <c r="O34" s="1546">
        <f>SUM(O31:O33)</f>
        <v>0</v>
      </c>
      <c r="P34" s="1545">
        <f t="shared" si="39"/>
        <v>0</v>
      </c>
      <c r="Q34" s="1221">
        <f t="shared" si="39"/>
        <v>0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23" t="s">
        <v>765</v>
      </c>
      <c r="B35" s="119" t="s">
        <v>766</v>
      </c>
      <c r="C35" s="138">
        <f t="shared" si="0"/>
        <v>0</v>
      </c>
      <c r="D35" s="236">
        <f>+G35+J35</f>
        <v>0</v>
      </c>
      <c r="E35" s="237">
        <f>+H35+K35</f>
        <v>0</v>
      </c>
      <c r="F35" s="138">
        <f t="shared" ref="F35:F40" si="40">SUM(G35:H35)</f>
        <v>0</v>
      </c>
      <c r="G35" s="146">
        <v>0</v>
      </c>
      <c r="H35" s="147">
        <v>0</v>
      </c>
      <c r="I35" s="186">
        <f t="shared" ref="I35:I40" si="41">SUM(J35:K35)</f>
        <v>0</v>
      </c>
      <c r="J35" s="146">
        <v>0</v>
      </c>
      <c r="K35" s="170">
        <v>0</v>
      </c>
      <c r="L35" s="780">
        <f t="shared" ref="L35:L40" si="42">SUM(M35:N35)</f>
        <v>0</v>
      </c>
      <c r="M35" s="146">
        <v>0</v>
      </c>
      <c r="N35" s="145">
        <v>0</v>
      </c>
      <c r="O35" s="781">
        <f t="shared" ref="O35:O40" si="43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75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48">
        <f t="shared" ref="AQ35:AQ40" si="48">IF(AND($D35&gt;0,OR(M35="")),1,IF(M35&gt;$D35,1,0))</f>
        <v>0</v>
      </c>
      <c r="AR35" s="1048">
        <f t="shared" ref="AR35:AR40" si="49">IF(AND($E35&gt;0,OR(N35="")),1,IF(N35&gt;$E35,1,0))</f>
        <v>0</v>
      </c>
      <c r="AS35" s="1048">
        <f t="shared" ref="AS35:AS40" si="50">IF(AND($D35&gt;0,OR(P35="")),1,IF(P35&gt;$D35,1,0))</f>
        <v>0</v>
      </c>
      <c r="AT35" s="1048">
        <f t="shared" ref="AT35:AT40" si="51">IF(AND($E35&gt;0,OR(Q35="")),1,IF(Q35&gt;$E35,1,0))</f>
        <v>0</v>
      </c>
    </row>
    <row r="36" spans="1:46" s="172" customFormat="1" ht="15" customHeight="1" x14ac:dyDescent="0.15">
      <c r="A36" s="1723"/>
      <c r="B36" s="60" t="s">
        <v>244</v>
      </c>
      <c r="C36" s="141">
        <f t="shared" si="0"/>
        <v>1</v>
      </c>
      <c r="D36" s="241">
        <f t="shared" si="22"/>
        <v>1</v>
      </c>
      <c r="E36" s="237">
        <f t="shared" si="1"/>
        <v>0</v>
      </c>
      <c r="F36" s="141">
        <f t="shared" si="40"/>
        <v>0</v>
      </c>
      <c r="G36" s="146">
        <v>0</v>
      </c>
      <c r="H36" s="147">
        <v>0</v>
      </c>
      <c r="I36" s="141">
        <f t="shared" si="41"/>
        <v>1</v>
      </c>
      <c r="J36" s="146">
        <v>1</v>
      </c>
      <c r="K36" s="170">
        <v>0</v>
      </c>
      <c r="L36" s="782">
        <f t="shared" si="42"/>
        <v>0</v>
      </c>
      <c r="M36" s="146">
        <v>0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75" t="str">
        <f t="shared" si="47"/>
        <v/>
      </c>
      <c r="AN36" s="107"/>
      <c r="AO36" s="107"/>
      <c r="AP36" s="107"/>
      <c r="AQ36" s="1048">
        <f t="shared" si="48"/>
        <v>0</v>
      </c>
      <c r="AR36" s="1048">
        <f t="shared" si="49"/>
        <v>0</v>
      </c>
      <c r="AS36" s="1048">
        <f t="shared" si="50"/>
        <v>0</v>
      </c>
      <c r="AT36" s="1048">
        <f t="shared" si="51"/>
        <v>0</v>
      </c>
    </row>
    <row r="37" spans="1:46" s="172" customFormat="1" ht="15" customHeight="1" x14ac:dyDescent="0.15">
      <c r="A37" s="1723"/>
      <c r="B37" s="118" t="s">
        <v>767</v>
      </c>
      <c r="C37" s="141">
        <f t="shared" si="0"/>
        <v>1</v>
      </c>
      <c r="D37" s="241">
        <f t="shared" si="22"/>
        <v>0</v>
      </c>
      <c r="E37" s="237">
        <f t="shared" si="1"/>
        <v>1</v>
      </c>
      <c r="F37" s="141">
        <f t="shared" si="40"/>
        <v>1</v>
      </c>
      <c r="G37" s="146">
        <v>0</v>
      </c>
      <c r="H37" s="147">
        <v>1</v>
      </c>
      <c r="I37" s="141">
        <f t="shared" si="41"/>
        <v>0</v>
      </c>
      <c r="J37" s="146">
        <v>0</v>
      </c>
      <c r="K37" s="170">
        <v>0</v>
      </c>
      <c r="L37" s="782">
        <f t="shared" si="42"/>
        <v>0</v>
      </c>
      <c r="M37" s="146">
        <v>0</v>
      </c>
      <c r="N37" s="147">
        <v>0</v>
      </c>
      <c r="O37" s="208">
        <f t="shared" si="43"/>
        <v>0</v>
      </c>
      <c r="P37" s="146">
        <v>0</v>
      </c>
      <c r="Q37" s="147">
        <v>0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75" t="str">
        <f t="shared" si="47"/>
        <v/>
      </c>
      <c r="AN37" s="107"/>
      <c r="AO37" s="107"/>
      <c r="AP37" s="107"/>
      <c r="AQ37" s="1048">
        <f t="shared" si="48"/>
        <v>0</v>
      </c>
      <c r="AR37" s="1048">
        <f t="shared" si="49"/>
        <v>0</v>
      </c>
      <c r="AS37" s="1048">
        <f t="shared" si="50"/>
        <v>0</v>
      </c>
      <c r="AT37" s="1048">
        <f t="shared" si="51"/>
        <v>0</v>
      </c>
    </row>
    <row r="38" spans="1:46" s="172" customFormat="1" ht="15" customHeight="1" x14ac:dyDescent="0.15">
      <c r="A38" s="1723"/>
      <c r="B38" s="60" t="s">
        <v>246</v>
      </c>
      <c r="C38" s="141">
        <f t="shared" si="0"/>
        <v>2</v>
      </c>
      <c r="D38" s="241">
        <f t="shared" si="22"/>
        <v>1</v>
      </c>
      <c r="E38" s="237">
        <f t="shared" si="1"/>
        <v>1</v>
      </c>
      <c r="F38" s="141">
        <f t="shared" si="40"/>
        <v>1</v>
      </c>
      <c r="G38" s="146">
        <v>1</v>
      </c>
      <c r="H38" s="147">
        <v>0</v>
      </c>
      <c r="I38" s="141">
        <f t="shared" si="41"/>
        <v>1</v>
      </c>
      <c r="J38" s="146">
        <v>0</v>
      </c>
      <c r="K38" s="170">
        <v>1</v>
      </c>
      <c r="L38" s="782">
        <f t="shared" si="42"/>
        <v>1</v>
      </c>
      <c r="M38" s="146">
        <v>0</v>
      </c>
      <c r="N38" s="147">
        <v>1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75" t="str">
        <f t="shared" si="47"/>
        <v/>
      </c>
      <c r="AN38" s="107"/>
      <c r="AO38" s="107"/>
      <c r="AP38" s="107"/>
      <c r="AQ38" s="1048">
        <f t="shared" si="48"/>
        <v>0</v>
      </c>
      <c r="AR38" s="1048">
        <f t="shared" si="49"/>
        <v>0</v>
      </c>
      <c r="AS38" s="1048">
        <f t="shared" si="50"/>
        <v>0</v>
      </c>
      <c r="AT38" s="1048">
        <f t="shared" si="51"/>
        <v>0</v>
      </c>
    </row>
    <row r="39" spans="1:46" s="172" customFormat="1" ht="15" customHeight="1" x14ac:dyDescent="0.15">
      <c r="A39" s="1723"/>
      <c r="B39" s="60" t="s">
        <v>768</v>
      </c>
      <c r="C39" s="141">
        <f t="shared" si="0"/>
        <v>1</v>
      </c>
      <c r="D39" s="241">
        <f t="shared" si="22"/>
        <v>1</v>
      </c>
      <c r="E39" s="237">
        <f t="shared" si="1"/>
        <v>0</v>
      </c>
      <c r="F39" s="141">
        <f t="shared" si="40"/>
        <v>1</v>
      </c>
      <c r="G39" s="146">
        <v>1</v>
      </c>
      <c r="H39" s="147">
        <v>0</v>
      </c>
      <c r="I39" s="141">
        <f t="shared" si="41"/>
        <v>0</v>
      </c>
      <c r="J39" s="146">
        <v>0</v>
      </c>
      <c r="K39" s="170">
        <v>0</v>
      </c>
      <c r="L39" s="782">
        <f t="shared" si="42"/>
        <v>0</v>
      </c>
      <c r="M39" s="146">
        <v>0</v>
      </c>
      <c r="N39" s="147">
        <v>0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75" t="str">
        <f t="shared" si="47"/>
        <v/>
      </c>
      <c r="AN39" s="107"/>
      <c r="AO39" s="107"/>
      <c r="AP39" s="107"/>
      <c r="AQ39" s="1048">
        <f t="shared" si="48"/>
        <v>0</v>
      </c>
      <c r="AR39" s="1048">
        <f t="shared" si="49"/>
        <v>0</v>
      </c>
      <c r="AS39" s="1048">
        <f t="shared" si="50"/>
        <v>0</v>
      </c>
      <c r="AT39" s="1048">
        <f t="shared" si="51"/>
        <v>0</v>
      </c>
    </row>
    <row r="40" spans="1:46" s="172" customFormat="1" ht="15" customHeight="1" x14ac:dyDescent="0.15">
      <c r="A40" s="1723"/>
      <c r="B40" s="61" t="s">
        <v>769</v>
      </c>
      <c r="C40" s="139">
        <f t="shared" si="0"/>
        <v>0</v>
      </c>
      <c r="D40" s="256">
        <f>+G40+J40</f>
        <v>0</v>
      </c>
      <c r="E40" s="151">
        <f t="shared" si="1"/>
        <v>0</v>
      </c>
      <c r="F40" s="139">
        <f t="shared" si="40"/>
        <v>0</v>
      </c>
      <c r="G40" s="146">
        <v>0</v>
      </c>
      <c r="H40" s="147">
        <v>0</v>
      </c>
      <c r="I40" s="185">
        <f t="shared" si="41"/>
        <v>0</v>
      </c>
      <c r="J40" s="146">
        <v>0</v>
      </c>
      <c r="K40" s="170">
        <v>0</v>
      </c>
      <c r="L40" s="773">
        <f t="shared" si="42"/>
        <v>0</v>
      </c>
      <c r="M40" s="146">
        <v>0</v>
      </c>
      <c r="N40" s="149">
        <v>0</v>
      </c>
      <c r="O40" s="774">
        <f t="shared" si="43"/>
        <v>0</v>
      </c>
      <c r="P40" s="146">
        <v>0</v>
      </c>
      <c r="Q40" s="147">
        <v>0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75" t="str">
        <f t="shared" si="47"/>
        <v/>
      </c>
      <c r="AN40" s="107"/>
      <c r="AO40" s="107"/>
      <c r="AP40" s="107"/>
      <c r="AQ40" s="1048">
        <f t="shared" si="48"/>
        <v>0</v>
      </c>
      <c r="AR40" s="1048">
        <f t="shared" si="49"/>
        <v>0</v>
      </c>
      <c r="AS40" s="1048">
        <f t="shared" si="50"/>
        <v>0</v>
      </c>
      <c r="AT40" s="1048">
        <f t="shared" si="51"/>
        <v>0</v>
      </c>
    </row>
    <row r="41" spans="1:46" s="172" customFormat="1" ht="15" customHeight="1" x14ac:dyDescent="0.15">
      <c r="A41" s="1723"/>
      <c r="B41" s="1413" t="s">
        <v>247</v>
      </c>
      <c r="C41" s="1544">
        <f t="shared" si="0"/>
        <v>5</v>
      </c>
      <c r="D41" s="1545">
        <f>+G41+J41</f>
        <v>3</v>
      </c>
      <c r="E41" s="1546">
        <f t="shared" si="1"/>
        <v>2</v>
      </c>
      <c r="F41" s="1544">
        <f t="shared" ref="F41:Q41" si="52">SUM(F35:F40)</f>
        <v>3</v>
      </c>
      <c r="G41" s="1545">
        <f>SUM(G35:G40)</f>
        <v>2</v>
      </c>
      <c r="H41" s="1546">
        <f t="shared" si="52"/>
        <v>1</v>
      </c>
      <c r="I41" s="1544">
        <f>SUM(I35:I40)</f>
        <v>2</v>
      </c>
      <c r="J41" s="1545">
        <f>SUM(J35:J40)</f>
        <v>1</v>
      </c>
      <c r="K41" s="259">
        <f t="shared" si="52"/>
        <v>1</v>
      </c>
      <c r="L41" s="234">
        <f t="shared" si="52"/>
        <v>1</v>
      </c>
      <c r="M41" s="1545">
        <f>SUM(M35:M40)</f>
        <v>0</v>
      </c>
      <c r="N41" s="1221">
        <f>SUM(N35:N40)</f>
        <v>1</v>
      </c>
      <c r="O41" s="1546">
        <f>SUM(O35:O40)</f>
        <v>0</v>
      </c>
      <c r="P41" s="1545">
        <f t="shared" si="52"/>
        <v>0</v>
      </c>
      <c r="Q41" s="1221">
        <f t="shared" si="52"/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23"/>
      <c r="B42" s="1311" t="s">
        <v>770</v>
      </c>
      <c r="C42" s="1312">
        <f t="shared" si="0"/>
        <v>0</v>
      </c>
      <c r="D42" s="150">
        <f>+G42+J42</f>
        <v>0</v>
      </c>
      <c r="E42" s="151">
        <f t="shared" si="1"/>
        <v>0</v>
      </c>
      <c r="F42" s="1313">
        <f>SUM(G42:H42)</f>
        <v>0</v>
      </c>
      <c r="G42" s="142">
        <v>0</v>
      </c>
      <c r="H42" s="143">
        <v>0</v>
      </c>
      <c r="I42" s="1313">
        <f>SUM(J42:K42)</f>
        <v>0</v>
      </c>
      <c r="J42" s="142">
        <v>0</v>
      </c>
      <c r="K42" s="1558">
        <v>0</v>
      </c>
      <c r="L42" s="783">
        <f>SUM(M42:N42)</f>
        <v>0</v>
      </c>
      <c r="M42" s="142">
        <v>0</v>
      </c>
      <c r="N42" s="143">
        <v>0</v>
      </c>
      <c r="O42" s="1559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75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48">
        <f>IF(AND($D42&gt;0,OR(M42="")),1,IF(M42&gt;$D42,1,0))</f>
        <v>0</v>
      </c>
      <c r="AR42" s="1048">
        <f>IF(AND($E42&gt;0,OR(N42="")),1,IF(N42&gt;$E42,1,0))</f>
        <v>0</v>
      </c>
      <c r="AS42" s="1048">
        <f>IF(AND($D42&gt;0,OR(P42="")),1,IF(P42&gt;$D42,1,0))</f>
        <v>0</v>
      </c>
      <c r="AT42" s="1048">
        <f>IF(AND($E42&gt;0,OR(Q42="")),1,IF(Q42&gt;$E42,1,0))</f>
        <v>0</v>
      </c>
    </row>
    <row r="43" spans="1:46" s="172" customFormat="1" ht="15" customHeight="1" x14ac:dyDescent="0.15">
      <c r="A43" s="1724"/>
      <c r="B43" s="1430" t="s">
        <v>621</v>
      </c>
      <c r="C43" s="1544">
        <f>SUM(C35:C40)+C42</f>
        <v>5</v>
      </c>
      <c r="D43" s="1545">
        <f t="shared" ref="D43:I43" si="53">SUM(D35:D40)+D42</f>
        <v>3</v>
      </c>
      <c r="E43" s="1560">
        <f t="shared" si="53"/>
        <v>2</v>
      </c>
      <c r="F43" s="1544">
        <f t="shared" si="53"/>
        <v>3</v>
      </c>
      <c r="G43" s="1545">
        <f>SUM(G35:G40)+G42</f>
        <v>2</v>
      </c>
      <c r="H43" s="1560">
        <f t="shared" si="53"/>
        <v>1</v>
      </c>
      <c r="I43" s="1544">
        <f t="shared" si="53"/>
        <v>2</v>
      </c>
      <c r="J43" s="1545">
        <f t="shared" ref="J43:Q43" si="54">SUM(J35:J40)+J42</f>
        <v>1</v>
      </c>
      <c r="K43" s="259">
        <f t="shared" si="54"/>
        <v>1</v>
      </c>
      <c r="L43" s="234">
        <f t="shared" si="54"/>
        <v>1</v>
      </c>
      <c r="M43" s="1545">
        <f t="shared" si="54"/>
        <v>0</v>
      </c>
      <c r="N43" s="1221">
        <f t="shared" si="54"/>
        <v>1</v>
      </c>
      <c r="O43" s="1546">
        <f t="shared" si="54"/>
        <v>0</v>
      </c>
      <c r="P43" s="1545">
        <f t="shared" si="54"/>
        <v>0</v>
      </c>
      <c r="Q43" s="1221">
        <f t="shared" si="54"/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72" t="s">
        <v>771</v>
      </c>
      <c r="B44" s="2172"/>
      <c r="C44" s="2172"/>
      <c r="D44" s="2172"/>
      <c r="E44" s="2172"/>
      <c r="F44" s="2172"/>
      <c r="G44" s="2172"/>
      <c r="H44" s="2172"/>
      <c r="I44" s="2172"/>
      <c r="J44" s="2172"/>
      <c r="K44" s="2172"/>
      <c r="L44" s="2172"/>
      <c r="M44" s="2172"/>
      <c r="N44" s="2172"/>
      <c r="O44" s="2172"/>
      <c r="P44" s="2172"/>
      <c r="Q44" s="2172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66" t="s">
        <v>772</v>
      </c>
      <c r="B45" s="2167"/>
      <c r="C45" s="1955" t="s">
        <v>54</v>
      </c>
      <c r="D45" s="1956"/>
      <c r="E45" s="1957"/>
      <c r="F45" s="2136" t="s">
        <v>773</v>
      </c>
      <c r="G45" s="2143"/>
      <c r="H45" s="2133"/>
      <c r="I45" s="2136" t="s">
        <v>774</v>
      </c>
      <c r="J45" s="2143"/>
      <c r="K45" s="2191"/>
      <c r="L45" s="2132" t="s">
        <v>742</v>
      </c>
      <c r="M45" s="2143"/>
      <c r="N45" s="2133"/>
      <c r="O45" s="2143" t="s">
        <v>57</v>
      </c>
      <c r="P45" s="2143"/>
      <c r="Q45" s="2133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203"/>
      <c r="B46" s="2204"/>
      <c r="C46" s="1990"/>
      <c r="D46" s="2196"/>
      <c r="E46" s="1991"/>
      <c r="F46" s="2198"/>
      <c r="G46" s="2197"/>
      <c r="H46" s="2142"/>
      <c r="I46" s="2198"/>
      <c r="J46" s="2197"/>
      <c r="K46" s="2199"/>
      <c r="L46" s="2141"/>
      <c r="M46" s="2197"/>
      <c r="N46" s="2142"/>
      <c r="O46" s="2197"/>
      <c r="P46" s="2197"/>
      <c r="Q46" s="2142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203"/>
      <c r="B47" s="2204"/>
      <c r="C47" s="1990"/>
      <c r="D47" s="2196"/>
      <c r="E47" s="1991"/>
      <c r="F47" s="2137"/>
      <c r="G47" s="2144"/>
      <c r="H47" s="2135"/>
      <c r="I47" s="2137"/>
      <c r="J47" s="2144"/>
      <c r="K47" s="2200"/>
      <c r="L47" s="2134"/>
      <c r="M47" s="2144"/>
      <c r="N47" s="2135"/>
      <c r="O47" s="2144"/>
      <c r="P47" s="2144"/>
      <c r="Q47" s="2135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68"/>
      <c r="B48" s="2169"/>
      <c r="C48" s="1542" t="s">
        <v>231</v>
      </c>
      <c r="D48" s="1542" t="s">
        <v>775</v>
      </c>
      <c r="E48" s="1551" t="s">
        <v>90</v>
      </c>
      <c r="F48" s="1542" t="s">
        <v>231</v>
      </c>
      <c r="G48" s="1542" t="s">
        <v>775</v>
      </c>
      <c r="H48" s="1551" t="s">
        <v>90</v>
      </c>
      <c r="I48" s="1542" t="s">
        <v>231</v>
      </c>
      <c r="J48" s="1542" t="s">
        <v>775</v>
      </c>
      <c r="K48" s="1543" t="s">
        <v>90</v>
      </c>
      <c r="L48" s="1542" t="s">
        <v>231</v>
      </c>
      <c r="M48" s="1542" t="s">
        <v>775</v>
      </c>
      <c r="N48" s="1541" t="s">
        <v>90</v>
      </c>
      <c r="O48" s="1561" t="s">
        <v>231</v>
      </c>
      <c r="P48" s="1542" t="s">
        <v>775</v>
      </c>
      <c r="Q48" s="1541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94" t="s">
        <v>776</v>
      </c>
      <c r="B49" s="2195"/>
      <c r="C49" s="788">
        <f t="shared" ref="C49:C54" si="55">SUM(D49:E49)</f>
        <v>5</v>
      </c>
      <c r="D49" s="901">
        <f>+G49+J49</f>
        <v>3</v>
      </c>
      <c r="E49" s="788">
        <f>+H49+K49</f>
        <v>2</v>
      </c>
      <c r="F49" s="786">
        <f t="shared" ref="F49:F54" si="56">SUM(G49:H49)</f>
        <v>3</v>
      </c>
      <c r="G49" s="902">
        <v>2</v>
      </c>
      <c r="H49" s="145">
        <v>1</v>
      </c>
      <c r="I49" s="786">
        <f t="shared" ref="I49:I54" si="57">SUM(J49:K49)</f>
        <v>2</v>
      </c>
      <c r="J49" s="902">
        <v>1</v>
      </c>
      <c r="K49" s="903">
        <v>1</v>
      </c>
      <c r="L49" s="787">
        <f t="shared" ref="L49:L54" si="58">SUM(M49:N49)</f>
        <v>2</v>
      </c>
      <c r="M49" s="902">
        <v>1</v>
      </c>
      <c r="N49" s="145">
        <v>1</v>
      </c>
      <c r="O49" s="781">
        <f t="shared" ref="O49:O54" si="59">SUM(P49:Q49)</f>
        <v>0</v>
      </c>
      <c r="P49" s="902">
        <v>0</v>
      </c>
      <c r="Q49" s="145">
        <v>0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75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48">
        <f t="shared" ref="AQ49:AQ54" si="65">IF(AND($D49&gt;0,OR(M49="")),1,IF(M49&gt;$D49,1,0))</f>
        <v>0</v>
      </c>
      <c r="AR49" s="1048">
        <f t="shared" ref="AR49:AR54" si="66">IF(AND($E49&gt;0,OR(N49="")),1,IF(N49&gt;$E49,1,0))</f>
        <v>0</v>
      </c>
      <c r="AS49" s="1048">
        <f t="shared" ref="AS49:AS54" si="67">IF(AND($D49&gt;0,OR(P49="")),1,IF(P49&gt;$D49,1,0))</f>
        <v>0</v>
      </c>
      <c r="AT49" s="1048">
        <f t="shared" ref="AT49:AT54" si="68">IF(AND($E49&gt;0,OR(Q49="")),1,IF(Q49&gt;$E49,1,0))</f>
        <v>0</v>
      </c>
    </row>
    <row r="50" spans="1:46" s="172" customFormat="1" ht="15" customHeight="1" x14ac:dyDescent="0.15">
      <c r="A50" s="2173" t="s">
        <v>777</v>
      </c>
      <c r="B50" s="2174"/>
      <c r="C50" s="204">
        <f t="shared" si="55"/>
        <v>0</v>
      </c>
      <c r="D50" s="205">
        <f>+G50+J50</f>
        <v>0</v>
      </c>
      <c r="E50" s="204">
        <f t="shared" ref="D50:E54" si="69">+H50+K50</f>
        <v>0</v>
      </c>
      <c r="F50" s="206">
        <f t="shared" si="56"/>
        <v>0</v>
      </c>
      <c r="G50" s="152">
        <v>0</v>
      </c>
      <c r="H50" s="135">
        <v>0</v>
      </c>
      <c r="I50" s="206">
        <f t="shared" si="57"/>
        <v>0</v>
      </c>
      <c r="J50" s="152">
        <v>0</v>
      </c>
      <c r="K50" s="140">
        <v>0</v>
      </c>
      <c r="L50" s="207">
        <f t="shared" si="58"/>
        <v>0</v>
      </c>
      <c r="M50" s="152">
        <v>0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75" t="str">
        <f t="shared" si="64"/>
        <v/>
      </c>
      <c r="AN50" s="107"/>
      <c r="AO50" s="107"/>
      <c r="AP50" s="107"/>
      <c r="AQ50" s="1048">
        <f t="shared" si="65"/>
        <v>0</v>
      </c>
      <c r="AR50" s="1048">
        <f t="shared" si="66"/>
        <v>0</v>
      </c>
      <c r="AS50" s="1048">
        <f t="shared" si="67"/>
        <v>0</v>
      </c>
      <c r="AT50" s="1048">
        <f t="shared" si="68"/>
        <v>0</v>
      </c>
    </row>
    <row r="51" spans="1:46" s="172" customFormat="1" ht="15" customHeight="1" x14ac:dyDescent="0.15">
      <c r="A51" s="2173" t="s">
        <v>778</v>
      </c>
      <c r="B51" s="2174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91"/>
      <c r="K51" s="992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75" t="str">
        <f t="shared" si="64"/>
        <v/>
      </c>
      <c r="AN51" s="107"/>
      <c r="AO51" s="107"/>
      <c r="AP51" s="107"/>
      <c r="AQ51" s="1048">
        <f t="shared" si="65"/>
        <v>0</v>
      </c>
      <c r="AR51" s="1048">
        <f t="shared" si="66"/>
        <v>0</v>
      </c>
      <c r="AS51" s="1048">
        <f t="shared" si="67"/>
        <v>0</v>
      </c>
      <c r="AT51" s="1048">
        <f t="shared" si="68"/>
        <v>0</v>
      </c>
    </row>
    <row r="52" spans="1:46" s="172" customFormat="1" ht="15" customHeight="1" x14ac:dyDescent="0.15">
      <c r="A52" s="2173" t="s">
        <v>779</v>
      </c>
      <c r="B52" s="2174"/>
      <c r="C52" s="204">
        <f>SUM(D52:E52)</f>
        <v>0</v>
      </c>
      <c r="D52" s="205">
        <f>+J52</f>
        <v>0</v>
      </c>
      <c r="E52" s="204">
        <f>+K52</f>
        <v>0</v>
      </c>
      <c r="F52" s="206">
        <f>SUM(G52:H52)</f>
        <v>0</v>
      </c>
      <c r="G52" s="991"/>
      <c r="H52" s="993"/>
      <c r="I52" s="206">
        <f t="shared" si="57"/>
        <v>0</v>
      </c>
      <c r="J52" s="152">
        <v>0</v>
      </c>
      <c r="K52" s="140">
        <v>0</v>
      </c>
      <c r="L52" s="207">
        <f t="shared" si="58"/>
        <v>0</v>
      </c>
      <c r="M52" s="152">
        <v>0</v>
      </c>
      <c r="N52" s="135">
        <v>0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75" t="str">
        <f t="shared" si="64"/>
        <v/>
      </c>
      <c r="AN52" s="107"/>
      <c r="AO52" s="107"/>
      <c r="AP52" s="107"/>
      <c r="AQ52" s="1048">
        <f t="shared" si="65"/>
        <v>0</v>
      </c>
      <c r="AR52" s="1048">
        <f t="shared" si="66"/>
        <v>0</v>
      </c>
      <c r="AS52" s="1048">
        <f t="shared" si="67"/>
        <v>0</v>
      </c>
      <c r="AT52" s="1048">
        <f t="shared" si="68"/>
        <v>0</v>
      </c>
    </row>
    <row r="53" spans="1:46" s="172" customFormat="1" ht="15" customHeight="1" x14ac:dyDescent="0.15">
      <c r="A53" s="2173" t="s">
        <v>780</v>
      </c>
      <c r="B53" s="2174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82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75" t="str">
        <f t="shared" si="64"/>
        <v/>
      </c>
      <c r="AN53" s="107"/>
      <c r="AO53" s="107"/>
      <c r="AP53" s="107"/>
      <c r="AQ53" s="1048">
        <f t="shared" si="65"/>
        <v>0</v>
      </c>
      <c r="AR53" s="1048">
        <f t="shared" si="66"/>
        <v>0</v>
      </c>
      <c r="AS53" s="1048">
        <f t="shared" si="67"/>
        <v>0</v>
      </c>
      <c r="AT53" s="1048">
        <f t="shared" si="68"/>
        <v>0</v>
      </c>
    </row>
    <row r="54" spans="1:46" s="172" customFormat="1" ht="15" customHeight="1" x14ac:dyDescent="0.15">
      <c r="A54" s="2192" t="s">
        <v>781</v>
      </c>
      <c r="B54" s="2193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91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73">
        <f t="shared" si="58"/>
        <v>0</v>
      </c>
      <c r="M54" s="162">
        <v>0</v>
      </c>
      <c r="N54" s="149">
        <v>0</v>
      </c>
      <c r="O54" s="774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75" t="str">
        <f t="shared" si="64"/>
        <v/>
      </c>
      <c r="AN54" s="107"/>
      <c r="AO54" s="107"/>
      <c r="AP54" s="107"/>
      <c r="AQ54" s="1048">
        <f t="shared" si="65"/>
        <v>0</v>
      </c>
      <c r="AR54" s="1048">
        <f t="shared" si="66"/>
        <v>0</v>
      </c>
      <c r="AS54" s="1048">
        <f t="shared" si="67"/>
        <v>0</v>
      </c>
      <c r="AT54" s="1048">
        <f t="shared" si="68"/>
        <v>0</v>
      </c>
    </row>
    <row r="55" spans="1:46" s="172" customFormat="1" ht="17.100000000000001" customHeight="1" x14ac:dyDescent="0.15">
      <c r="A55" s="2172" t="s">
        <v>782</v>
      </c>
      <c r="B55" s="2172"/>
      <c r="C55" s="2172"/>
      <c r="D55" s="2172"/>
      <c r="E55" s="2172"/>
      <c r="F55" s="2172"/>
      <c r="G55" s="2172"/>
      <c r="H55" s="2172"/>
      <c r="I55" s="2172"/>
      <c r="J55" s="2172"/>
      <c r="K55" s="2172"/>
      <c r="L55" s="2172"/>
      <c r="M55" s="2172"/>
      <c r="N55" s="2172"/>
      <c r="O55" s="2172"/>
      <c r="P55" s="2172"/>
      <c r="Q55" s="2172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205" t="s">
        <v>783</v>
      </c>
      <c r="B56" s="2205"/>
      <c r="C56" s="1955" t="s">
        <v>54</v>
      </c>
      <c r="D56" s="1956"/>
      <c r="E56" s="1957"/>
      <c r="F56" s="2136" t="s">
        <v>773</v>
      </c>
      <c r="G56" s="2143"/>
      <c r="H56" s="2133"/>
      <c r="I56" s="2136" t="s">
        <v>774</v>
      </c>
      <c r="J56" s="2143"/>
      <c r="K56" s="2191"/>
      <c r="L56" s="2143" t="s">
        <v>742</v>
      </c>
      <c r="M56" s="2143"/>
      <c r="N56" s="2133"/>
      <c r="O56" s="2136" t="s">
        <v>57</v>
      </c>
      <c r="P56" s="2143"/>
      <c r="Q56" s="2133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205"/>
      <c r="B57" s="2205"/>
      <c r="C57" s="1542" t="s">
        <v>231</v>
      </c>
      <c r="D57" s="1542" t="s">
        <v>775</v>
      </c>
      <c r="E57" s="1551" t="s">
        <v>90</v>
      </c>
      <c r="F57" s="1542" t="s">
        <v>231</v>
      </c>
      <c r="G57" s="1542" t="s">
        <v>775</v>
      </c>
      <c r="H57" s="1551" t="s">
        <v>90</v>
      </c>
      <c r="I57" s="1542" t="s">
        <v>231</v>
      </c>
      <c r="J57" s="1542" t="s">
        <v>775</v>
      </c>
      <c r="K57" s="1543" t="s">
        <v>90</v>
      </c>
      <c r="L57" s="1551" t="s">
        <v>231</v>
      </c>
      <c r="M57" s="1542" t="s">
        <v>775</v>
      </c>
      <c r="N57" s="1541" t="s">
        <v>90</v>
      </c>
      <c r="O57" s="1561" t="s">
        <v>231</v>
      </c>
      <c r="P57" s="1542" t="s">
        <v>775</v>
      </c>
      <c r="Q57" s="1090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94" t="s">
        <v>784</v>
      </c>
      <c r="B58" s="2195"/>
      <c r="C58" s="203">
        <f t="shared" ref="C58:C67" si="70">SUM(D58:E58)</f>
        <v>0</v>
      </c>
      <c r="D58" s="202">
        <f>+G58+J58</f>
        <v>0</v>
      </c>
      <c r="E58" s="201">
        <f t="shared" ref="E58:E67" si="71">+H58+K58</f>
        <v>0</v>
      </c>
      <c r="F58" s="203">
        <f t="shared" ref="F58:F67" si="72">SUM(G58:H58)</f>
        <v>0</v>
      </c>
      <c r="G58" s="152">
        <v>0</v>
      </c>
      <c r="H58" s="135">
        <v>0</v>
      </c>
      <c r="I58" s="203">
        <f t="shared" ref="I58:I67" si="73">SUM(J58:K58)</f>
        <v>0</v>
      </c>
      <c r="J58" s="152">
        <v>0</v>
      </c>
      <c r="K58" s="156">
        <v>0</v>
      </c>
      <c r="L58" s="784">
        <f t="shared" ref="L58:L67" si="74">SUM(M58:N58)</f>
        <v>0</v>
      </c>
      <c r="M58" s="152">
        <v>0</v>
      </c>
      <c r="N58" s="135">
        <v>0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75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48">
        <f t="shared" ref="AQ58:AQ67" si="81">IF(AND($D58&gt;0,OR(M58="")),1,IF(M58&gt;$D58,1,0))</f>
        <v>0</v>
      </c>
      <c r="AR58" s="1048">
        <f t="shared" ref="AR58:AR67" si="82">IF(AND($E58&gt;0,OR(N58="")),1,IF(N58&gt;$E58,1,0))</f>
        <v>0</v>
      </c>
      <c r="AS58" s="1048">
        <f t="shared" ref="AS58:AS67" si="83">IF(AND($D58&gt;0,OR(P58="")),1,IF(P58&gt;$D58,1,0))</f>
        <v>0</v>
      </c>
      <c r="AT58" s="1048">
        <f t="shared" ref="AT58:AT67" si="84">IF(AND($E58&gt;0,OR(Q58="")),1,IF(Q58&gt;$E58,1,0))</f>
        <v>0</v>
      </c>
    </row>
    <row r="59" spans="1:46" s="172" customFormat="1" ht="15" customHeight="1" x14ac:dyDescent="0.15">
      <c r="A59" s="1774" t="s">
        <v>785</v>
      </c>
      <c r="B59" s="1775"/>
      <c r="C59" s="212">
        <f t="shared" si="70"/>
        <v>0</v>
      </c>
      <c r="D59" s="213">
        <f t="shared" ref="D59:D67" si="85">+G59+J59</f>
        <v>0</v>
      </c>
      <c r="E59" s="208">
        <f>+H59+K59</f>
        <v>0</v>
      </c>
      <c r="F59" s="212">
        <f t="shared" si="72"/>
        <v>0</v>
      </c>
      <c r="G59" s="152">
        <v>0</v>
      </c>
      <c r="H59" s="135">
        <v>0</v>
      </c>
      <c r="I59" s="206">
        <f t="shared" si="73"/>
        <v>0</v>
      </c>
      <c r="J59" s="152">
        <v>0</v>
      </c>
      <c r="K59" s="156">
        <v>0</v>
      </c>
      <c r="L59" s="207">
        <f t="shared" si="74"/>
        <v>0</v>
      </c>
      <c r="M59" s="152">
        <v>0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75" t="str">
        <f t="shared" si="80"/>
        <v/>
      </c>
      <c r="AN59" s="107"/>
      <c r="AO59" s="107"/>
      <c r="AP59" s="107"/>
      <c r="AQ59" s="1048">
        <f t="shared" si="81"/>
        <v>0</v>
      </c>
      <c r="AR59" s="1048">
        <f t="shared" si="82"/>
        <v>0</v>
      </c>
      <c r="AS59" s="1048">
        <f t="shared" si="83"/>
        <v>0</v>
      </c>
      <c r="AT59" s="1048">
        <f t="shared" si="84"/>
        <v>0</v>
      </c>
    </row>
    <row r="60" spans="1:46" s="172" customFormat="1" ht="15" customHeight="1" x14ac:dyDescent="0.15">
      <c r="A60" s="1774" t="s">
        <v>786</v>
      </c>
      <c r="B60" s="1775"/>
      <c r="C60" s="208">
        <f t="shared" si="70"/>
        <v>0</v>
      </c>
      <c r="D60" s="213">
        <f t="shared" si="85"/>
        <v>0</v>
      </c>
      <c r="E60" s="208">
        <f t="shared" si="71"/>
        <v>0</v>
      </c>
      <c r="F60" s="208">
        <f t="shared" si="72"/>
        <v>0</v>
      </c>
      <c r="G60" s="152">
        <v>0</v>
      </c>
      <c r="H60" s="135">
        <v>0</v>
      </c>
      <c r="I60" s="206">
        <f t="shared" si="73"/>
        <v>0</v>
      </c>
      <c r="J60" s="152">
        <v>0</v>
      </c>
      <c r="K60" s="156">
        <v>0</v>
      </c>
      <c r="L60" s="207">
        <f t="shared" si="74"/>
        <v>0</v>
      </c>
      <c r="M60" s="152">
        <v>0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75" t="str">
        <f t="shared" si="80"/>
        <v/>
      </c>
      <c r="AN60" s="107"/>
      <c r="AO60" s="107"/>
      <c r="AP60" s="107"/>
      <c r="AQ60" s="1048">
        <f t="shared" si="81"/>
        <v>0</v>
      </c>
      <c r="AR60" s="1048">
        <f t="shared" si="82"/>
        <v>0</v>
      </c>
      <c r="AS60" s="1048">
        <f t="shared" si="83"/>
        <v>0</v>
      </c>
      <c r="AT60" s="1048">
        <f t="shared" si="84"/>
        <v>0</v>
      </c>
    </row>
    <row r="61" spans="1:46" s="172" customFormat="1" ht="15" customHeight="1" x14ac:dyDescent="0.15">
      <c r="A61" s="1774" t="s">
        <v>787</v>
      </c>
      <c r="B61" s="1775"/>
      <c r="C61" s="208">
        <f t="shared" si="70"/>
        <v>0</v>
      </c>
      <c r="D61" s="213">
        <f t="shared" si="85"/>
        <v>0</v>
      </c>
      <c r="E61" s="208">
        <f t="shared" si="71"/>
        <v>0</v>
      </c>
      <c r="F61" s="208">
        <f t="shared" si="72"/>
        <v>0</v>
      </c>
      <c r="G61" s="152">
        <v>0</v>
      </c>
      <c r="H61" s="135">
        <v>0</v>
      </c>
      <c r="I61" s="206">
        <f>SUM(J61:K61)</f>
        <v>0</v>
      </c>
      <c r="J61" s="152">
        <v>0</v>
      </c>
      <c r="K61" s="156">
        <v>0</v>
      </c>
      <c r="L61" s="207">
        <f t="shared" si="74"/>
        <v>0</v>
      </c>
      <c r="M61" s="152">
        <v>0</v>
      </c>
      <c r="N61" s="135">
        <v>0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75" t="str">
        <f t="shared" si="80"/>
        <v/>
      </c>
      <c r="AN61" s="107"/>
      <c r="AO61" s="107"/>
      <c r="AP61" s="107"/>
      <c r="AQ61" s="1048">
        <f t="shared" si="81"/>
        <v>0</v>
      </c>
      <c r="AR61" s="1048">
        <f t="shared" si="82"/>
        <v>0</v>
      </c>
      <c r="AS61" s="1048">
        <f t="shared" si="83"/>
        <v>0</v>
      </c>
      <c r="AT61" s="1048">
        <f t="shared" si="84"/>
        <v>0</v>
      </c>
    </row>
    <row r="62" spans="1:46" s="172" customFormat="1" ht="15" customHeight="1" x14ac:dyDescent="0.15">
      <c r="A62" s="1774" t="s">
        <v>788</v>
      </c>
      <c r="B62" s="1775"/>
      <c r="C62" s="208">
        <f>SUM(D62:E62)</f>
        <v>0</v>
      </c>
      <c r="D62" s="213">
        <f t="shared" ref="D62" si="86">+G62+J62</f>
        <v>0</v>
      </c>
      <c r="E62" s="208">
        <f t="shared" ref="E62" si="87">+H62+K62</f>
        <v>0</v>
      </c>
      <c r="F62" s="208">
        <f>SUM(G62:H62)</f>
        <v>0</v>
      </c>
      <c r="G62" s="152">
        <v>0</v>
      </c>
      <c r="H62" s="135">
        <v>0</v>
      </c>
      <c r="I62" s="206">
        <f>SUM(J62:K62)</f>
        <v>0</v>
      </c>
      <c r="J62" s="152">
        <v>0</v>
      </c>
      <c r="K62" s="156">
        <v>0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75" t="str">
        <f t="shared" si="80"/>
        <v/>
      </c>
      <c r="AN62" s="107"/>
      <c r="AO62" s="107"/>
      <c r="AP62" s="107"/>
      <c r="AQ62" s="1048">
        <f t="shared" si="81"/>
        <v>0</v>
      </c>
      <c r="AR62" s="1048">
        <f t="shared" si="82"/>
        <v>0</v>
      </c>
      <c r="AS62" s="1048">
        <f t="shared" si="83"/>
        <v>0</v>
      </c>
      <c r="AT62" s="1048">
        <f t="shared" si="84"/>
        <v>0</v>
      </c>
    </row>
    <row r="63" spans="1:46" s="172" customFormat="1" ht="15" customHeight="1" x14ac:dyDescent="0.15">
      <c r="A63" s="1774" t="s">
        <v>789</v>
      </c>
      <c r="B63" s="1775"/>
      <c r="C63" s="208">
        <f t="shared" si="70"/>
        <v>0</v>
      </c>
      <c r="D63" s="213">
        <f t="shared" si="85"/>
        <v>0</v>
      </c>
      <c r="E63" s="208">
        <f t="shared" si="71"/>
        <v>0</v>
      </c>
      <c r="F63" s="208">
        <f t="shared" si="72"/>
        <v>0</v>
      </c>
      <c r="G63" s="152">
        <v>0</v>
      </c>
      <c r="H63" s="135">
        <v>0</v>
      </c>
      <c r="I63" s="206">
        <f t="shared" si="73"/>
        <v>0</v>
      </c>
      <c r="J63" s="152">
        <v>0</v>
      </c>
      <c r="K63" s="156">
        <v>0</v>
      </c>
      <c r="L63" s="207">
        <f t="shared" si="74"/>
        <v>0</v>
      </c>
      <c r="M63" s="152">
        <v>0</v>
      </c>
      <c r="N63" s="135">
        <v>0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75" t="str">
        <f t="shared" si="80"/>
        <v/>
      </c>
      <c r="AN63" s="107"/>
      <c r="AO63" s="107"/>
      <c r="AP63" s="107"/>
      <c r="AQ63" s="1048">
        <f t="shared" si="81"/>
        <v>0</v>
      </c>
      <c r="AR63" s="1048">
        <f t="shared" si="82"/>
        <v>0</v>
      </c>
      <c r="AS63" s="1048">
        <f t="shared" si="83"/>
        <v>0</v>
      </c>
      <c r="AT63" s="1048">
        <f t="shared" si="84"/>
        <v>0</v>
      </c>
    </row>
    <row r="64" spans="1:46" s="172" customFormat="1" ht="15" customHeight="1" x14ac:dyDescent="0.15">
      <c r="A64" s="2173" t="s">
        <v>790</v>
      </c>
      <c r="B64" s="2174"/>
      <c r="C64" s="206">
        <f t="shared" si="70"/>
        <v>0</v>
      </c>
      <c r="D64" s="205">
        <f t="shared" si="85"/>
        <v>0</v>
      </c>
      <c r="E64" s="204">
        <f t="shared" si="71"/>
        <v>0</v>
      </c>
      <c r="F64" s="206">
        <f t="shared" si="72"/>
        <v>0</v>
      </c>
      <c r="G64" s="152">
        <v>0</v>
      </c>
      <c r="H64" s="135">
        <v>0</v>
      </c>
      <c r="I64" s="206">
        <f t="shared" si="73"/>
        <v>0</v>
      </c>
      <c r="J64" s="152">
        <v>0</v>
      </c>
      <c r="K64" s="156">
        <v>0</v>
      </c>
      <c r="L64" s="207">
        <f t="shared" si="74"/>
        <v>0</v>
      </c>
      <c r="M64" s="152">
        <v>0</v>
      </c>
      <c r="N64" s="135">
        <v>0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75" t="str">
        <f t="shared" si="80"/>
        <v/>
      </c>
      <c r="AN64" s="107"/>
      <c r="AO64" s="107"/>
      <c r="AP64" s="107"/>
      <c r="AQ64" s="1048">
        <f t="shared" si="81"/>
        <v>0</v>
      </c>
      <c r="AR64" s="1048">
        <f t="shared" si="82"/>
        <v>0</v>
      </c>
      <c r="AS64" s="1048">
        <f t="shared" si="83"/>
        <v>0</v>
      </c>
      <c r="AT64" s="1048">
        <f t="shared" si="84"/>
        <v>0</v>
      </c>
    </row>
    <row r="65" spans="1:46" s="172" customFormat="1" ht="15" customHeight="1" x14ac:dyDescent="0.15">
      <c r="A65" s="2173" t="s">
        <v>791</v>
      </c>
      <c r="B65" s="2174"/>
      <c r="C65" s="206">
        <f t="shared" si="70"/>
        <v>4</v>
      </c>
      <c r="D65" s="205">
        <f t="shared" si="85"/>
        <v>2</v>
      </c>
      <c r="E65" s="204">
        <f t="shared" si="71"/>
        <v>2</v>
      </c>
      <c r="F65" s="206">
        <f t="shared" si="72"/>
        <v>3</v>
      </c>
      <c r="G65" s="153">
        <v>2</v>
      </c>
      <c r="H65" s="147">
        <v>1</v>
      </c>
      <c r="I65" s="206">
        <f t="shared" si="73"/>
        <v>1</v>
      </c>
      <c r="J65" s="153">
        <v>0</v>
      </c>
      <c r="K65" s="166">
        <v>1</v>
      </c>
      <c r="L65" s="207">
        <f t="shared" si="74"/>
        <v>2</v>
      </c>
      <c r="M65" s="153">
        <v>1</v>
      </c>
      <c r="N65" s="147">
        <v>1</v>
      </c>
      <c r="O65" s="204">
        <f t="shared" si="75"/>
        <v>0</v>
      </c>
      <c r="P65" s="153">
        <v>0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75" t="str">
        <f t="shared" si="80"/>
        <v/>
      </c>
      <c r="AN65" s="107"/>
      <c r="AO65" s="107"/>
      <c r="AP65" s="107"/>
      <c r="AQ65" s="1048">
        <f t="shared" si="81"/>
        <v>0</v>
      </c>
      <c r="AR65" s="1048">
        <f t="shared" si="82"/>
        <v>0</v>
      </c>
      <c r="AS65" s="1048">
        <f t="shared" si="83"/>
        <v>0</v>
      </c>
      <c r="AT65" s="1048">
        <f t="shared" si="84"/>
        <v>0</v>
      </c>
    </row>
    <row r="66" spans="1:46" s="172" customFormat="1" ht="15" customHeight="1" x14ac:dyDescent="0.15">
      <c r="A66" s="2173" t="s">
        <v>792</v>
      </c>
      <c r="B66" s="2174"/>
      <c r="C66" s="206">
        <f t="shared" si="70"/>
        <v>0</v>
      </c>
      <c r="D66" s="205">
        <f>+G66+J66</f>
        <v>0</v>
      </c>
      <c r="E66" s="204">
        <f t="shared" si="71"/>
        <v>0</v>
      </c>
      <c r="F66" s="206">
        <f t="shared" si="72"/>
        <v>0</v>
      </c>
      <c r="G66" s="153">
        <v>0</v>
      </c>
      <c r="H66" s="147">
        <v>0</v>
      </c>
      <c r="I66" s="206">
        <f t="shared" si="73"/>
        <v>0</v>
      </c>
      <c r="J66" s="153">
        <v>0</v>
      </c>
      <c r="K66" s="166">
        <v>0</v>
      </c>
      <c r="L66" s="207">
        <f t="shared" si="74"/>
        <v>0</v>
      </c>
      <c r="M66" s="153">
        <v>0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75" t="str">
        <f t="shared" si="80"/>
        <v/>
      </c>
      <c r="AN66" s="107"/>
      <c r="AO66" s="107"/>
      <c r="AP66" s="107"/>
      <c r="AQ66" s="1048">
        <f t="shared" si="81"/>
        <v>0</v>
      </c>
      <c r="AR66" s="1048">
        <f t="shared" si="82"/>
        <v>0</v>
      </c>
      <c r="AS66" s="1048">
        <f t="shared" si="83"/>
        <v>0</v>
      </c>
      <c r="AT66" s="1048">
        <f t="shared" si="84"/>
        <v>0</v>
      </c>
    </row>
    <row r="67" spans="1:46" s="172" customFormat="1" ht="15" customHeight="1" x14ac:dyDescent="0.15">
      <c r="A67" s="2192" t="s">
        <v>793</v>
      </c>
      <c r="B67" s="2193"/>
      <c r="C67" s="214">
        <f t="shared" si="70"/>
        <v>0</v>
      </c>
      <c r="D67" s="215">
        <f t="shared" si="85"/>
        <v>0</v>
      </c>
      <c r="E67" s="216">
        <f t="shared" si="71"/>
        <v>0</v>
      </c>
      <c r="F67" s="214">
        <f t="shared" si="72"/>
        <v>0</v>
      </c>
      <c r="G67" s="154">
        <v>0</v>
      </c>
      <c r="H67" s="155">
        <v>0</v>
      </c>
      <c r="I67" s="214">
        <f t="shared" si="73"/>
        <v>0</v>
      </c>
      <c r="J67" s="591">
        <v>0</v>
      </c>
      <c r="K67" s="160">
        <v>0</v>
      </c>
      <c r="L67" s="785">
        <f t="shared" si="74"/>
        <v>0</v>
      </c>
      <c r="M67" s="591">
        <v>0</v>
      </c>
      <c r="N67" s="155">
        <v>0</v>
      </c>
      <c r="O67" s="216">
        <f t="shared" si="75"/>
        <v>0</v>
      </c>
      <c r="P67" s="591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75" t="str">
        <f t="shared" si="80"/>
        <v/>
      </c>
      <c r="AN67" s="107"/>
      <c r="AO67" s="107"/>
      <c r="AP67" s="107"/>
      <c r="AQ67" s="1048">
        <f t="shared" si="81"/>
        <v>0</v>
      </c>
      <c r="AR67" s="1048">
        <f t="shared" si="82"/>
        <v>0</v>
      </c>
      <c r="AS67" s="1048">
        <f t="shared" si="83"/>
        <v>0</v>
      </c>
      <c r="AT67" s="1048">
        <f t="shared" si="84"/>
        <v>0</v>
      </c>
    </row>
    <row r="68" spans="1:46" s="172" customFormat="1" ht="17.100000000000001" customHeight="1" x14ac:dyDescent="0.15">
      <c r="A68" s="2172" t="s">
        <v>794</v>
      </c>
      <c r="B68" s="2172"/>
      <c r="C68" s="2172"/>
      <c r="D68" s="2172"/>
      <c r="E68" s="2172"/>
      <c r="F68" s="2172"/>
      <c r="G68" s="2172"/>
      <c r="H68" s="2172"/>
      <c r="I68" s="2172"/>
      <c r="J68" s="2172"/>
      <c r="K68" s="2172"/>
      <c r="L68" s="2172"/>
      <c r="M68" s="2172"/>
      <c r="N68" s="2172"/>
      <c r="O68" s="2172"/>
      <c r="P68" s="2172"/>
      <c r="Q68" s="2172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66" t="s">
        <v>795</v>
      </c>
      <c r="B69" s="2167"/>
      <c r="C69" s="2182" t="s">
        <v>54</v>
      </c>
      <c r="D69" s="2183"/>
      <c r="E69" s="2184"/>
      <c r="F69" s="2163" t="s">
        <v>796</v>
      </c>
      <c r="G69" s="2164"/>
      <c r="H69" s="2165"/>
      <c r="I69" s="2163" t="s">
        <v>797</v>
      </c>
      <c r="J69" s="2164"/>
      <c r="K69" s="2185"/>
      <c r="L69" s="2164" t="s">
        <v>742</v>
      </c>
      <c r="M69" s="2164"/>
      <c r="N69" s="2165"/>
      <c r="O69" s="2163" t="s">
        <v>57</v>
      </c>
      <c r="P69" s="2164"/>
      <c r="Q69" s="2165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68"/>
      <c r="B70" s="2169"/>
      <c r="C70" s="1542" t="s">
        <v>231</v>
      </c>
      <c r="D70" s="1542" t="s">
        <v>775</v>
      </c>
      <c r="E70" s="1090" t="s">
        <v>90</v>
      </c>
      <c r="F70" s="1542" t="s">
        <v>231</v>
      </c>
      <c r="G70" s="1542" t="s">
        <v>775</v>
      </c>
      <c r="H70" s="1090" t="s">
        <v>90</v>
      </c>
      <c r="I70" s="1542" t="s">
        <v>231</v>
      </c>
      <c r="J70" s="1542" t="s">
        <v>775</v>
      </c>
      <c r="K70" s="1177" t="s">
        <v>90</v>
      </c>
      <c r="L70" s="1551" t="s">
        <v>231</v>
      </c>
      <c r="M70" s="1542" t="s">
        <v>775</v>
      </c>
      <c r="N70" s="1090" t="s">
        <v>90</v>
      </c>
      <c r="O70" s="1542" t="s">
        <v>231</v>
      </c>
      <c r="P70" s="1542" t="s">
        <v>775</v>
      </c>
      <c r="Q70" s="1090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94" t="s">
        <v>798</v>
      </c>
      <c r="B71" s="2195"/>
      <c r="C71" s="201">
        <f>SUM(D71:E71)</f>
        <v>5</v>
      </c>
      <c r="D71" s="202">
        <f>+G71+J71</f>
        <v>3</v>
      </c>
      <c r="E71" s="201">
        <f>+H71+K71</f>
        <v>2</v>
      </c>
      <c r="F71" s="208">
        <f>SUM(G71:H71)</f>
        <v>3</v>
      </c>
      <c r="G71" s="134">
        <v>2</v>
      </c>
      <c r="H71" s="135">
        <v>1</v>
      </c>
      <c r="I71" s="208">
        <f>SUM(J71:K71)</f>
        <v>2</v>
      </c>
      <c r="J71" s="134">
        <v>1</v>
      </c>
      <c r="K71" s="156">
        <v>1</v>
      </c>
      <c r="L71" s="771">
        <f>SUM(M71:N71)</f>
        <v>1</v>
      </c>
      <c r="M71" s="134">
        <v>0</v>
      </c>
      <c r="N71" s="135">
        <v>1</v>
      </c>
      <c r="O71" s="772">
        <f>SUM(P71:Q71)</f>
        <v>0</v>
      </c>
      <c r="P71" s="134">
        <v>0</v>
      </c>
      <c r="Q71" s="135">
        <v>0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75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48">
        <f t="shared" ref="AQ71:AQ78" si="93">IF(AND($D71&gt;0,OR(M71="")),1,IF(M71&gt;$D71,1,0))</f>
        <v>0</v>
      </c>
      <c r="AR71" s="1048">
        <f t="shared" ref="AR71:AR78" si="94">IF(AND($E71&gt;0,OR(N71="")),1,IF(N71&gt;$E71,1,0))</f>
        <v>0</v>
      </c>
      <c r="AS71" s="1048">
        <f t="shared" ref="AS71:AS78" si="95">IF(AND($D71&gt;0,OR(P71="")),1,IF(P71&gt;$D71,1,0))</f>
        <v>0</v>
      </c>
      <c r="AT71" s="1048">
        <f t="shared" ref="AT71:AT78" si="96">IF(AND($E71&gt;0,OR(Q71="")),1,IF(Q71&gt;$E71,1,0))</f>
        <v>0</v>
      </c>
    </row>
    <row r="72" spans="1:46" s="172" customFormat="1" ht="15" customHeight="1" x14ac:dyDescent="0.15">
      <c r="A72" s="2173" t="s">
        <v>799</v>
      </c>
      <c r="B72" s="2174"/>
      <c r="C72" s="204">
        <f t="shared" ref="C72:C75" si="97">SUM(D72:E72)</f>
        <v>0</v>
      </c>
      <c r="D72" s="205">
        <f t="shared" ref="D72:D75" si="98">+G72+J72</f>
        <v>0</v>
      </c>
      <c r="E72" s="204">
        <f t="shared" ref="E72:E76" si="99">+H72+K72</f>
        <v>0</v>
      </c>
      <c r="F72" s="208">
        <f t="shared" ref="F72:F76" si="100">SUM(G72:H72)</f>
        <v>0</v>
      </c>
      <c r="G72" s="134">
        <v>0</v>
      </c>
      <c r="H72" s="135">
        <v>0</v>
      </c>
      <c r="I72" s="208">
        <f t="shared" ref="I72:I76" si="101">SUM(J72:K72)</f>
        <v>0</v>
      </c>
      <c r="J72" s="134">
        <v>0</v>
      </c>
      <c r="K72" s="156">
        <v>0</v>
      </c>
      <c r="L72" s="782">
        <f t="shared" ref="L72:L76" si="102">SUM(M72:N72)</f>
        <v>0</v>
      </c>
      <c r="M72" s="134">
        <v>0</v>
      </c>
      <c r="N72" s="135">
        <v>0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75" t="str">
        <f t="shared" si="92"/>
        <v/>
      </c>
      <c r="AN72" s="107"/>
      <c r="AO72" s="107"/>
      <c r="AP72" s="107"/>
      <c r="AQ72" s="1048">
        <f t="shared" si="93"/>
        <v>0</v>
      </c>
      <c r="AR72" s="1048">
        <f t="shared" si="94"/>
        <v>0</v>
      </c>
      <c r="AS72" s="1048">
        <f t="shared" si="95"/>
        <v>0</v>
      </c>
      <c r="AT72" s="1048">
        <f t="shared" si="96"/>
        <v>0</v>
      </c>
    </row>
    <row r="73" spans="1:46" s="172" customFormat="1" ht="15" customHeight="1" x14ac:dyDescent="0.15">
      <c r="A73" s="2173" t="s">
        <v>800</v>
      </c>
      <c r="B73" s="2174"/>
      <c r="C73" s="204">
        <f t="shared" si="97"/>
        <v>0</v>
      </c>
      <c r="D73" s="205">
        <f t="shared" si="98"/>
        <v>0</v>
      </c>
      <c r="E73" s="204">
        <f t="shared" si="99"/>
        <v>0</v>
      </c>
      <c r="F73" s="208">
        <f t="shared" si="100"/>
        <v>0</v>
      </c>
      <c r="G73" s="134">
        <v>0</v>
      </c>
      <c r="H73" s="135">
        <v>0</v>
      </c>
      <c r="I73" s="208">
        <f t="shared" si="101"/>
        <v>0</v>
      </c>
      <c r="J73" s="134">
        <v>0</v>
      </c>
      <c r="K73" s="156">
        <v>0</v>
      </c>
      <c r="L73" s="782">
        <f t="shared" si="102"/>
        <v>0</v>
      </c>
      <c r="M73" s="134">
        <v>0</v>
      </c>
      <c r="N73" s="135">
        <v>0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75" t="str">
        <f t="shared" si="92"/>
        <v/>
      </c>
      <c r="AN73" s="107"/>
      <c r="AO73" s="107"/>
      <c r="AP73" s="107"/>
      <c r="AQ73" s="1048">
        <f t="shared" si="93"/>
        <v>0</v>
      </c>
      <c r="AR73" s="1048">
        <f t="shared" si="94"/>
        <v>0</v>
      </c>
      <c r="AS73" s="1048">
        <f t="shared" si="95"/>
        <v>0</v>
      </c>
      <c r="AT73" s="1048">
        <f t="shared" si="96"/>
        <v>0</v>
      </c>
    </row>
    <row r="74" spans="1:46" s="172" customFormat="1" ht="15" customHeight="1" x14ac:dyDescent="0.15">
      <c r="A74" s="2173" t="s">
        <v>801</v>
      </c>
      <c r="B74" s="2174"/>
      <c r="C74" s="204">
        <f t="shared" si="97"/>
        <v>0</v>
      </c>
      <c r="D74" s="205">
        <f t="shared" si="98"/>
        <v>0</v>
      </c>
      <c r="E74" s="204">
        <f t="shared" si="99"/>
        <v>0</v>
      </c>
      <c r="F74" s="208">
        <f t="shared" si="100"/>
        <v>0</v>
      </c>
      <c r="G74" s="134">
        <v>0</v>
      </c>
      <c r="H74" s="135">
        <v>0</v>
      </c>
      <c r="I74" s="208">
        <f t="shared" si="101"/>
        <v>0</v>
      </c>
      <c r="J74" s="134">
        <v>0</v>
      </c>
      <c r="K74" s="156">
        <v>0</v>
      </c>
      <c r="L74" s="782">
        <f t="shared" si="102"/>
        <v>0</v>
      </c>
      <c r="M74" s="134">
        <v>0</v>
      </c>
      <c r="N74" s="135">
        <v>0</v>
      </c>
      <c r="O74" s="208">
        <f t="shared" si="103"/>
        <v>0</v>
      </c>
      <c r="P74" s="134">
        <v>0</v>
      </c>
      <c r="Q74" s="135">
        <v>0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75" t="str">
        <f t="shared" si="92"/>
        <v/>
      </c>
      <c r="AN74" s="107"/>
      <c r="AO74" s="107"/>
      <c r="AP74" s="107"/>
      <c r="AQ74" s="1048">
        <f t="shared" si="93"/>
        <v>0</v>
      </c>
      <c r="AR74" s="1048">
        <f t="shared" si="94"/>
        <v>0</v>
      </c>
      <c r="AS74" s="1048">
        <f t="shared" si="95"/>
        <v>0</v>
      </c>
      <c r="AT74" s="1048">
        <f t="shared" si="96"/>
        <v>0</v>
      </c>
    </row>
    <row r="75" spans="1:46" s="172" customFormat="1" ht="15" customHeight="1" x14ac:dyDescent="0.15">
      <c r="A75" s="1774" t="s">
        <v>802</v>
      </c>
      <c r="B75" s="1775"/>
      <c r="C75" s="208">
        <f t="shared" si="97"/>
        <v>0</v>
      </c>
      <c r="D75" s="213">
        <f t="shared" si="98"/>
        <v>0</v>
      </c>
      <c r="E75" s="208">
        <f t="shared" si="99"/>
        <v>0</v>
      </c>
      <c r="F75" s="208">
        <f t="shared" si="100"/>
        <v>0</v>
      </c>
      <c r="G75" s="134">
        <v>0</v>
      </c>
      <c r="H75" s="135">
        <v>0</v>
      </c>
      <c r="I75" s="208">
        <f t="shared" si="101"/>
        <v>0</v>
      </c>
      <c r="J75" s="134">
        <v>0</v>
      </c>
      <c r="K75" s="156">
        <v>0</v>
      </c>
      <c r="L75" s="782">
        <f t="shared" si="102"/>
        <v>0</v>
      </c>
      <c r="M75" s="134">
        <v>0</v>
      </c>
      <c r="N75" s="135">
        <v>0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75" t="str">
        <f t="shared" si="92"/>
        <v/>
      </c>
      <c r="AN75" s="107"/>
      <c r="AO75" s="107"/>
      <c r="AP75" s="107"/>
      <c r="AQ75" s="1048">
        <f t="shared" si="93"/>
        <v>0</v>
      </c>
      <c r="AR75" s="1048">
        <f t="shared" si="94"/>
        <v>0</v>
      </c>
      <c r="AS75" s="1048">
        <f t="shared" si="95"/>
        <v>0</v>
      </c>
      <c r="AT75" s="1048">
        <f t="shared" si="96"/>
        <v>0</v>
      </c>
    </row>
    <row r="76" spans="1:46" s="172" customFormat="1" ht="15" customHeight="1" x14ac:dyDescent="0.15">
      <c r="A76" s="2173" t="s">
        <v>803</v>
      </c>
      <c r="B76" s="2174"/>
      <c r="C76" s="204">
        <f>SUM(D76:E76)</f>
        <v>0</v>
      </c>
      <c r="D76" s="205">
        <f>+G76+J76</f>
        <v>0</v>
      </c>
      <c r="E76" s="204">
        <f t="shared" si="99"/>
        <v>0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0</v>
      </c>
      <c r="J76" s="134">
        <v>0</v>
      </c>
      <c r="K76" s="156">
        <v>0</v>
      </c>
      <c r="L76" s="782">
        <f t="shared" si="102"/>
        <v>0</v>
      </c>
      <c r="M76" s="134">
        <v>0</v>
      </c>
      <c r="N76" s="135">
        <v>0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75" t="str">
        <f t="shared" si="92"/>
        <v/>
      </c>
      <c r="AN76" s="107"/>
      <c r="AO76" s="107"/>
      <c r="AP76" s="107"/>
      <c r="AQ76" s="1048">
        <f t="shared" si="93"/>
        <v>0</v>
      </c>
      <c r="AR76" s="1048">
        <f t="shared" si="94"/>
        <v>0</v>
      </c>
      <c r="AS76" s="1048">
        <f t="shared" si="95"/>
        <v>0</v>
      </c>
      <c r="AT76" s="1048">
        <f t="shared" si="96"/>
        <v>0</v>
      </c>
    </row>
    <row r="77" spans="1:46" s="172" customFormat="1" ht="15" customHeight="1" x14ac:dyDescent="0.15">
      <c r="A77" s="2173" t="s">
        <v>804</v>
      </c>
      <c r="B77" s="2174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82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75" t="str">
        <f t="shared" si="92"/>
        <v/>
      </c>
      <c r="AN77" s="107"/>
      <c r="AO77" s="107"/>
      <c r="AP77" s="107"/>
      <c r="AQ77" s="1048">
        <f t="shared" si="93"/>
        <v>0</v>
      </c>
      <c r="AR77" s="1048">
        <f t="shared" si="94"/>
        <v>0</v>
      </c>
      <c r="AS77" s="1048">
        <f t="shared" si="95"/>
        <v>0</v>
      </c>
      <c r="AT77" s="1048">
        <f t="shared" si="96"/>
        <v>0</v>
      </c>
    </row>
    <row r="78" spans="1:46" s="172" customFormat="1" ht="15" customHeight="1" x14ac:dyDescent="0.15">
      <c r="A78" s="2192" t="s">
        <v>805</v>
      </c>
      <c r="B78" s="2193"/>
      <c r="C78" s="209">
        <f t="shared" si="104"/>
        <v>0</v>
      </c>
      <c r="D78" s="210">
        <f t="shared" si="105"/>
        <v>0</v>
      </c>
      <c r="E78" s="209">
        <f t="shared" si="106"/>
        <v>0</v>
      </c>
      <c r="F78" s="774">
        <f t="shared" si="107"/>
        <v>0</v>
      </c>
      <c r="G78" s="148">
        <v>0</v>
      </c>
      <c r="H78" s="149">
        <v>0</v>
      </c>
      <c r="I78" s="774">
        <f t="shared" si="108"/>
        <v>0</v>
      </c>
      <c r="J78" s="148">
        <v>0</v>
      </c>
      <c r="K78" s="157">
        <v>0</v>
      </c>
      <c r="L78" s="773">
        <f t="shared" si="109"/>
        <v>0</v>
      </c>
      <c r="M78" s="148">
        <v>0</v>
      </c>
      <c r="N78" s="149">
        <v>0</v>
      </c>
      <c r="O78" s="774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75" t="str">
        <f t="shared" si="92"/>
        <v/>
      </c>
      <c r="AN78" s="107"/>
      <c r="AO78" s="107"/>
      <c r="AP78" s="107"/>
      <c r="AQ78" s="1048">
        <f t="shared" si="93"/>
        <v>0</v>
      </c>
      <c r="AR78" s="1048">
        <f t="shared" si="94"/>
        <v>0</v>
      </c>
      <c r="AS78" s="1048">
        <f t="shared" si="95"/>
        <v>0</v>
      </c>
      <c r="AT78" s="1048">
        <f t="shared" si="96"/>
        <v>0</v>
      </c>
    </row>
    <row r="79" spans="1:46" s="172" customFormat="1" ht="17.100000000000001" customHeight="1" x14ac:dyDescent="0.15">
      <c r="A79" s="2172" t="s">
        <v>806</v>
      </c>
      <c r="B79" s="2172"/>
      <c r="C79" s="2172"/>
      <c r="D79" s="2172"/>
      <c r="E79" s="2172"/>
      <c r="F79" s="2172"/>
      <c r="G79" s="2172"/>
      <c r="H79" s="2172"/>
      <c r="I79" s="2172"/>
      <c r="J79" s="2172"/>
      <c r="K79" s="2172"/>
      <c r="L79" s="2172"/>
      <c r="M79" s="2172"/>
      <c r="N79" s="2172"/>
      <c r="O79" s="2172"/>
      <c r="P79" s="2172"/>
      <c r="Q79" s="2172"/>
      <c r="R79" s="1276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66" t="s">
        <v>807</v>
      </c>
      <c r="B80" s="2167"/>
      <c r="C80" s="2182" t="s">
        <v>54</v>
      </c>
      <c r="D80" s="2183"/>
      <c r="E80" s="2184"/>
      <c r="F80" s="2182" t="s">
        <v>773</v>
      </c>
      <c r="G80" s="2183"/>
      <c r="H80" s="2184"/>
      <c r="I80" s="2182" t="s">
        <v>774</v>
      </c>
      <c r="J80" s="2183"/>
      <c r="K80" s="2189"/>
      <c r="L80" s="2190" t="s">
        <v>742</v>
      </c>
      <c r="M80" s="2183"/>
      <c r="N80" s="2184"/>
      <c r="O80" s="2182" t="s">
        <v>57</v>
      </c>
      <c r="P80" s="2183"/>
      <c r="Q80" s="2184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68"/>
      <c r="B81" s="2169"/>
      <c r="C81" s="1561" t="s">
        <v>231</v>
      </c>
      <c r="D81" s="1542" t="s">
        <v>775</v>
      </c>
      <c r="E81" s="1090" t="s">
        <v>90</v>
      </c>
      <c r="F81" s="1562" t="s">
        <v>231</v>
      </c>
      <c r="G81" s="1542" t="s">
        <v>775</v>
      </c>
      <c r="H81" s="1090" t="s">
        <v>90</v>
      </c>
      <c r="I81" s="1562" t="s">
        <v>231</v>
      </c>
      <c r="J81" s="1542" t="s">
        <v>775</v>
      </c>
      <c r="K81" s="1277" t="s">
        <v>90</v>
      </c>
      <c r="L81" s="1278" t="s">
        <v>231</v>
      </c>
      <c r="M81" s="1542" t="s">
        <v>775</v>
      </c>
      <c r="N81" s="1090" t="s">
        <v>90</v>
      </c>
      <c r="O81" s="1561" t="s">
        <v>231</v>
      </c>
      <c r="P81" s="1542" t="s">
        <v>775</v>
      </c>
      <c r="Q81" s="1090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94" t="s">
        <v>808</v>
      </c>
      <c r="B82" s="2195"/>
      <c r="C82" s="201">
        <f>SUM(D82:E82)</f>
        <v>0</v>
      </c>
      <c r="D82" s="202">
        <f>+G82+J82</f>
        <v>0</v>
      </c>
      <c r="E82" s="201">
        <f t="shared" ref="E82:E86" si="111">+H82+K82</f>
        <v>0</v>
      </c>
      <c r="F82" s="208">
        <f>SUM(G82:H82)</f>
        <v>0</v>
      </c>
      <c r="G82" s="1279">
        <v>0</v>
      </c>
      <c r="H82" s="1280">
        <v>0</v>
      </c>
      <c r="I82" s="208">
        <f t="shared" ref="I82:I86" si="112">SUM(J82:K82)</f>
        <v>0</v>
      </c>
      <c r="J82" s="1279">
        <v>0</v>
      </c>
      <c r="K82" s="1281">
        <v>0</v>
      </c>
      <c r="L82" s="771">
        <f t="shared" ref="L82:L86" si="113">SUM(M82:N82)</f>
        <v>0</v>
      </c>
      <c r="M82" s="1279">
        <v>0</v>
      </c>
      <c r="N82" s="1280">
        <v>0</v>
      </c>
      <c r="O82" s="772">
        <f t="shared" ref="O82:O86" si="114">SUM(P82:Q82)</f>
        <v>0</v>
      </c>
      <c r="P82" s="1279">
        <v>0</v>
      </c>
      <c r="Q82" s="1280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75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48">
        <f t="shared" ref="AQ82:AQ86" si="116">IF(AND($D82&gt;0,OR(M82="")),1,IF(M82&gt;$D82,1,0))</f>
        <v>0</v>
      </c>
      <c r="AR82" s="1048">
        <f t="shared" ref="AR82:AR86" si="117">IF(AND($E82&gt;0,OR(N82="")),1,IF(N82&gt;$E82,1,0))</f>
        <v>0</v>
      </c>
      <c r="AS82" s="1048">
        <f t="shared" ref="AS82:AS86" si="118">IF(AND($D82&gt;0,OR(P82="")),1,IF(P82&gt;$D82,1,0))</f>
        <v>0</v>
      </c>
      <c r="AT82" s="1048">
        <f t="shared" ref="AT82:AT86" si="119">IF(AND($E82&gt;0,OR(Q82="")),1,IF(Q82&gt;$E82,1,0))</f>
        <v>0</v>
      </c>
    </row>
    <row r="83" spans="1:48" s="172" customFormat="1" ht="15" customHeight="1" x14ac:dyDescent="0.15">
      <c r="A83" s="2173" t="s">
        <v>809</v>
      </c>
      <c r="B83" s="2174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79">
        <v>0</v>
      </c>
      <c r="H83" s="1280">
        <v>0</v>
      </c>
      <c r="I83" s="208">
        <f t="shared" si="112"/>
        <v>0</v>
      </c>
      <c r="J83" s="1279">
        <v>0</v>
      </c>
      <c r="K83" s="1281">
        <v>0</v>
      </c>
      <c r="L83" s="782">
        <f t="shared" si="113"/>
        <v>0</v>
      </c>
      <c r="M83" s="1279">
        <v>0</v>
      </c>
      <c r="N83" s="1280">
        <v>0</v>
      </c>
      <c r="O83" s="208">
        <f t="shared" si="114"/>
        <v>0</v>
      </c>
      <c r="P83" s="1279">
        <v>0</v>
      </c>
      <c r="Q83" s="1280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75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48">
        <f t="shared" si="116"/>
        <v>0</v>
      </c>
      <c r="AR83" s="1048">
        <f t="shared" si="117"/>
        <v>0</v>
      </c>
      <c r="AS83" s="1048">
        <f t="shared" si="118"/>
        <v>0</v>
      </c>
      <c r="AT83" s="1048">
        <f t="shared" si="119"/>
        <v>0</v>
      </c>
    </row>
    <row r="84" spans="1:48" s="172" customFormat="1" ht="15" customHeight="1" x14ac:dyDescent="0.15">
      <c r="A84" s="2173" t="s">
        <v>642</v>
      </c>
      <c r="B84" s="2174"/>
      <c r="C84" s="204">
        <f t="shared" si="120"/>
        <v>0</v>
      </c>
      <c r="D84" s="205">
        <f t="shared" si="121"/>
        <v>0</v>
      </c>
      <c r="E84" s="204">
        <f t="shared" si="111"/>
        <v>0</v>
      </c>
      <c r="F84" s="208">
        <f t="shared" si="122"/>
        <v>0</v>
      </c>
      <c r="G84" s="1279">
        <v>0</v>
      </c>
      <c r="H84" s="1280">
        <v>0</v>
      </c>
      <c r="I84" s="208">
        <f t="shared" si="112"/>
        <v>0</v>
      </c>
      <c r="J84" s="1279">
        <v>0</v>
      </c>
      <c r="K84" s="1281">
        <v>0</v>
      </c>
      <c r="L84" s="782">
        <f t="shared" si="113"/>
        <v>0</v>
      </c>
      <c r="M84" s="1279">
        <v>0</v>
      </c>
      <c r="N84" s="1280">
        <v>0</v>
      </c>
      <c r="O84" s="208">
        <f t="shared" si="114"/>
        <v>0</v>
      </c>
      <c r="P84" s="1279">
        <v>0</v>
      </c>
      <c r="Q84" s="1280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75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48">
        <f t="shared" si="116"/>
        <v>0</v>
      </c>
      <c r="AR84" s="1048">
        <f t="shared" si="117"/>
        <v>0</v>
      </c>
      <c r="AS84" s="1048">
        <f t="shared" si="118"/>
        <v>0</v>
      </c>
      <c r="AT84" s="1048">
        <f t="shared" si="119"/>
        <v>0</v>
      </c>
    </row>
    <row r="85" spans="1:48" s="172" customFormat="1" ht="15" customHeight="1" x14ac:dyDescent="0.15">
      <c r="A85" s="2173" t="s">
        <v>810</v>
      </c>
      <c r="B85" s="2174"/>
      <c r="C85" s="204">
        <f t="shared" si="120"/>
        <v>1</v>
      </c>
      <c r="D85" s="205">
        <f t="shared" si="121"/>
        <v>1</v>
      </c>
      <c r="E85" s="204">
        <f t="shared" si="111"/>
        <v>0</v>
      </c>
      <c r="F85" s="208">
        <f t="shared" si="122"/>
        <v>1</v>
      </c>
      <c r="G85" s="1279">
        <v>1</v>
      </c>
      <c r="H85" s="1280">
        <v>0</v>
      </c>
      <c r="I85" s="208">
        <f t="shared" si="112"/>
        <v>0</v>
      </c>
      <c r="J85" s="1279">
        <v>0</v>
      </c>
      <c r="K85" s="1281">
        <v>0</v>
      </c>
      <c r="L85" s="782">
        <f t="shared" si="113"/>
        <v>0</v>
      </c>
      <c r="M85" s="1279">
        <v>0</v>
      </c>
      <c r="N85" s="1280">
        <v>0</v>
      </c>
      <c r="O85" s="208">
        <f t="shared" si="114"/>
        <v>0</v>
      </c>
      <c r="P85" s="1279">
        <v>0</v>
      </c>
      <c r="Q85" s="1280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75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48">
        <f t="shared" si="116"/>
        <v>0</v>
      </c>
      <c r="AR85" s="1048">
        <f t="shared" si="117"/>
        <v>0</v>
      </c>
      <c r="AS85" s="1048">
        <f t="shared" si="118"/>
        <v>0</v>
      </c>
      <c r="AT85" s="1048">
        <f t="shared" si="119"/>
        <v>0</v>
      </c>
    </row>
    <row r="86" spans="1:48" s="172" customFormat="1" ht="15" customHeight="1" x14ac:dyDescent="0.15">
      <c r="A86" s="2201" t="s">
        <v>811</v>
      </c>
      <c r="B86" s="2202"/>
      <c r="C86" s="774">
        <f t="shared" si="120"/>
        <v>0</v>
      </c>
      <c r="D86" s="1282">
        <f t="shared" si="121"/>
        <v>0</v>
      </c>
      <c r="E86" s="774">
        <f t="shared" si="111"/>
        <v>0</v>
      </c>
      <c r="F86" s="774">
        <f t="shared" si="122"/>
        <v>0</v>
      </c>
      <c r="G86" s="1283">
        <v>0</v>
      </c>
      <c r="H86" s="1284">
        <v>0</v>
      </c>
      <c r="I86" s="774">
        <f t="shared" si="112"/>
        <v>0</v>
      </c>
      <c r="J86" s="1283">
        <v>0</v>
      </c>
      <c r="K86" s="1285">
        <v>0</v>
      </c>
      <c r="L86" s="773">
        <f t="shared" si="113"/>
        <v>0</v>
      </c>
      <c r="M86" s="1283">
        <v>0</v>
      </c>
      <c r="N86" s="1284">
        <v>0</v>
      </c>
      <c r="O86" s="774">
        <f t="shared" si="114"/>
        <v>0</v>
      </c>
      <c r="P86" s="1283">
        <v>0</v>
      </c>
      <c r="Q86" s="1284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75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48">
        <f t="shared" si="116"/>
        <v>0</v>
      </c>
      <c r="AR86" s="1048">
        <f t="shared" si="117"/>
        <v>0</v>
      </c>
      <c r="AS86" s="1048">
        <f t="shared" si="118"/>
        <v>0</v>
      </c>
      <c r="AT86" s="1048">
        <f t="shared" si="119"/>
        <v>0</v>
      </c>
    </row>
    <row r="87" spans="1:48" s="172" customFormat="1" ht="17.100000000000001" customHeight="1" x14ac:dyDescent="0.15">
      <c r="A87" s="2172" t="s">
        <v>812</v>
      </c>
      <c r="B87" s="2172"/>
      <c r="C87" s="2172"/>
      <c r="D87" s="2172"/>
      <c r="E87" s="2172"/>
      <c r="F87" s="2172"/>
      <c r="G87" s="2172"/>
      <c r="H87" s="2172"/>
      <c r="I87" s="2172"/>
      <c r="J87" s="2172"/>
      <c r="K87" s="2172"/>
      <c r="L87" s="2172"/>
      <c r="M87" s="2172"/>
      <c r="N87" s="2172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86" t="s">
        <v>813</v>
      </c>
      <c r="B88" s="2186" t="s">
        <v>814</v>
      </c>
      <c r="C88" s="2163" t="s">
        <v>815</v>
      </c>
      <c r="D88" s="2164"/>
      <c r="E88" s="2185"/>
      <c r="F88" s="2188" t="s">
        <v>742</v>
      </c>
      <c r="G88" s="2164"/>
      <c r="H88" s="2165"/>
      <c r="I88" s="2163" t="s">
        <v>57</v>
      </c>
      <c r="J88" s="2164"/>
      <c r="K88" s="2165"/>
      <c r="L88" s="2163" t="s">
        <v>816</v>
      </c>
      <c r="M88" s="2164"/>
      <c r="N88" s="2165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87"/>
      <c r="B89" s="2187"/>
      <c r="C89" s="1542" t="s">
        <v>231</v>
      </c>
      <c r="D89" s="1542" t="s">
        <v>775</v>
      </c>
      <c r="E89" s="1543" t="s">
        <v>90</v>
      </c>
      <c r="F89" s="1551" t="s">
        <v>231</v>
      </c>
      <c r="G89" s="1542" t="s">
        <v>775</v>
      </c>
      <c r="H89" s="1090" t="s">
        <v>90</v>
      </c>
      <c r="I89" s="1542" t="s">
        <v>231</v>
      </c>
      <c r="J89" s="1542" t="s">
        <v>775</v>
      </c>
      <c r="K89" s="1090" t="s">
        <v>90</v>
      </c>
      <c r="L89" s="1542" t="s">
        <v>231</v>
      </c>
      <c r="M89" s="1542" t="s">
        <v>775</v>
      </c>
      <c r="N89" s="1090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917" t="s">
        <v>817</v>
      </c>
      <c r="B90" s="217" t="s">
        <v>773</v>
      </c>
      <c r="C90" s="786">
        <f>SUM(D90:E90)</f>
        <v>0</v>
      </c>
      <c r="D90" s="134">
        <v>0</v>
      </c>
      <c r="E90" s="156">
        <v>0</v>
      </c>
      <c r="F90" s="787">
        <f>SUM(G90:H90)</f>
        <v>0</v>
      </c>
      <c r="G90" s="134">
        <v>0</v>
      </c>
      <c r="H90" s="135">
        <v>0</v>
      </c>
      <c r="I90" s="786">
        <f>SUM(J90:K90)</f>
        <v>0</v>
      </c>
      <c r="J90" s="134">
        <v>0</v>
      </c>
      <c r="K90" s="135">
        <v>0</v>
      </c>
      <c r="L90" s="788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48">
        <f>IF(AND($D90&gt;0,OR(G90="")),1,IF(G90&gt;$D90,1,0))</f>
        <v>0</v>
      </c>
      <c r="AR90" s="1048">
        <f>IF(AND($E90&gt;0,OR(H90="")),1,IF(H90&gt;$E90,1,0))</f>
        <v>0</v>
      </c>
      <c r="AS90" s="1048">
        <f>IF(AND($D90&gt;0,OR(J90="")),1,IF(J90&gt;$D90,1,0))</f>
        <v>0</v>
      </c>
      <c r="AT90" s="1048">
        <f>IF(AND($E90&gt;0,OR(K90="")),1,IF(K90&gt;$E90,1,0))</f>
        <v>0</v>
      </c>
      <c r="AU90" s="1048">
        <f>IF(AND($D90&gt;0,OR(M90="")),1,IF(M90&gt;$D90,1,0))</f>
        <v>0</v>
      </c>
      <c r="AV90" s="1048">
        <f>IF(AND($E90&gt;0,OR(N90="")),1,IF(N90&gt;$E90,1,0))</f>
        <v>0</v>
      </c>
    </row>
    <row r="91" spans="1:48" s="172" customFormat="1" ht="15" customHeight="1" x14ac:dyDescent="0.15">
      <c r="A91" s="1919"/>
      <c r="B91" s="1314" t="s">
        <v>818</v>
      </c>
      <c r="C91" s="789">
        <f>SUM(D91:E91)</f>
        <v>0</v>
      </c>
      <c r="D91" s="142">
        <v>0</v>
      </c>
      <c r="E91" s="158">
        <v>0</v>
      </c>
      <c r="F91" s="790">
        <f t="shared" ref="F91:F103" si="124">SUM(G91:H91)</f>
        <v>0</v>
      </c>
      <c r="G91" s="142">
        <v>0</v>
      </c>
      <c r="H91" s="143">
        <v>0</v>
      </c>
      <c r="I91" s="789">
        <f t="shared" ref="I91:I103" si="125">SUM(J91:K91)</f>
        <v>0</v>
      </c>
      <c r="J91" s="142">
        <v>0</v>
      </c>
      <c r="K91" s="143">
        <v>0</v>
      </c>
      <c r="L91" s="791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48">
        <f t="shared" ref="AQ91:AQ103" si="134">IF(AND($D91&gt;0,OR(G91="")),1,IF(G91&gt;$D91,1,0))</f>
        <v>0</v>
      </c>
      <c r="AR91" s="1048">
        <f t="shared" ref="AR91:AR103" si="135">IF(AND($E91&gt;0,OR(H91="")),1,IF(H91&gt;$E91,1,0))</f>
        <v>0</v>
      </c>
      <c r="AS91" s="1048">
        <f t="shared" ref="AS91:AS103" si="136">IF(AND($D91&gt;0,OR(J91="")),1,IF(J91&gt;$D91,1,0))</f>
        <v>0</v>
      </c>
      <c r="AT91" s="1048">
        <f t="shared" ref="AT91:AT103" si="137">IF(AND($E91&gt;0,OR(K91="")),1,IF(K91&gt;$E91,1,0))</f>
        <v>0</v>
      </c>
      <c r="AU91" s="1048">
        <f t="shared" ref="AU91:AU103" si="138">IF(AND($D91&gt;0,OR(M91="")),1,IF(M91&gt;$D91,1,0))</f>
        <v>0</v>
      </c>
      <c r="AV91" s="1048">
        <f t="shared" ref="AV91:AV103" si="139">IF(AND($E91&gt;0,OR(N91="")),1,IF(N91&gt;$E91,1,0))</f>
        <v>0</v>
      </c>
    </row>
    <row r="92" spans="1:48" s="172" customFormat="1" ht="15" customHeight="1" x14ac:dyDescent="0.25">
      <c r="A92" s="1917" t="s">
        <v>819</v>
      </c>
      <c r="B92" s="217" t="s">
        <v>773</v>
      </c>
      <c r="C92" s="792">
        <f t="shared" ref="C92:C103" si="140">SUM(D92:E92)</f>
        <v>0</v>
      </c>
      <c r="D92" s="144">
        <v>0</v>
      </c>
      <c r="E92" s="159">
        <v>0</v>
      </c>
      <c r="F92" s="780">
        <f t="shared" si="124"/>
        <v>0</v>
      </c>
      <c r="G92" s="144">
        <v>0</v>
      </c>
      <c r="H92" s="145">
        <v>0</v>
      </c>
      <c r="I92" s="792">
        <f t="shared" si="125"/>
        <v>0</v>
      </c>
      <c r="J92" s="144">
        <v>0</v>
      </c>
      <c r="K92" s="145">
        <v>0</v>
      </c>
      <c r="L92" s="781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48">
        <f t="shared" si="134"/>
        <v>0</v>
      </c>
      <c r="AR92" s="1048">
        <f t="shared" si="135"/>
        <v>0</v>
      </c>
      <c r="AS92" s="1048">
        <f t="shared" si="136"/>
        <v>0</v>
      </c>
      <c r="AT92" s="1048">
        <f t="shared" si="137"/>
        <v>0</v>
      </c>
      <c r="AU92" s="1048">
        <f t="shared" si="138"/>
        <v>0</v>
      </c>
      <c r="AV92" s="1048">
        <f t="shared" si="139"/>
        <v>0</v>
      </c>
    </row>
    <row r="93" spans="1:48" s="172" customFormat="1" ht="15" customHeight="1" x14ac:dyDescent="0.15">
      <c r="A93" s="1919"/>
      <c r="B93" s="1314" t="s">
        <v>818</v>
      </c>
      <c r="C93" s="793">
        <f t="shared" si="140"/>
        <v>0</v>
      </c>
      <c r="D93" s="154">
        <v>0</v>
      </c>
      <c r="E93" s="160">
        <v>0</v>
      </c>
      <c r="F93" s="773">
        <f t="shared" si="124"/>
        <v>0</v>
      </c>
      <c r="G93" s="154">
        <v>0</v>
      </c>
      <c r="H93" s="155">
        <v>0</v>
      </c>
      <c r="I93" s="793">
        <f t="shared" si="125"/>
        <v>0</v>
      </c>
      <c r="J93" s="154">
        <v>0</v>
      </c>
      <c r="K93" s="155">
        <v>0</v>
      </c>
      <c r="L93" s="774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48">
        <f t="shared" si="134"/>
        <v>0</v>
      </c>
      <c r="AR93" s="1048">
        <f t="shared" si="135"/>
        <v>0</v>
      </c>
      <c r="AS93" s="1048">
        <f t="shared" si="136"/>
        <v>0</v>
      </c>
      <c r="AT93" s="1048">
        <f t="shared" si="137"/>
        <v>0</v>
      </c>
      <c r="AU93" s="1048">
        <f t="shared" si="138"/>
        <v>0</v>
      </c>
      <c r="AV93" s="1048">
        <f>IF(AND($E93&gt;0,OR(N93="")),1,IF(N93&gt;$E93,1,0))</f>
        <v>0</v>
      </c>
    </row>
    <row r="94" spans="1:48" s="172" customFormat="1" ht="15" customHeight="1" x14ac:dyDescent="0.15">
      <c r="A94" s="1917" t="s">
        <v>820</v>
      </c>
      <c r="B94" s="217" t="s">
        <v>773</v>
      </c>
      <c r="C94" s="792">
        <f t="shared" si="140"/>
        <v>0</v>
      </c>
      <c r="D94" s="144">
        <v>0</v>
      </c>
      <c r="E94" s="159">
        <v>0</v>
      </c>
      <c r="F94" s="780">
        <f t="shared" si="124"/>
        <v>0</v>
      </c>
      <c r="G94" s="144">
        <v>0</v>
      </c>
      <c r="H94" s="145">
        <v>0</v>
      </c>
      <c r="I94" s="792">
        <f t="shared" si="125"/>
        <v>0</v>
      </c>
      <c r="J94" s="144">
        <v>0</v>
      </c>
      <c r="K94" s="145">
        <v>0</v>
      </c>
      <c r="L94" s="781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48">
        <f t="shared" si="134"/>
        <v>0</v>
      </c>
      <c r="AR94" s="1048">
        <f t="shared" si="135"/>
        <v>0</v>
      </c>
      <c r="AS94" s="1048">
        <f t="shared" si="136"/>
        <v>0</v>
      </c>
      <c r="AT94" s="1048">
        <f t="shared" si="137"/>
        <v>0</v>
      </c>
      <c r="AU94" s="1048">
        <f t="shared" si="138"/>
        <v>0</v>
      </c>
      <c r="AV94" s="1048">
        <f t="shared" si="139"/>
        <v>0</v>
      </c>
    </row>
    <row r="95" spans="1:48" s="172" customFormat="1" ht="15" customHeight="1" x14ac:dyDescent="0.25">
      <c r="A95" s="1919"/>
      <c r="B95" s="1314" t="s">
        <v>818</v>
      </c>
      <c r="C95" s="793">
        <f t="shared" si="140"/>
        <v>0</v>
      </c>
      <c r="D95" s="154">
        <v>0</v>
      </c>
      <c r="E95" s="160">
        <v>0</v>
      </c>
      <c r="F95" s="773">
        <f t="shared" si="124"/>
        <v>0</v>
      </c>
      <c r="G95" s="154">
        <v>0</v>
      </c>
      <c r="H95" s="155">
        <v>0</v>
      </c>
      <c r="I95" s="793">
        <f t="shared" si="125"/>
        <v>0</v>
      </c>
      <c r="J95" s="154">
        <v>0</v>
      </c>
      <c r="K95" s="155">
        <v>0</v>
      </c>
      <c r="L95" s="774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48">
        <f t="shared" si="134"/>
        <v>0</v>
      </c>
      <c r="AR95" s="1048">
        <f t="shared" si="135"/>
        <v>0</v>
      </c>
      <c r="AS95" s="1048">
        <f t="shared" si="136"/>
        <v>0</v>
      </c>
      <c r="AT95" s="1048">
        <f t="shared" si="137"/>
        <v>0</v>
      </c>
      <c r="AU95" s="1048">
        <f t="shared" si="138"/>
        <v>0</v>
      </c>
      <c r="AV95" s="1048">
        <f t="shared" si="139"/>
        <v>0</v>
      </c>
    </row>
    <row r="96" spans="1:48" s="172" customFormat="1" ht="15" customHeight="1" x14ac:dyDescent="0.15">
      <c r="A96" s="1917" t="s">
        <v>821</v>
      </c>
      <c r="B96" s="217" t="s">
        <v>773</v>
      </c>
      <c r="C96" s="792">
        <f t="shared" si="140"/>
        <v>0</v>
      </c>
      <c r="D96" s="144">
        <v>0</v>
      </c>
      <c r="E96" s="159">
        <v>0</v>
      </c>
      <c r="F96" s="780">
        <f t="shared" si="124"/>
        <v>0</v>
      </c>
      <c r="G96" s="144">
        <v>0</v>
      </c>
      <c r="H96" s="145">
        <v>0</v>
      </c>
      <c r="I96" s="792">
        <f t="shared" si="125"/>
        <v>0</v>
      </c>
      <c r="J96" s="144">
        <v>0</v>
      </c>
      <c r="K96" s="145">
        <v>0</v>
      </c>
      <c r="L96" s="781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48">
        <f t="shared" si="134"/>
        <v>0</v>
      </c>
      <c r="AR96" s="1048">
        <f t="shared" si="135"/>
        <v>0</v>
      </c>
      <c r="AS96" s="1048">
        <f t="shared" si="136"/>
        <v>0</v>
      </c>
      <c r="AT96" s="1048">
        <f t="shared" si="137"/>
        <v>0</v>
      </c>
      <c r="AU96" s="1048">
        <f t="shared" si="138"/>
        <v>0</v>
      </c>
      <c r="AV96" s="1048">
        <f t="shared" si="139"/>
        <v>0</v>
      </c>
    </row>
    <row r="97" spans="1:48" s="172" customFormat="1" ht="15" customHeight="1" x14ac:dyDescent="0.15">
      <c r="A97" s="1919"/>
      <c r="B97" s="1314" t="s">
        <v>818</v>
      </c>
      <c r="C97" s="793">
        <f t="shared" si="140"/>
        <v>0</v>
      </c>
      <c r="D97" s="154">
        <v>0</v>
      </c>
      <c r="E97" s="160">
        <v>0</v>
      </c>
      <c r="F97" s="773">
        <f t="shared" si="124"/>
        <v>0</v>
      </c>
      <c r="G97" s="154">
        <v>0</v>
      </c>
      <c r="H97" s="155">
        <v>0</v>
      </c>
      <c r="I97" s="793">
        <f t="shared" si="125"/>
        <v>0</v>
      </c>
      <c r="J97" s="154">
        <v>0</v>
      </c>
      <c r="K97" s="155">
        <v>0</v>
      </c>
      <c r="L97" s="774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48">
        <f t="shared" si="134"/>
        <v>0</v>
      </c>
      <c r="AR97" s="1048">
        <f t="shared" si="135"/>
        <v>0</v>
      </c>
      <c r="AS97" s="1048">
        <f t="shared" si="136"/>
        <v>0</v>
      </c>
      <c r="AT97" s="1048">
        <f t="shared" si="137"/>
        <v>0</v>
      </c>
      <c r="AU97" s="1048">
        <f t="shared" si="138"/>
        <v>0</v>
      </c>
      <c r="AV97" s="1048">
        <f t="shared" si="139"/>
        <v>0</v>
      </c>
    </row>
    <row r="98" spans="1:48" s="172" customFormat="1" ht="15" customHeight="1" x14ac:dyDescent="0.15">
      <c r="A98" s="1917" t="s">
        <v>822</v>
      </c>
      <c r="B98" s="217" t="s">
        <v>773</v>
      </c>
      <c r="C98" s="792">
        <f t="shared" si="140"/>
        <v>0</v>
      </c>
      <c r="D98" s="144">
        <v>0</v>
      </c>
      <c r="E98" s="159">
        <v>0</v>
      </c>
      <c r="F98" s="780">
        <f t="shared" si="124"/>
        <v>0</v>
      </c>
      <c r="G98" s="144">
        <v>0</v>
      </c>
      <c r="H98" s="145">
        <v>0</v>
      </c>
      <c r="I98" s="792">
        <f t="shared" si="125"/>
        <v>0</v>
      </c>
      <c r="J98" s="144">
        <v>0</v>
      </c>
      <c r="K98" s="145">
        <v>0</v>
      </c>
      <c r="L98" s="781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48">
        <f t="shared" si="134"/>
        <v>0</v>
      </c>
      <c r="AR98" s="1048">
        <f t="shared" si="135"/>
        <v>0</v>
      </c>
      <c r="AS98" s="1048">
        <f t="shared" si="136"/>
        <v>0</v>
      </c>
      <c r="AT98" s="1048">
        <f t="shared" si="137"/>
        <v>0</v>
      </c>
      <c r="AU98" s="1048">
        <f t="shared" si="138"/>
        <v>0</v>
      </c>
      <c r="AV98" s="1048">
        <f t="shared" si="139"/>
        <v>0</v>
      </c>
    </row>
    <row r="99" spans="1:48" s="172" customFormat="1" ht="15" customHeight="1" x14ac:dyDescent="0.15">
      <c r="A99" s="1919"/>
      <c r="B99" s="1314" t="s">
        <v>818</v>
      </c>
      <c r="C99" s="793">
        <f t="shared" si="140"/>
        <v>0</v>
      </c>
      <c r="D99" s="154">
        <v>0</v>
      </c>
      <c r="E99" s="160">
        <v>0</v>
      </c>
      <c r="F99" s="773">
        <f t="shared" si="124"/>
        <v>0</v>
      </c>
      <c r="G99" s="154">
        <v>0</v>
      </c>
      <c r="H99" s="155">
        <v>0</v>
      </c>
      <c r="I99" s="793">
        <f t="shared" si="125"/>
        <v>0</v>
      </c>
      <c r="J99" s="154">
        <v>0</v>
      </c>
      <c r="K99" s="155">
        <v>0</v>
      </c>
      <c r="L99" s="774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48">
        <f t="shared" si="134"/>
        <v>0</v>
      </c>
      <c r="AR99" s="1048">
        <f t="shared" si="135"/>
        <v>0</v>
      </c>
      <c r="AS99" s="1048">
        <f t="shared" si="136"/>
        <v>0</v>
      </c>
      <c r="AT99" s="1048">
        <f t="shared" si="137"/>
        <v>0</v>
      </c>
      <c r="AU99" s="1048">
        <f t="shared" si="138"/>
        <v>0</v>
      </c>
      <c r="AV99" s="1048">
        <f t="shared" si="139"/>
        <v>0</v>
      </c>
    </row>
    <row r="100" spans="1:48" s="172" customFormat="1" ht="15" customHeight="1" x14ac:dyDescent="0.15">
      <c r="A100" s="1917" t="s">
        <v>823</v>
      </c>
      <c r="B100" s="217" t="s">
        <v>773</v>
      </c>
      <c r="C100" s="792">
        <f t="shared" si="140"/>
        <v>0</v>
      </c>
      <c r="D100" s="144">
        <v>0</v>
      </c>
      <c r="E100" s="159">
        <v>0</v>
      </c>
      <c r="F100" s="780">
        <f t="shared" si="124"/>
        <v>0</v>
      </c>
      <c r="G100" s="144">
        <v>0</v>
      </c>
      <c r="H100" s="145">
        <v>0</v>
      </c>
      <c r="I100" s="792">
        <f t="shared" si="125"/>
        <v>0</v>
      </c>
      <c r="J100" s="144">
        <v>0</v>
      </c>
      <c r="K100" s="145">
        <v>0</v>
      </c>
      <c r="L100" s="781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48">
        <f t="shared" si="134"/>
        <v>0</v>
      </c>
      <c r="AR100" s="1048">
        <f t="shared" si="135"/>
        <v>0</v>
      </c>
      <c r="AS100" s="1048">
        <f t="shared" si="136"/>
        <v>0</v>
      </c>
      <c r="AT100" s="1048">
        <f t="shared" si="137"/>
        <v>0</v>
      </c>
      <c r="AU100" s="1048">
        <f t="shared" si="138"/>
        <v>0</v>
      </c>
      <c r="AV100" s="1048">
        <f t="shared" si="139"/>
        <v>0</v>
      </c>
    </row>
    <row r="101" spans="1:48" s="172" customFormat="1" ht="15" customHeight="1" x14ac:dyDescent="0.15">
      <c r="A101" s="1919"/>
      <c r="B101" s="1095" t="s">
        <v>818</v>
      </c>
      <c r="C101" s="793">
        <f t="shared" si="140"/>
        <v>0</v>
      </c>
      <c r="D101" s="154">
        <v>0</v>
      </c>
      <c r="E101" s="160">
        <v>0</v>
      </c>
      <c r="F101" s="773">
        <f t="shared" si="124"/>
        <v>0</v>
      </c>
      <c r="G101" s="154">
        <v>0</v>
      </c>
      <c r="H101" s="155">
        <v>0</v>
      </c>
      <c r="I101" s="793">
        <f t="shared" si="125"/>
        <v>0</v>
      </c>
      <c r="J101" s="154">
        <v>0</v>
      </c>
      <c r="K101" s="155">
        <v>0</v>
      </c>
      <c r="L101" s="774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48">
        <f t="shared" si="134"/>
        <v>0</v>
      </c>
      <c r="AR101" s="1048">
        <f t="shared" si="135"/>
        <v>0</v>
      </c>
      <c r="AS101" s="1048">
        <f t="shared" si="136"/>
        <v>0</v>
      </c>
      <c r="AT101" s="1048">
        <f t="shared" si="137"/>
        <v>0</v>
      </c>
      <c r="AU101" s="1048">
        <f t="shared" si="138"/>
        <v>0</v>
      </c>
      <c r="AV101" s="1048">
        <f t="shared" si="139"/>
        <v>0</v>
      </c>
    </row>
    <row r="102" spans="1:48" s="172" customFormat="1" ht="15" customHeight="1" x14ac:dyDescent="0.15">
      <c r="A102" s="1917" t="s">
        <v>824</v>
      </c>
      <c r="B102" s="218" t="s">
        <v>773</v>
      </c>
      <c r="C102" s="794">
        <f t="shared" si="140"/>
        <v>0</v>
      </c>
      <c r="D102" s="134">
        <v>0</v>
      </c>
      <c r="E102" s="156">
        <v>0</v>
      </c>
      <c r="F102" s="771">
        <f t="shared" si="124"/>
        <v>0</v>
      </c>
      <c r="G102" s="134">
        <v>0</v>
      </c>
      <c r="H102" s="135">
        <v>0</v>
      </c>
      <c r="I102" s="794">
        <f t="shared" si="125"/>
        <v>0</v>
      </c>
      <c r="J102" s="134">
        <v>0</v>
      </c>
      <c r="K102" s="135">
        <v>0</v>
      </c>
      <c r="L102" s="772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48">
        <f t="shared" si="134"/>
        <v>0</v>
      </c>
      <c r="AR102" s="1048">
        <f t="shared" si="135"/>
        <v>0</v>
      </c>
      <c r="AS102" s="1048">
        <f t="shared" si="136"/>
        <v>0</v>
      </c>
      <c r="AT102" s="1048">
        <f t="shared" si="137"/>
        <v>0</v>
      </c>
      <c r="AU102" s="1048">
        <f t="shared" si="138"/>
        <v>0</v>
      </c>
      <c r="AV102" s="1048">
        <f t="shared" si="139"/>
        <v>0</v>
      </c>
    </row>
    <row r="103" spans="1:48" s="172" customFormat="1" ht="15" customHeight="1" x14ac:dyDescent="0.15">
      <c r="A103" s="1919"/>
      <c r="B103" s="1095" t="s">
        <v>818</v>
      </c>
      <c r="C103" s="777">
        <f t="shared" si="140"/>
        <v>0</v>
      </c>
      <c r="D103" s="154">
        <v>0</v>
      </c>
      <c r="E103" s="161">
        <v>0</v>
      </c>
      <c r="F103" s="778">
        <f t="shared" si="124"/>
        <v>0</v>
      </c>
      <c r="G103" s="154">
        <v>0</v>
      </c>
      <c r="H103" s="155">
        <v>0</v>
      </c>
      <c r="I103" s="777">
        <f t="shared" si="125"/>
        <v>0</v>
      </c>
      <c r="J103" s="154">
        <v>0</v>
      </c>
      <c r="K103" s="155">
        <v>0</v>
      </c>
      <c r="L103" s="779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5"/>
      <c r="Q103" s="795"/>
      <c r="R103" s="795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48">
        <f t="shared" si="134"/>
        <v>0</v>
      </c>
      <c r="AR103" s="1048">
        <f t="shared" si="135"/>
        <v>0</v>
      </c>
      <c r="AS103" s="1048">
        <f t="shared" si="136"/>
        <v>0</v>
      </c>
      <c r="AT103" s="1048">
        <f t="shared" si="137"/>
        <v>0</v>
      </c>
      <c r="AU103" s="1048">
        <f t="shared" si="138"/>
        <v>0</v>
      </c>
      <c r="AV103" s="1048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79">
        <f>SUM(C16:C42,C12,,C49:C54,C58:C67,C71:C78,C82:C86,C90:C103)</f>
        <v>56</v>
      </c>
      <c r="B109" s="189" t="s">
        <v>211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79">
        <f>SUM(AQ12:AV103)</f>
        <v>0</v>
      </c>
      <c r="B110" s="189" t="s">
        <v>212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/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9" max="95" width="12.140625" style="107" hidden="1" customWidth="1"/>
    <col min="96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JUNIO   ( 06 )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10" t="s">
        <v>825</v>
      </c>
      <c r="B7" s="2210"/>
      <c r="C7" s="2210"/>
      <c r="D7" s="2210"/>
      <c r="E7" s="2210"/>
      <c r="F7" s="2210"/>
      <c r="G7" s="2210"/>
      <c r="H7" s="2210"/>
      <c r="I7" s="2210"/>
      <c r="J7" s="2210"/>
      <c r="K7" s="2210"/>
      <c r="L7" s="2210"/>
      <c r="M7" s="2210"/>
      <c r="N7" s="2210"/>
      <c r="O7" s="2210"/>
      <c r="P7" s="2210"/>
      <c r="Q7" s="2210"/>
      <c r="R7" s="2210"/>
      <c r="S7" s="2210"/>
      <c r="T7" s="2210"/>
      <c r="U7" s="2210"/>
      <c r="V7" s="2210"/>
      <c r="W7" s="2210"/>
      <c r="X7" s="2210"/>
      <c r="Y7" s="2210"/>
      <c r="Z7" s="2210"/>
      <c r="AA7" s="2210"/>
      <c r="AB7" s="2210"/>
      <c r="AC7" s="1102"/>
      <c r="AD7" s="1102"/>
      <c r="AE7" s="1102"/>
      <c r="AF7" s="1102"/>
      <c r="AG7" s="1102"/>
      <c r="AH7" s="1102"/>
      <c r="AI7" s="1102"/>
      <c r="AJ7" s="1102"/>
      <c r="AK7" s="1102"/>
      <c r="AL7" s="1102"/>
      <c r="AM7" s="1102"/>
      <c r="AN7" s="1102"/>
      <c r="AO7" s="1102"/>
      <c r="AP7" s="1102"/>
      <c r="AQ7" s="1102"/>
      <c r="AR7" s="1102"/>
    </row>
    <row r="8" spans="1:100" ht="17.100000000000001" customHeight="1" x14ac:dyDescent="0.25">
      <c r="A8" s="2213" t="s">
        <v>826</v>
      </c>
      <c r="B8" s="2213"/>
      <c r="C8" s="2213"/>
      <c r="D8" s="2213"/>
      <c r="E8" s="2213"/>
      <c r="F8" s="2213"/>
      <c r="G8" s="2213"/>
      <c r="H8" s="2213"/>
      <c r="I8" s="2213"/>
      <c r="J8" s="2213"/>
      <c r="K8" s="233"/>
      <c r="L8" s="233"/>
    </row>
    <row r="9" spans="1:100" ht="15" customHeight="1" x14ac:dyDescent="0.25">
      <c r="A9" s="2235" t="s">
        <v>827</v>
      </c>
      <c r="B9" s="2235"/>
      <c r="C9" s="2236"/>
      <c r="D9" s="2224" t="s">
        <v>54</v>
      </c>
      <c r="E9" s="2225"/>
      <c r="F9" s="2226"/>
      <c r="G9" s="2222" t="s">
        <v>382</v>
      </c>
      <c r="H9" s="1933"/>
      <c r="I9" s="1933"/>
      <c r="J9" s="1933"/>
      <c r="K9" s="1933"/>
      <c r="L9" s="1933"/>
      <c r="M9" s="1933"/>
      <c r="N9" s="1933"/>
      <c r="O9" s="1933"/>
      <c r="P9" s="1933"/>
      <c r="Q9" s="1933"/>
      <c r="R9" s="1933"/>
      <c r="S9" s="1933"/>
      <c r="T9" s="1933"/>
      <c r="U9" s="1933"/>
      <c r="V9" s="1933"/>
      <c r="W9" s="1933"/>
      <c r="X9" s="1933"/>
      <c r="Y9" s="1933"/>
      <c r="Z9" s="1933"/>
      <c r="AA9" s="1933"/>
      <c r="AB9" s="1933"/>
      <c r="AC9" s="1933"/>
      <c r="AD9" s="1933"/>
      <c r="AE9" s="1933"/>
      <c r="AF9" s="1933"/>
      <c r="AG9" s="1933"/>
      <c r="AH9" s="1933"/>
      <c r="AI9" s="1933"/>
      <c r="AJ9" s="1933"/>
      <c r="AK9" s="1933"/>
      <c r="AL9" s="1933"/>
      <c r="AM9" s="1933"/>
      <c r="AN9" s="1933"/>
      <c r="AO9" s="1933"/>
      <c r="AP9" s="1933"/>
      <c r="AQ9" s="1933"/>
      <c r="AR9" s="2223"/>
      <c r="AS9" s="1699" t="s">
        <v>633</v>
      </c>
      <c r="AT9" s="1656"/>
      <c r="AU9" s="1700" t="s">
        <v>56</v>
      </c>
      <c r="AV9" s="2217" t="s">
        <v>113</v>
      </c>
      <c r="AW9" s="2217" t="s">
        <v>624</v>
      </c>
      <c r="AX9" s="1654" t="s">
        <v>384</v>
      </c>
      <c r="CA9" s="1713" t="s">
        <v>633</v>
      </c>
      <c r="CB9" s="1656"/>
      <c r="CC9" s="1658" t="s">
        <v>56</v>
      </c>
      <c r="CD9" s="1658" t="s">
        <v>584</v>
      </c>
      <c r="CE9" s="1658" t="s">
        <v>828</v>
      </c>
      <c r="CF9" s="1658" t="s">
        <v>829</v>
      </c>
      <c r="CG9" s="1997"/>
      <c r="CH9" s="1997"/>
      <c r="CI9" s="1997"/>
      <c r="CJ9" s="1997"/>
      <c r="CK9" s="1997"/>
      <c r="CL9" s="1713" t="s">
        <v>633</v>
      </c>
      <c r="CM9" s="1656"/>
      <c r="CN9" s="1658" t="s">
        <v>56</v>
      </c>
      <c r="CO9" s="1658" t="s">
        <v>584</v>
      </c>
      <c r="CP9" s="1658" t="s">
        <v>828</v>
      </c>
      <c r="CQ9" s="1713" t="s">
        <v>829</v>
      </c>
      <c r="CR9" s="1997"/>
      <c r="CS9" s="1997"/>
      <c r="CT9" s="1997"/>
      <c r="CU9" s="1997"/>
      <c r="CV9" s="1997"/>
    </row>
    <row r="10" spans="1:100" ht="15" customHeight="1" x14ac:dyDescent="0.25">
      <c r="A10" s="2237"/>
      <c r="B10" s="2237"/>
      <c r="C10" s="2238"/>
      <c r="D10" s="2227"/>
      <c r="E10" s="2228"/>
      <c r="F10" s="2229"/>
      <c r="G10" s="1885" t="s">
        <v>830</v>
      </c>
      <c r="H10" s="1803"/>
      <c r="I10" s="1652" t="s">
        <v>386</v>
      </c>
      <c r="J10" s="1652"/>
      <c r="K10" s="2069" t="s">
        <v>831</v>
      </c>
      <c r="L10" s="2233"/>
      <c r="M10" s="1652" t="s">
        <v>411</v>
      </c>
      <c r="N10" s="1652"/>
      <c r="O10" s="1885" t="s">
        <v>322</v>
      </c>
      <c r="P10" s="1803"/>
      <c r="Q10" s="1652" t="s">
        <v>62</v>
      </c>
      <c r="R10" s="1652"/>
      <c r="S10" s="2215" t="s">
        <v>63</v>
      </c>
      <c r="T10" s="2219"/>
      <c r="U10" s="2216" t="s">
        <v>64</v>
      </c>
      <c r="V10" s="2216"/>
      <c r="W10" s="2215" t="s">
        <v>65</v>
      </c>
      <c r="X10" s="2219"/>
      <c r="Y10" s="2216" t="s">
        <v>66</v>
      </c>
      <c r="Z10" s="2216"/>
      <c r="AA10" s="2215" t="s">
        <v>67</v>
      </c>
      <c r="AB10" s="2219"/>
      <c r="AC10" s="2216" t="s">
        <v>68</v>
      </c>
      <c r="AD10" s="2216"/>
      <c r="AE10" s="2215" t="s">
        <v>69</v>
      </c>
      <c r="AF10" s="2219"/>
      <c r="AG10" s="2215" t="s">
        <v>70</v>
      </c>
      <c r="AH10" s="2219"/>
      <c r="AI10" s="2216" t="s">
        <v>71</v>
      </c>
      <c r="AJ10" s="2216"/>
      <c r="AK10" s="2215" t="s">
        <v>72</v>
      </c>
      <c r="AL10" s="2219"/>
      <c r="AM10" s="1652" t="s">
        <v>412</v>
      </c>
      <c r="AN10" s="1652"/>
      <c r="AO10" s="1885" t="s">
        <v>413</v>
      </c>
      <c r="AP10" s="1803"/>
      <c r="AQ10" s="1652" t="s">
        <v>414</v>
      </c>
      <c r="AR10" s="2070"/>
      <c r="AS10" s="1701"/>
      <c r="AT10" s="1657"/>
      <c r="AU10" s="2221"/>
      <c r="AV10" s="2218"/>
      <c r="AW10" s="2218"/>
      <c r="AX10" s="2214"/>
      <c r="CA10" s="1714"/>
      <c r="CB10" s="1657"/>
      <c r="CC10" s="1935"/>
      <c r="CD10" s="1935"/>
      <c r="CE10" s="1935"/>
      <c r="CF10" s="1935"/>
      <c r="CG10" s="1997"/>
      <c r="CH10" s="1997"/>
      <c r="CI10" s="1997"/>
      <c r="CJ10" s="1997"/>
      <c r="CK10" s="1997"/>
      <c r="CL10" s="1714"/>
      <c r="CM10" s="1657"/>
      <c r="CN10" s="1935"/>
      <c r="CO10" s="1935"/>
      <c r="CP10" s="1935"/>
      <c r="CQ10" s="2241"/>
      <c r="CR10" s="1997"/>
      <c r="CS10" s="1997"/>
      <c r="CT10" s="1997"/>
      <c r="CU10" s="1997"/>
      <c r="CV10" s="1997"/>
    </row>
    <row r="11" spans="1:100" ht="15" customHeight="1" x14ac:dyDescent="0.25">
      <c r="A11" s="2239"/>
      <c r="B11" s="2239"/>
      <c r="C11" s="2240"/>
      <c r="D11" s="1563" t="s">
        <v>231</v>
      </c>
      <c r="E11" s="1564" t="s">
        <v>91</v>
      </c>
      <c r="F11" s="1565" t="s">
        <v>232</v>
      </c>
      <c r="G11" s="1426" t="s">
        <v>416</v>
      </c>
      <c r="H11" s="1091" t="s">
        <v>232</v>
      </c>
      <c r="I11" s="1433" t="s">
        <v>416</v>
      </c>
      <c r="J11" s="123" t="s">
        <v>232</v>
      </c>
      <c r="K11" s="1426" t="s">
        <v>416</v>
      </c>
      <c r="L11" s="1091" t="s">
        <v>232</v>
      </c>
      <c r="M11" s="1433" t="s">
        <v>416</v>
      </c>
      <c r="N11" s="123" t="s">
        <v>232</v>
      </c>
      <c r="O11" s="1426" t="s">
        <v>416</v>
      </c>
      <c r="P11" s="1091" t="s">
        <v>232</v>
      </c>
      <c r="Q11" s="1433" t="s">
        <v>416</v>
      </c>
      <c r="R11" s="123" t="s">
        <v>232</v>
      </c>
      <c r="S11" s="1426" t="s">
        <v>416</v>
      </c>
      <c r="T11" s="1091" t="s">
        <v>232</v>
      </c>
      <c r="U11" s="1433" t="s">
        <v>416</v>
      </c>
      <c r="V11" s="123" t="s">
        <v>232</v>
      </c>
      <c r="W11" s="1426" t="s">
        <v>416</v>
      </c>
      <c r="X11" s="1091" t="s">
        <v>232</v>
      </c>
      <c r="Y11" s="1433" t="s">
        <v>416</v>
      </c>
      <c r="Z11" s="123" t="s">
        <v>232</v>
      </c>
      <c r="AA11" s="1426" t="s">
        <v>416</v>
      </c>
      <c r="AB11" s="1091" t="s">
        <v>232</v>
      </c>
      <c r="AC11" s="1433" t="s">
        <v>416</v>
      </c>
      <c r="AD11" s="123" t="s">
        <v>232</v>
      </c>
      <c r="AE11" s="1426" t="s">
        <v>416</v>
      </c>
      <c r="AF11" s="1091" t="s">
        <v>232</v>
      </c>
      <c r="AG11" s="1426" t="s">
        <v>416</v>
      </c>
      <c r="AH11" s="1091" t="s">
        <v>232</v>
      </c>
      <c r="AI11" s="1433" t="s">
        <v>416</v>
      </c>
      <c r="AJ11" s="123" t="s">
        <v>232</v>
      </c>
      <c r="AK11" s="1426" t="s">
        <v>416</v>
      </c>
      <c r="AL11" s="1091" t="s">
        <v>232</v>
      </c>
      <c r="AM11" s="1433" t="s">
        <v>416</v>
      </c>
      <c r="AN11" s="123" t="s">
        <v>232</v>
      </c>
      <c r="AO11" s="1426" t="s">
        <v>416</v>
      </c>
      <c r="AP11" s="1091" t="s">
        <v>232</v>
      </c>
      <c r="AQ11" s="1433" t="s">
        <v>416</v>
      </c>
      <c r="AR11" s="124" t="s">
        <v>232</v>
      </c>
      <c r="AS11" s="175" t="s">
        <v>634</v>
      </c>
      <c r="AT11" s="1091" t="s">
        <v>636</v>
      </c>
      <c r="AU11" s="1702"/>
      <c r="AV11" s="1788"/>
      <c r="AW11" s="1788"/>
      <c r="AX11" s="1655"/>
      <c r="CA11" s="1427" t="s">
        <v>634</v>
      </c>
      <c r="CB11" s="1427" t="s">
        <v>832</v>
      </c>
      <c r="CC11" s="1659"/>
      <c r="CD11" s="1659"/>
      <c r="CE11" s="1659"/>
      <c r="CF11" s="1659"/>
      <c r="CG11" s="184"/>
      <c r="CH11" s="184"/>
      <c r="CI11" s="184"/>
      <c r="CJ11" s="184"/>
      <c r="CK11" s="184"/>
      <c r="CL11" s="1427" t="s">
        <v>634</v>
      </c>
      <c r="CM11" s="1427" t="s">
        <v>832</v>
      </c>
      <c r="CN11" s="1659"/>
      <c r="CO11" s="1659"/>
      <c r="CP11" s="1659"/>
      <c r="CQ11" s="1714"/>
      <c r="CR11" s="184"/>
      <c r="CS11" s="184"/>
      <c r="CT11" s="184"/>
      <c r="CU11" s="184"/>
      <c r="CV11" s="184"/>
    </row>
    <row r="12" spans="1:100" ht="15" customHeight="1" x14ac:dyDescent="0.25">
      <c r="A12" s="1656" t="s">
        <v>833</v>
      </c>
      <c r="B12" s="2234" t="s">
        <v>622</v>
      </c>
      <c r="C12" s="597" t="s">
        <v>834</v>
      </c>
      <c r="D12" s="1133">
        <f>SUM(F12)</f>
        <v>0</v>
      </c>
      <c r="E12" s="1129"/>
      <c r="F12" s="598">
        <f>+P12+R12+T12+V12+X12+Z12+AB12+AD12+AF12+AH12</f>
        <v>0</v>
      </c>
      <c r="G12" s="619"/>
      <c r="H12" s="620"/>
      <c r="I12" s="619"/>
      <c r="J12" s="620"/>
      <c r="K12" s="619"/>
      <c r="L12" s="620"/>
      <c r="M12" s="619"/>
      <c r="N12" s="620"/>
      <c r="O12" s="619"/>
      <c r="P12" s="145">
        <v>0</v>
      </c>
      <c r="Q12" s="619"/>
      <c r="R12" s="145">
        <v>0</v>
      </c>
      <c r="S12" s="619"/>
      <c r="T12" s="145">
        <v>0</v>
      </c>
      <c r="U12" s="619"/>
      <c r="V12" s="145">
        <v>0</v>
      </c>
      <c r="W12" s="619"/>
      <c r="X12" s="145">
        <v>0</v>
      </c>
      <c r="Y12" s="619"/>
      <c r="Z12" s="145">
        <v>0</v>
      </c>
      <c r="AA12" s="619"/>
      <c r="AB12" s="145">
        <v>0</v>
      </c>
      <c r="AC12" s="619"/>
      <c r="AD12" s="145">
        <v>0</v>
      </c>
      <c r="AE12" s="619"/>
      <c r="AF12" s="145">
        <v>0</v>
      </c>
      <c r="AG12" s="619"/>
      <c r="AH12" s="145">
        <v>0</v>
      </c>
      <c r="AI12" s="619"/>
      <c r="AJ12" s="620"/>
      <c r="AK12" s="619"/>
      <c r="AL12" s="620"/>
      <c r="AM12" s="619"/>
      <c r="AN12" s="620"/>
      <c r="AO12" s="619"/>
      <c r="AP12" s="620"/>
      <c r="AQ12" s="619"/>
      <c r="AR12" s="623"/>
      <c r="AS12" s="640">
        <v>0</v>
      </c>
      <c r="AT12" s="620"/>
      <c r="AU12" s="902">
        <v>0</v>
      </c>
      <c r="AV12" s="641">
        <v>0</v>
      </c>
      <c r="AW12" s="641">
        <v>0</v>
      </c>
      <c r="AX12" s="145">
        <v>0</v>
      </c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92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48">
        <f>IF(AND($F12&gt;0,OR($AS12="")),1,IF($AS12&gt;$F12,1,0))</f>
        <v>0</v>
      </c>
      <c r="CM12" s="1092"/>
      <c r="CN12" s="1048">
        <f>IF(AND($D12&gt;0,OR($AU12="")),1,IF($AU12&gt;O12,1,0))</f>
        <v>0</v>
      </c>
      <c r="CO12" s="1048">
        <f>IF(AND($D12&gt;0,OR($AV12="")),1,IF($AV12&gt;$D12,1,0))</f>
        <v>0</v>
      </c>
      <c r="CP12" s="1048">
        <f>IF(AND($D12&gt;0,OR($AW12="")),1,IF($AW12&gt;$D12,1,0))</f>
        <v>0</v>
      </c>
      <c r="CQ12" s="1048">
        <f>IF(AND($D12&gt;0,OR($AX12="")),1,IF($AX12&gt;$D12,1,0))</f>
        <v>0</v>
      </c>
      <c r="CR12" s="1093"/>
    </row>
    <row r="13" spans="1:100" ht="15" customHeight="1" x14ac:dyDescent="0.25">
      <c r="A13" s="2220"/>
      <c r="B13" s="2232"/>
      <c r="C13" s="599" t="s">
        <v>835</v>
      </c>
      <c r="D13" s="1134">
        <f>SUM(F13)</f>
        <v>0</v>
      </c>
      <c r="E13" s="1130"/>
      <c r="F13" s="600">
        <f>+P13+R13+T13+V13+X13+Z13+AB13+AD13+AF13+AH13</f>
        <v>0</v>
      </c>
      <c r="G13" s="621"/>
      <c r="H13" s="622"/>
      <c r="I13" s="621"/>
      <c r="J13" s="622"/>
      <c r="K13" s="621"/>
      <c r="L13" s="622"/>
      <c r="M13" s="621"/>
      <c r="N13" s="622"/>
      <c r="O13" s="621"/>
      <c r="P13" s="155">
        <v>0</v>
      </c>
      <c r="Q13" s="621"/>
      <c r="R13" s="155">
        <v>0</v>
      </c>
      <c r="S13" s="621"/>
      <c r="T13" s="155">
        <v>0</v>
      </c>
      <c r="U13" s="621"/>
      <c r="V13" s="155">
        <v>0</v>
      </c>
      <c r="W13" s="621"/>
      <c r="X13" s="155">
        <v>0</v>
      </c>
      <c r="Y13" s="621"/>
      <c r="Z13" s="155">
        <v>0</v>
      </c>
      <c r="AA13" s="621"/>
      <c r="AB13" s="155">
        <v>0</v>
      </c>
      <c r="AC13" s="621"/>
      <c r="AD13" s="155">
        <v>0</v>
      </c>
      <c r="AE13" s="621"/>
      <c r="AF13" s="155">
        <v>0</v>
      </c>
      <c r="AG13" s="621"/>
      <c r="AH13" s="155">
        <v>0</v>
      </c>
      <c r="AI13" s="621"/>
      <c r="AJ13" s="622"/>
      <c r="AK13" s="621"/>
      <c r="AL13" s="622"/>
      <c r="AM13" s="621"/>
      <c r="AN13" s="622"/>
      <c r="AO13" s="621"/>
      <c r="AP13" s="622"/>
      <c r="AQ13" s="621"/>
      <c r="AR13" s="624"/>
      <c r="AS13" s="642">
        <v>0</v>
      </c>
      <c r="AT13" s="622"/>
      <c r="AU13" s="591">
        <v>0</v>
      </c>
      <c r="AV13" s="643">
        <v>0</v>
      </c>
      <c r="AW13" s="643">
        <v>0</v>
      </c>
      <c r="AX13" s="155">
        <v>0</v>
      </c>
      <c r="AY13" s="187" t="str">
        <f t="shared" ref="AY13:AY17" si="0">CA13&amp;CB13&amp;CC13&amp;CD13&amp;CE13&amp;CF13</f>
        <v/>
      </c>
      <c r="CA13" s="191" t="str">
        <f t="shared" ref="CA13:CA17" si="1">IF(AND($F13&gt;0,OR($AS13=""))," * No olvide digitar la variable Trans Masculino. Digite Cero si no tiene.",IF($AS13&gt;$F13," * La variable Trans Masculino no debe ser mayor al Total Mujeres.",""))</f>
        <v/>
      </c>
      <c r="CB13" s="1092"/>
      <c r="CC13" s="191" t="str">
        <f t="shared" ref="CC13:CC17" si="2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3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4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5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48">
        <f t="shared" ref="CL13:CL17" si="6">IF(AND($F13&gt;0,OR($AS13="")),1,IF($AS13&gt;$F13,1,0))</f>
        <v>0</v>
      </c>
      <c r="CM13" s="1092"/>
      <c r="CN13" s="1048">
        <f t="shared" ref="CN13:CN17" si="7">IF(AND($D13&gt;0,OR($AU13="")),1,IF($AU13&gt;O13,1,0))</f>
        <v>0</v>
      </c>
      <c r="CO13" s="1048">
        <f t="shared" ref="CO13:CO17" si="8">IF(AND($D13&gt;0,OR($AV13="")),1,IF($AV13&gt;$D13,1,0))</f>
        <v>0</v>
      </c>
      <c r="CP13" s="1048">
        <f t="shared" ref="CP13:CP17" si="9">IF(AND($D13&gt;0,OR($AW13="")),1,IF($AW13&gt;$D13,1,0))</f>
        <v>0</v>
      </c>
      <c r="CQ13" s="1048">
        <f t="shared" ref="CQ13:CQ17" si="10">IF(AND($D13&gt;0,OR($AX13="")),1,IF($AX13&gt;$D13,1,0))</f>
        <v>0</v>
      </c>
      <c r="CR13" s="1093"/>
    </row>
    <row r="14" spans="1:100" ht="15" customHeight="1" x14ac:dyDescent="0.25">
      <c r="A14" s="2220"/>
      <c r="B14" s="2231" t="s">
        <v>836</v>
      </c>
      <c r="C14" s="601" t="s">
        <v>837</v>
      </c>
      <c r="D14" s="1133">
        <f>SUM(E14:F14)</f>
        <v>0</v>
      </c>
      <c r="E14" s="1131">
        <f>+G14+I14+K14+M14+O14+Q14+S14+U14+W14+Y14+AA14+AC14+AE14+AG14+AI14+AK14+AM14+AO14+AQ14</f>
        <v>0</v>
      </c>
      <c r="F14" s="602">
        <f>+H14+J14+L14+N14+P14+R14+T14+V14+X14+Z14+AB14+AD14+AF14+AH14+AJ14+AL14+AN14+AP14+AR14</f>
        <v>0</v>
      </c>
      <c r="G14" s="134">
        <v>0</v>
      </c>
      <c r="H14" s="135">
        <v>0</v>
      </c>
      <c r="I14" s="134">
        <v>0</v>
      </c>
      <c r="J14" s="135">
        <v>0</v>
      </c>
      <c r="K14" s="134">
        <v>0</v>
      </c>
      <c r="L14" s="135">
        <v>0</v>
      </c>
      <c r="M14" s="134">
        <v>0</v>
      </c>
      <c r="N14" s="135">
        <v>0</v>
      </c>
      <c r="O14" s="134">
        <v>0</v>
      </c>
      <c r="P14" s="135">
        <v>0</v>
      </c>
      <c r="Q14" s="134">
        <v>0</v>
      </c>
      <c r="R14" s="135">
        <v>0</v>
      </c>
      <c r="S14" s="134">
        <v>0</v>
      </c>
      <c r="T14" s="135">
        <v>0</v>
      </c>
      <c r="U14" s="134">
        <v>0</v>
      </c>
      <c r="V14" s="135">
        <v>0</v>
      </c>
      <c r="W14" s="134">
        <v>0</v>
      </c>
      <c r="X14" s="135">
        <v>0</v>
      </c>
      <c r="Y14" s="134">
        <v>0</v>
      </c>
      <c r="Z14" s="135">
        <v>0</v>
      </c>
      <c r="AA14" s="134">
        <v>0</v>
      </c>
      <c r="AB14" s="135">
        <v>0</v>
      </c>
      <c r="AC14" s="134">
        <v>0</v>
      </c>
      <c r="AD14" s="135">
        <v>0</v>
      </c>
      <c r="AE14" s="134">
        <v>0</v>
      </c>
      <c r="AF14" s="135">
        <v>0</v>
      </c>
      <c r="AG14" s="134">
        <v>0</v>
      </c>
      <c r="AH14" s="135">
        <v>0</v>
      </c>
      <c r="AI14" s="134">
        <v>0</v>
      </c>
      <c r="AJ14" s="135">
        <v>0</v>
      </c>
      <c r="AK14" s="134">
        <v>0</v>
      </c>
      <c r="AL14" s="135">
        <v>0</v>
      </c>
      <c r="AM14" s="134">
        <v>0</v>
      </c>
      <c r="AN14" s="135">
        <v>0</v>
      </c>
      <c r="AO14" s="134">
        <v>0</v>
      </c>
      <c r="AP14" s="135">
        <v>0</v>
      </c>
      <c r="AQ14" s="134">
        <v>0</v>
      </c>
      <c r="AR14" s="140">
        <v>0</v>
      </c>
      <c r="AS14" s="644">
        <v>0</v>
      </c>
      <c r="AT14" s="135">
        <v>0</v>
      </c>
      <c r="AU14" s="152">
        <v>0</v>
      </c>
      <c r="AV14" s="645">
        <v>0</v>
      </c>
      <c r="AW14" s="645">
        <v>0</v>
      </c>
      <c r="AX14" s="135">
        <v>0</v>
      </c>
      <c r="AY14" s="187" t="str">
        <f t="shared" si="0"/>
        <v/>
      </c>
      <c r="CA14" s="191" t="str">
        <f t="shared" si="1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2"/>
        <v/>
      </c>
      <c r="CD14" s="191" t="str">
        <f t="shared" si="3"/>
        <v/>
      </c>
      <c r="CE14" s="191" t="str">
        <f t="shared" si="4"/>
        <v/>
      </c>
      <c r="CF14" s="191" t="str">
        <f t="shared" si="5"/>
        <v/>
      </c>
      <c r="CL14" s="1048">
        <f t="shared" si="6"/>
        <v>0</v>
      </c>
      <c r="CM14" s="1048">
        <f>IF(AND($E14&gt;0,OR($AT14="")),1,IF($AT14&gt;$E14,1,0))</f>
        <v>0</v>
      </c>
      <c r="CN14" s="1048">
        <f t="shared" si="7"/>
        <v>0</v>
      </c>
      <c r="CO14" s="1048">
        <f t="shared" si="8"/>
        <v>0</v>
      </c>
      <c r="CP14" s="1048">
        <f t="shared" si="9"/>
        <v>0</v>
      </c>
      <c r="CQ14" s="1048">
        <f t="shared" si="10"/>
        <v>0</v>
      </c>
      <c r="CR14" s="1093"/>
    </row>
    <row r="15" spans="1:100" ht="15" customHeight="1" x14ac:dyDescent="0.25">
      <c r="A15" s="1657"/>
      <c r="B15" s="2232"/>
      <c r="C15" s="599" t="s">
        <v>838</v>
      </c>
      <c r="D15" s="1135">
        <f>SUM(E15:F15)</f>
        <v>0</v>
      </c>
      <c r="E15" s="1132">
        <f>+G15+I15+K15+M15+O15+Q15+S15+U15+W15+Y15+AA15+AC15+AE15+AG15+AI15+AK15+AM15+AO15+AQ15</f>
        <v>0</v>
      </c>
      <c r="F15" s="600">
        <f>+H15+J15+L15+N15+P15+R15+T15+V15+X15+Z15+AB15+AD15+AF15+AH15+AJ15+AL15+AN15+AP15+AR15</f>
        <v>0</v>
      </c>
      <c r="G15" s="154">
        <v>0</v>
      </c>
      <c r="H15" s="155">
        <v>0</v>
      </c>
      <c r="I15" s="154">
        <v>0</v>
      </c>
      <c r="J15" s="155">
        <v>0</v>
      </c>
      <c r="K15" s="154">
        <v>0</v>
      </c>
      <c r="L15" s="155">
        <v>0</v>
      </c>
      <c r="M15" s="154">
        <v>0</v>
      </c>
      <c r="N15" s="155">
        <v>0</v>
      </c>
      <c r="O15" s="154">
        <v>0</v>
      </c>
      <c r="P15" s="155">
        <v>0</v>
      </c>
      <c r="Q15" s="154">
        <v>0</v>
      </c>
      <c r="R15" s="155">
        <v>0</v>
      </c>
      <c r="S15" s="154">
        <v>0</v>
      </c>
      <c r="T15" s="155">
        <v>0</v>
      </c>
      <c r="U15" s="154">
        <v>0</v>
      </c>
      <c r="V15" s="155">
        <v>0</v>
      </c>
      <c r="W15" s="154">
        <v>0</v>
      </c>
      <c r="X15" s="155">
        <v>0</v>
      </c>
      <c r="Y15" s="154">
        <v>0</v>
      </c>
      <c r="Z15" s="155">
        <v>0</v>
      </c>
      <c r="AA15" s="154">
        <v>0</v>
      </c>
      <c r="AB15" s="155">
        <v>0</v>
      </c>
      <c r="AC15" s="154">
        <v>0</v>
      </c>
      <c r="AD15" s="155">
        <v>0</v>
      </c>
      <c r="AE15" s="154">
        <v>0</v>
      </c>
      <c r="AF15" s="155">
        <v>0</v>
      </c>
      <c r="AG15" s="154">
        <v>0</v>
      </c>
      <c r="AH15" s="155">
        <v>0</v>
      </c>
      <c r="AI15" s="154">
        <v>0</v>
      </c>
      <c r="AJ15" s="155">
        <v>0</v>
      </c>
      <c r="AK15" s="154">
        <v>0</v>
      </c>
      <c r="AL15" s="155">
        <v>0</v>
      </c>
      <c r="AM15" s="154">
        <v>0</v>
      </c>
      <c r="AN15" s="155">
        <v>0</v>
      </c>
      <c r="AO15" s="154">
        <v>0</v>
      </c>
      <c r="AP15" s="155">
        <v>0</v>
      </c>
      <c r="AQ15" s="154">
        <v>0</v>
      </c>
      <c r="AR15" s="171">
        <v>0</v>
      </c>
      <c r="AS15" s="642">
        <v>0</v>
      </c>
      <c r="AT15" s="155">
        <v>0</v>
      </c>
      <c r="AU15" s="591">
        <v>0</v>
      </c>
      <c r="AV15" s="643">
        <v>0</v>
      </c>
      <c r="AW15" s="643">
        <v>0</v>
      </c>
      <c r="AX15" s="155">
        <v>0</v>
      </c>
      <c r="AY15" s="187" t="str">
        <f t="shared" si="0"/>
        <v/>
      </c>
      <c r="CA15" s="191" t="str">
        <f t="shared" si="1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2"/>
        <v/>
      </c>
      <c r="CD15" s="191" t="str">
        <f t="shared" si="3"/>
        <v/>
      </c>
      <c r="CE15" s="191" t="str">
        <f t="shared" si="4"/>
        <v/>
      </c>
      <c r="CF15" s="191" t="str">
        <f t="shared" si="5"/>
        <v/>
      </c>
      <c r="CL15" s="1048">
        <f t="shared" si="6"/>
        <v>0</v>
      </c>
      <c r="CM15" s="1048">
        <f>IF(AND($E15&gt;0,OR($AT15="")),1,IF($AT15&gt;$E15,1,0))</f>
        <v>0</v>
      </c>
      <c r="CN15" s="1048">
        <f t="shared" si="7"/>
        <v>0</v>
      </c>
      <c r="CO15" s="1048">
        <f t="shared" si="8"/>
        <v>0</v>
      </c>
      <c r="CP15" s="1048">
        <f t="shared" si="9"/>
        <v>0</v>
      </c>
      <c r="CQ15" s="1048">
        <f t="shared" si="10"/>
        <v>0</v>
      </c>
      <c r="CR15" s="1093"/>
    </row>
    <row r="16" spans="1:100" ht="15" customHeight="1" x14ac:dyDescent="0.25">
      <c r="A16" s="1656" t="s">
        <v>839</v>
      </c>
      <c r="B16" s="1115" t="s">
        <v>622</v>
      </c>
      <c r="C16" s="712" t="s">
        <v>840</v>
      </c>
      <c r="D16" s="1136">
        <f>SUM(F16)</f>
        <v>0</v>
      </c>
      <c r="E16" s="1129"/>
      <c r="F16" s="598">
        <f>+P16+R16+T16+V16+X16+Z16+AB16+AD16+AF16+AH16</f>
        <v>0</v>
      </c>
      <c r="G16" s="619"/>
      <c r="H16" s="620"/>
      <c r="I16" s="619"/>
      <c r="J16" s="620"/>
      <c r="K16" s="619"/>
      <c r="L16" s="620"/>
      <c r="M16" s="619"/>
      <c r="N16" s="620"/>
      <c r="O16" s="619"/>
      <c r="P16" s="145">
        <v>0</v>
      </c>
      <c r="Q16" s="619"/>
      <c r="R16" s="145">
        <v>0</v>
      </c>
      <c r="S16" s="619"/>
      <c r="T16" s="145">
        <v>0</v>
      </c>
      <c r="U16" s="619"/>
      <c r="V16" s="145">
        <v>0</v>
      </c>
      <c r="W16" s="619"/>
      <c r="X16" s="145">
        <v>0</v>
      </c>
      <c r="Y16" s="619"/>
      <c r="Z16" s="145">
        <v>0</v>
      </c>
      <c r="AA16" s="619"/>
      <c r="AB16" s="145">
        <v>0</v>
      </c>
      <c r="AC16" s="619"/>
      <c r="AD16" s="145">
        <v>0</v>
      </c>
      <c r="AE16" s="619"/>
      <c r="AF16" s="145">
        <v>0</v>
      </c>
      <c r="AG16" s="619"/>
      <c r="AH16" s="145">
        <v>0</v>
      </c>
      <c r="AI16" s="619"/>
      <c r="AJ16" s="620"/>
      <c r="AK16" s="619"/>
      <c r="AL16" s="620"/>
      <c r="AM16" s="619"/>
      <c r="AN16" s="620"/>
      <c r="AO16" s="619"/>
      <c r="AP16" s="620"/>
      <c r="AQ16" s="619"/>
      <c r="AR16" s="623"/>
      <c r="AS16" s="640">
        <v>0</v>
      </c>
      <c r="AT16" s="620"/>
      <c r="AU16" s="902">
        <v>0</v>
      </c>
      <c r="AV16" s="641">
        <v>0</v>
      </c>
      <c r="AW16" s="641">
        <v>0</v>
      </c>
      <c r="AX16" s="145">
        <v>0</v>
      </c>
      <c r="AY16" s="187" t="str">
        <f t="shared" si="0"/>
        <v/>
      </c>
      <c r="CA16" s="191" t="str">
        <f t="shared" si="1"/>
        <v/>
      </c>
      <c r="CB16" s="1092"/>
      <c r="CC16" s="191" t="str">
        <f t="shared" si="2"/>
        <v/>
      </c>
      <c r="CD16" s="191" t="str">
        <f t="shared" si="3"/>
        <v/>
      </c>
      <c r="CE16" s="191" t="str">
        <f t="shared" si="4"/>
        <v/>
      </c>
      <c r="CF16" s="191" t="str">
        <f t="shared" si="5"/>
        <v/>
      </c>
      <c r="CL16" s="1048">
        <f t="shared" si="6"/>
        <v>0</v>
      </c>
      <c r="CM16" s="1092"/>
      <c r="CN16" s="1048">
        <f t="shared" si="7"/>
        <v>0</v>
      </c>
      <c r="CO16" s="1048">
        <f t="shared" si="8"/>
        <v>0</v>
      </c>
      <c r="CP16" s="1048">
        <f t="shared" si="9"/>
        <v>0</v>
      </c>
      <c r="CQ16" s="1048">
        <f t="shared" si="10"/>
        <v>0</v>
      </c>
      <c r="CR16" s="1093"/>
    </row>
    <row r="17" spans="1:105" ht="15" customHeight="1" x14ac:dyDescent="0.25">
      <c r="A17" s="1657"/>
      <c r="B17" s="1114" t="s">
        <v>836</v>
      </c>
      <c r="C17" s="713" t="s">
        <v>840</v>
      </c>
      <c r="D17" s="1135">
        <f>SUM(E17:F17)</f>
        <v>0</v>
      </c>
      <c r="E17" s="1132">
        <f>+G17+I17+K17+M17+O17+Q17+S17+U17+W17+Y17+AA17+AC17+AE17+AG17+AI17+AK17+AM17+AO17+AQ17</f>
        <v>0</v>
      </c>
      <c r="F17" s="600">
        <f>+H17+J17+L17+N17+P17+R17+T17+V17+X17+Z17+AB17+AD17+AF17+AH17+AJ17+AL17+AN17+AP17+AR17</f>
        <v>0</v>
      </c>
      <c r="G17" s="154">
        <v>0</v>
      </c>
      <c r="H17" s="155">
        <v>0</v>
      </c>
      <c r="I17" s="154">
        <v>0</v>
      </c>
      <c r="J17" s="155">
        <v>0</v>
      </c>
      <c r="K17" s="154">
        <v>0</v>
      </c>
      <c r="L17" s="155">
        <v>0</v>
      </c>
      <c r="M17" s="154">
        <v>0</v>
      </c>
      <c r="N17" s="155">
        <v>0</v>
      </c>
      <c r="O17" s="154">
        <v>0</v>
      </c>
      <c r="P17" s="155">
        <v>0</v>
      </c>
      <c r="Q17" s="154">
        <v>0</v>
      </c>
      <c r="R17" s="155">
        <v>0</v>
      </c>
      <c r="S17" s="154">
        <v>0</v>
      </c>
      <c r="T17" s="155">
        <v>0</v>
      </c>
      <c r="U17" s="154">
        <v>0</v>
      </c>
      <c r="V17" s="155">
        <v>0</v>
      </c>
      <c r="W17" s="154">
        <v>0</v>
      </c>
      <c r="X17" s="155">
        <v>0</v>
      </c>
      <c r="Y17" s="154">
        <v>0</v>
      </c>
      <c r="Z17" s="155">
        <v>0</v>
      </c>
      <c r="AA17" s="154">
        <v>0</v>
      </c>
      <c r="AB17" s="155">
        <v>0</v>
      </c>
      <c r="AC17" s="154">
        <v>0</v>
      </c>
      <c r="AD17" s="155">
        <v>0</v>
      </c>
      <c r="AE17" s="154">
        <v>0</v>
      </c>
      <c r="AF17" s="155">
        <v>0</v>
      </c>
      <c r="AG17" s="154">
        <v>0</v>
      </c>
      <c r="AH17" s="155">
        <v>0</v>
      </c>
      <c r="AI17" s="154">
        <v>0</v>
      </c>
      <c r="AJ17" s="155">
        <v>0</v>
      </c>
      <c r="AK17" s="154">
        <v>0</v>
      </c>
      <c r="AL17" s="155">
        <v>0</v>
      </c>
      <c r="AM17" s="154">
        <v>0</v>
      </c>
      <c r="AN17" s="155">
        <v>0</v>
      </c>
      <c r="AO17" s="154">
        <v>0</v>
      </c>
      <c r="AP17" s="155">
        <v>0</v>
      </c>
      <c r="AQ17" s="154">
        <v>0</v>
      </c>
      <c r="AR17" s="171">
        <v>0</v>
      </c>
      <c r="AS17" s="642">
        <v>0</v>
      </c>
      <c r="AT17" s="155">
        <v>0</v>
      </c>
      <c r="AU17" s="591">
        <v>0</v>
      </c>
      <c r="AV17" s="643">
        <v>0</v>
      </c>
      <c r="AW17" s="643">
        <v>0</v>
      </c>
      <c r="AX17" s="155">
        <v>0</v>
      </c>
      <c r="AY17" s="187" t="str">
        <f t="shared" si="0"/>
        <v/>
      </c>
      <c r="CA17" s="191" t="str">
        <f t="shared" si="1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2"/>
        <v/>
      </c>
      <c r="CD17" s="191" t="str">
        <f t="shared" si="3"/>
        <v/>
      </c>
      <c r="CE17" s="191" t="str">
        <f t="shared" si="4"/>
        <v/>
      </c>
      <c r="CF17" s="191" t="str">
        <f t="shared" si="5"/>
        <v/>
      </c>
      <c r="CL17" s="1048">
        <f t="shared" si="6"/>
        <v>0</v>
      </c>
      <c r="CM17" s="1048">
        <f>IF(AND($E17&gt;0,OR($AT17="")),1,IF($AT17&gt;$E17,1,0))</f>
        <v>0</v>
      </c>
      <c r="CN17" s="1048">
        <f t="shared" si="7"/>
        <v>0</v>
      </c>
      <c r="CO17" s="1048">
        <f t="shared" si="8"/>
        <v>0</v>
      </c>
      <c r="CP17" s="1048">
        <f t="shared" si="9"/>
        <v>0</v>
      </c>
      <c r="CQ17" s="1048">
        <f t="shared" si="10"/>
        <v>0</v>
      </c>
      <c r="CR17" s="1093"/>
    </row>
    <row r="18" spans="1:105" ht="17.100000000000001" customHeight="1" x14ac:dyDescent="0.25">
      <c r="A18" s="2211" t="s">
        <v>841</v>
      </c>
      <c r="B18" s="2211"/>
      <c r="C18" s="2211"/>
      <c r="D18" s="2211"/>
      <c r="E18" s="2211"/>
      <c r="F18" s="2212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30" t="s">
        <v>827</v>
      </c>
      <c r="B19" s="2224" t="s">
        <v>54</v>
      </c>
      <c r="C19" s="2225"/>
      <c r="D19" s="2226"/>
      <c r="E19" s="2222" t="s">
        <v>382</v>
      </c>
      <c r="F19" s="1933"/>
      <c r="G19" s="1933"/>
      <c r="H19" s="1933"/>
      <c r="I19" s="1933"/>
      <c r="J19" s="1933"/>
      <c r="K19" s="1933"/>
      <c r="L19" s="1933"/>
      <c r="M19" s="1933"/>
      <c r="N19" s="1933"/>
      <c r="O19" s="1933"/>
      <c r="P19" s="1933"/>
      <c r="Q19" s="1933"/>
      <c r="R19" s="1933"/>
      <c r="S19" s="1933"/>
      <c r="T19" s="1933"/>
      <c r="U19" s="1933"/>
      <c r="V19" s="1933"/>
      <c r="W19" s="1933"/>
      <c r="X19" s="1933"/>
      <c r="Y19" s="1933"/>
      <c r="Z19" s="1933"/>
      <c r="AA19" s="1933"/>
      <c r="AB19" s="1933"/>
      <c r="AC19" s="1933"/>
      <c r="AD19" s="1933"/>
      <c r="AE19" s="1933"/>
      <c r="AF19" s="2223"/>
      <c r="AG19" s="1699" t="s">
        <v>633</v>
      </c>
      <c r="AH19" s="1656"/>
      <c r="AI19" s="1700" t="s">
        <v>56</v>
      </c>
      <c r="AJ19" s="1656" t="s">
        <v>113</v>
      </c>
      <c r="CB19" s="1997"/>
      <c r="CC19" s="1997"/>
      <c r="CD19" s="1997"/>
      <c r="CE19" s="1997"/>
      <c r="CF19" s="1997"/>
      <c r="CG19" s="1997"/>
      <c r="CH19" s="1997"/>
      <c r="CM19" s="1997"/>
      <c r="CN19" s="1997"/>
      <c r="CO19" s="1997"/>
      <c r="CP19" s="1997"/>
      <c r="CQ19" s="1997"/>
      <c r="CR19" s="1997"/>
      <c r="CS19" s="1997"/>
      <c r="CT19" s="1997"/>
      <c r="CU19" s="1997"/>
    </row>
    <row r="20" spans="1:105" ht="15" customHeight="1" x14ac:dyDescent="0.25">
      <c r="A20" s="2230"/>
      <c r="B20" s="2227"/>
      <c r="C20" s="2228"/>
      <c r="D20" s="2229"/>
      <c r="E20" s="1885" t="s">
        <v>62</v>
      </c>
      <c r="F20" s="1803"/>
      <c r="G20" s="1885" t="s">
        <v>63</v>
      </c>
      <c r="H20" s="1803"/>
      <c r="I20" s="1885" t="s">
        <v>64</v>
      </c>
      <c r="J20" s="1803"/>
      <c r="K20" s="2215" t="s">
        <v>65</v>
      </c>
      <c r="L20" s="2216"/>
      <c r="M20" s="2215" t="s">
        <v>66</v>
      </c>
      <c r="N20" s="2216"/>
      <c r="O20" s="2215" t="s">
        <v>67</v>
      </c>
      <c r="P20" s="2216"/>
      <c r="Q20" s="2215" t="s">
        <v>68</v>
      </c>
      <c r="R20" s="2216"/>
      <c r="S20" s="2215" t="s">
        <v>69</v>
      </c>
      <c r="T20" s="2216"/>
      <c r="U20" s="2215" t="s">
        <v>70</v>
      </c>
      <c r="V20" s="2216"/>
      <c r="W20" s="2215" t="s">
        <v>71</v>
      </c>
      <c r="X20" s="2216"/>
      <c r="Y20" s="2215" t="s">
        <v>72</v>
      </c>
      <c r="Z20" s="2216"/>
      <c r="AA20" s="1885" t="s">
        <v>412</v>
      </c>
      <c r="AB20" s="1652"/>
      <c r="AC20" s="1885" t="s">
        <v>413</v>
      </c>
      <c r="AD20" s="1652"/>
      <c r="AE20" s="1885" t="s">
        <v>414</v>
      </c>
      <c r="AF20" s="2070"/>
      <c r="AG20" s="1701"/>
      <c r="AH20" s="1657"/>
      <c r="AI20" s="2221"/>
      <c r="AJ20" s="2220"/>
      <c r="CB20" s="1997"/>
      <c r="CC20" s="1997"/>
      <c r="CD20" s="1997"/>
      <c r="CE20" s="1997"/>
      <c r="CF20" s="1997"/>
      <c r="CG20" s="1997"/>
      <c r="CH20" s="1997"/>
      <c r="CM20" s="1997"/>
      <c r="CN20" s="1997"/>
      <c r="CO20" s="1997"/>
      <c r="CP20" s="1997"/>
      <c r="CQ20" s="1997"/>
      <c r="CR20" s="1997"/>
      <c r="CS20" s="1997"/>
      <c r="CT20" s="1997"/>
      <c r="CU20" s="1997"/>
      <c r="DA20" s="107" t="s">
        <v>842</v>
      </c>
    </row>
    <row r="21" spans="1:105" ht="15" customHeight="1" x14ac:dyDescent="0.25">
      <c r="A21" s="2230"/>
      <c r="B21" s="1492" t="s">
        <v>231</v>
      </c>
      <c r="C21" s="1564" t="s">
        <v>91</v>
      </c>
      <c r="D21" s="1565" t="s">
        <v>232</v>
      </c>
      <c r="E21" s="1426" t="s">
        <v>416</v>
      </c>
      <c r="F21" s="1091" t="s">
        <v>232</v>
      </c>
      <c r="G21" s="1426" t="s">
        <v>416</v>
      </c>
      <c r="H21" s="1091" t="s">
        <v>232</v>
      </c>
      <c r="I21" s="1426" t="s">
        <v>416</v>
      </c>
      <c r="J21" s="1091" t="s">
        <v>232</v>
      </c>
      <c r="K21" s="1426" t="s">
        <v>416</v>
      </c>
      <c r="L21" s="1091" t="s">
        <v>232</v>
      </c>
      <c r="M21" s="1426" t="s">
        <v>416</v>
      </c>
      <c r="N21" s="1091" t="s">
        <v>232</v>
      </c>
      <c r="O21" s="1426" t="s">
        <v>416</v>
      </c>
      <c r="P21" s="1091" t="s">
        <v>232</v>
      </c>
      <c r="Q21" s="1426" t="s">
        <v>416</v>
      </c>
      <c r="R21" s="1091" t="s">
        <v>232</v>
      </c>
      <c r="S21" s="1426" t="s">
        <v>416</v>
      </c>
      <c r="T21" s="1091" t="s">
        <v>232</v>
      </c>
      <c r="U21" s="1426" t="s">
        <v>416</v>
      </c>
      <c r="V21" s="1091" t="s">
        <v>232</v>
      </c>
      <c r="W21" s="1426" t="s">
        <v>416</v>
      </c>
      <c r="X21" s="1091" t="s">
        <v>232</v>
      </c>
      <c r="Y21" s="1426" t="s">
        <v>416</v>
      </c>
      <c r="Z21" s="1091" t="s">
        <v>232</v>
      </c>
      <c r="AA21" s="1426" t="s">
        <v>416</v>
      </c>
      <c r="AB21" s="1091" t="s">
        <v>232</v>
      </c>
      <c r="AC21" s="1426" t="s">
        <v>416</v>
      </c>
      <c r="AD21" s="1091" t="s">
        <v>232</v>
      </c>
      <c r="AE21" s="1426" t="s">
        <v>416</v>
      </c>
      <c r="AF21" s="124" t="s">
        <v>232</v>
      </c>
      <c r="AG21" s="175" t="s">
        <v>634</v>
      </c>
      <c r="AH21" s="1091" t="s">
        <v>636</v>
      </c>
      <c r="AI21" s="1702"/>
      <c r="AJ21" s="1657"/>
      <c r="CB21" s="184"/>
      <c r="CC21" s="184"/>
      <c r="CD21" s="1997"/>
      <c r="CE21" s="1997"/>
      <c r="CF21" s="184"/>
      <c r="CG21" s="184"/>
      <c r="CH21" s="184"/>
      <c r="CM21" s="184"/>
      <c r="CN21" s="184"/>
      <c r="CO21" s="184"/>
      <c r="CP21" s="184"/>
      <c r="CQ21" s="1997"/>
      <c r="CR21" s="1997"/>
      <c r="CS21" s="184"/>
      <c r="CT21" s="184"/>
      <c r="CU21" s="184"/>
    </row>
    <row r="22" spans="1:105" ht="15" customHeight="1" x14ac:dyDescent="0.25">
      <c r="A22" s="1566" t="s">
        <v>843</v>
      </c>
      <c r="B22" s="1567">
        <f>SUM(C22:D22)</f>
        <v>0</v>
      </c>
      <c r="C22" s="1568">
        <f>+E22+G22+I22+K22+M22+O22+Q22+S22+U22+W22+Y22+AA22+AC22+AE22</f>
        <v>0</v>
      </c>
      <c r="D22" s="1223">
        <f>+F22+H22+J22+L22+N22+P22+R22+T22+V22+X22+Z22+AB22+AD22+AF22</f>
        <v>0</v>
      </c>
      <c r="E22" s="1553">
        <v>0</v>
      </c>
      <c r="F22" s="1569">
        <v>0</v>
      </c>
      <c r="G22" s="1553">
        <v>0</v>
      </c>
      <c r="H22" s="1569">
        <v>0</v>
      </c>
      <c r="I22" s="1553">
        <v>0</v>
      </c>
      <c r="J22" s="1569">
        <v>0</v>
      </c>
      <c r="K22" s="1553">
        <v>0</v>
      </c>
      <c r="L22" s="1569">
        <v>0</v>
      </c>
      <c r="M22" s="1553">
        <v>0</v>
      </c>
      <c r="N22" s="1569">
        <v>0</v>
      </c>
      <c r="O22" s="1553">
        <v>0</v>
      </c>
      <c r="P22" s="1569">
        <v>0</v>
      </c>
      <c r="Q22" s="1553">
        <v>0</v>
      </c>
      <c r="R22" s="1569">
        <v>0</v>
      </c>
      <c r="S22" s="1553">
        <v>0</v>
      </c>
      <c r="T22" s="1569">
        <v>0</v>
      </c>
      <c r="U22" s="1553">
        <v>0</v>
      </c>
      <c r="V22" s="1569">
        <v>0</v>
      </c>
      <c r="W22" s="1553">
        <v>0</v>
      </c>
      <c r="X22" s="1569">
        <v>0</v>
      </c>
      <c r="Y22" s="1553">
        <v>0</v>
      </c>
      <c r="Z22" s="1569">
        <v>0</v>
      </c>
      <c r="AA22" s="1553">
        <v>0</v>
      </c>
      <c r="AB22" s="1569">
        <v>0</v>
      </c>
      <c r="AC22" s="1553">
        <v>0</v>
      </c>
      <c r="AD22" s="1569">
        <v>0</v>
      </c>
      <c r="AE22" s="1553">
        <v>0</v>
      </c>
      <c r="AF22" s="169">
        <v>0</v>
      </c>
      <c r="AG22" s="566">
        <v>0</v>
      </c>
      <c r="AH22" s="1570">
        <v>0</v>
      </c>
      <c r="AI22" s="1569">
        <v>0</v>
      </c>
      <c r="AJ22" s="1570">
        <v>0</v>
      </c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48">
        <f>IF(AND($F22&gt;0,OR($AG22="")),1,IF($AG22&gt;$F22,1,0))</f>
        <v>0</v>
      </c>
      <c r="CM22" s="1048">
        <f>IF(AND($E22&gt;0,OR($AH22="")),1,IF($AH22&gt;$E22,1,0))</f>
        <v>0</v>
      </c>
      <c r="CN22" s="1048">
        <f>IF(AND($B22&gt;0,OR($AI22="")),1,IF($AI22&gt;B22,1,0))</f>
        <v>0</v>
      </c>
      <c r="CO22" s="1048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79">
        <f>SUM(D12:D17,B22)</f>
        <v>0</v>
      </c>
      <c r="B33" s="189" t="s">
        <v>211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79">
        <f>SUM(CL12:CQ22)</f>
        <v>0</v>
      </c>
      <c r="B34" s="189" t="s">
        <v>212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8aI/QC+l3wjESrC+8eyatoTf7d1XQnHTeVDbF6TvBrkIFT8JDL9Vy/nrQik/OwlYPQNR/ITTegt1Yqbm4A5uog==" saltValue="pab48WKQefkPWknILIw4Vw==" spinCount="100000" sheet="1" objects="1" scenarios="1"/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A34" zoomScaleNormal="100" workbookViewId="0">
      <selection activeCell="J18" sqref="J18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7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7" s="33" customFormat="1" ht="13.5" customHeight="1" x14ac:dyDescent="0.15">
      <c r="A5" s="32" t="str">
        <f>CONCATENATE("AÑO: ",NOMBRE!$B$7)</f>
        <v>AÑO: 2025</v>
      </c>
      <c r="N5" s="2245"/>
      <c r="O5" s="2245"/>
      <c r="P5" s="969"/>
      <c r="Q5" s="969"/>
      <c r="R5" s="969"/>
      <c r="S5" s="969"/>
      <c r="T5" s="969"/>
      <c r="U5" s="969"/>
      <c r="V5" s="969"/>
      <c r="W5" s="969"/>
      <c r="X5" s="969"/>
      <c r="Y5" s="969"/>
      <c r="Z5" s="969"/>
      <c r="AA5" s="969"/>
      <c r="AB5" s="969"/>
      <c r="AE5" s="969"/>
      <c r="AF5" s="969"/>
      <c r="AG5" s="969"/>
      <c r="AH5" s="969"/>
      <c r="AI5" s="969"/>
      <c r="AJ5" s="969"/>
      <c r="AK5" s="969"/>
      <c r="AL5" s="969"/>
      <c r="AM5" s="969"/>
      <c r="AN5" s="968"/>
    </row>
    <row r="6" spans="1:117" s="33" customFormat="1" ht="15" customHeight="1" x14ac:dyDescent="0.15">
      <c r="A6" s="81"/>
      <c r="N6" s="968"/>
      <c r="O6" s="968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968"/>
      <c r="AA6" s="968"/>
      <c r="AB6" s="968"/>
      <c r="AE6" s="968"/>
      <c r="AF6" s="968"/>
      <c r="AG6" s="968"/>
      <c r="AH6" s="968"/>
      <c r="AI6" s="968"/>
      <c r="AJ6" s="968"/>
      <c r="AK6" s="968"/>
      <c r="AL6" s="968"/>
      <c r="AM6" s="968"/>
      <c r="AN6" s="968"/>
    </row>
    <row r="7" spans="1:117" s="33" customFormat="1" ht="32.25" customHeight="1" x14ac:dyDescent="0.15">
      <c r="A7" s="2249" t="s">
        <v>844</v>
      </c>
      <c r="B7" s="2249"/>
      <c r="C7" s="2249"/>
      <c r="D7" s="2249"/>
      <c r="E7" s="2249"/>
      <c r="F7" s="2249"/>
      <c r="G7" s="2249"/>
      <c r="H7" s="1287"/>
      <c r="I7" s="1287"/>
      <c r="J7" s="1287"/>
      <c r="N7" s="968"/>
      <c r="O7" s="968"/>
      <c r="P7" s="968"/>
      <c r="Q7" s="968"/>
      <c r="R7" s="968"/>
      <c r="S7" s="968"/>
      <c r="T7" s="968"/>
      <c r="U7" s="968"/>
      <c r="V7" s="968"/>
      <c r="W7" s="968"/>
      <c r="X7" s="968"/>
      <c r="Y7" s="968"/>
      <c r="Z7" s="968"/>
      <c r="AA7" s="968"/>
      <c r="AB7" s="968"/>
      <c r="AE7" s="968"/>
      <c r="AF7" s="968"/>
      <c r="AG7" s="968"/>
      <c r="AH7" s="968"/>
      <c r="AI7" s="968"/>
      <c r="AJ7" s="968"/>
      <c r="AK7" s="968"/>
      <c r="AL7" s="968"/>
      <c r="AM7" s="968"/>
      <c r="AN7" s="968"/>
    </row>
    <row r="8" spans="1:117" ht="15" customHeight="1" x14ac:dyDescent="0.25">
      <c r="A8" s="2247" t="s">
        <v>845</v>
      </c>
      <c r="B8" s="2247"/>
      <c r="C8" s="2247"/>
      <c r="D8" s="1286"/>
      <c r="E8" s="1286"/>
      <c r="F8" s="1286"/>
      <c r="G8" s="1286"/>
      <c r="H8" s="1286"/>
      <c r="I8" s="1287"/>
      <c r="J8" s="1287"/>
      <c r="K8" s="1287"/>
      <c r="L8" s="970"/>
      <c r="M8" s="970"/>
      <c r="N8" s="970"/>
      <c r="O8" s="970"/>
      <c r="P8" s="970"/>
      <c r="Q8" s="970"/>
      <c r="R8" s="970"/>
      <c r="S8" s="970"/>
      <c r="T8" s="970"/>
      <c r="U8" s="970"/>
      <c r="V8" s="970"/>
      <c r="W8" s="970"/>
      <c r="X8" s="970"/>
      <c r="Y8" s="970"/>
      <c r="Z8" s="970"/>
      <c r="AA8" s="970"/>
      <c r="AB8" s="970"/>
      <c r="AE8" s="970"/>
      <c r="AF8" s="970"/>
      <c r="AG8" s="970"/>
      <c r="AH8" s="970"/>
      <c r="AI8" s="970"/>
      <c r="AJ8" s="970"/>
      <c r="AK8" s="970"/>
      <c r="AL8" s="970"/>
      <c r="AM8" s="970"/>
      <c r="AN8" s="125"/>
    </row>
    <row r="9" spans="1:117" s="986" customFormat="1" ht="15" customHeight="1" x14ac:dyDescent="0.25">
      <c r="A9" s="2248" t="s">
        <v>846</v>
      </c>
      <c r="B9" s="2248"/>
      <c r="C9" s="2248"/>
      <c r="D9" s="1286"/>
      <c r="E9" s="1286"/>
      <c r="F9" s="1286"/>
      <c r="G9" s="1286"/>
      <c r="H9" s="1286"/>
      <c r="I9" s="984"/>
      <c r="J9" s="984"/>
      <c r="K9" s="985"/>
      <c r="L9" s="985"/>
      <c r="M9" s="985"/>
      <c r="AC9" s="807"/>
      <c r="AD9" s="807"/>
    </row>
    <row r="10" spans="1:117" ht="61.5" customHeight="1" x14ac:dyDescent="0.25">
      <c r="A10" s="1571" t="s">
        <v>847</v>
      </c>
      <c r="B10" s="1336" t="s">
        <v>848</v>
      </c>
      <c r="C10" s="1572" t="s">
        <v>849</v>
      </c>
      <c r="D10" s="1572" t="s">
        <v>56</v>
      </c>
      <c r="E10" s="1573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28" t="s">
        <v>850</v>
      </c>
      <c r="B11" s="1289">
        <v>0</v>
      </c>
      <c r="C11" s="1123">
        <v>0</v>
      </c>
      <c r="D11" s="1288">
        <v>0</v>
      </c>
      <c r="E11" s="1288">
        <v>0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48">
        <f>IF(AND($B11+$C11&gt;0,OR(D11="")),1,IF(D11&gt;$B11+$C11,1,0))</f>
        <v>0</v>
      </c>
      <c r="BD11" s="1048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19" t="s">
        <v>851</v>
      </c>
      <c r="B12" s="1289">
        <v>5</v>
      </c>
      <c r="C12" s="1123">
        <v>0</v>
      </c>
      <c r="D12" s="1288">
        <v>5</v>
      </c>
      <c r="E12" s="1288">
        <v>0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71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48">
        <f t="shared" ref="BC12:BC23" si="3">IF(AND($B12+$C12&gt;0,OR(D12="")),1,IF(D12&gt;$B12+$C12,1,0))</f>
        <v>0</v>
      </c>
      <c r="BD12" s="1048">
        <f t="shared" ref="BD12:BD23" si="4">IF(AND($B12+$C12&gt;0,OR(E12="")),1,IF(E12&gt;$B12+$C12,1,0))</f>
        <v>0</v>
      </c>
    </row>
    <row r="13" spans="1:117" ht="15" customHeight="1" x14ac:dyDescent="0.25">
      <c r="A13" s="1119" t="s">
        <v>65</v>
      </c>
      <c r="B13" s="1289">
        <v>6</v>
      </c>
      <c r="C13" s="1123">
        <v>0</v>
      </c>
      <c r="D13" s="1288">
        <v>4</v>
      </c>
      <c r="E13" s="1288">
        <v>0</v>
      </c>
      <c r="F13" s="35" t="str">
        <f t="shared" si="0"/>
        <v/>
      </c>
      <c r="G13" s="126"/>
      <c r="H13" s="126"/>
      <c r="I13" s="126"/>
      <c r="J13" s="126"/>
      <c r="AA13" s="971"/>
      <c r="AE13" s="128"/>
      <c r="AU13" s="191" t="str">
        <f t="shared" si="1"/>
        <v/>
      </c>
      <c r="AV13" s="191" t="str">
        <f t="shared" si="2"/>
        <v/>
      </c>
      <c r="BB13" s="127"/>
      <c r="BC13" s="1048">
        <f t="shared" si="3"/>
        <v>0</v>
      </c>
      <c r="BD13" s="1048">
        <f t="shared" si="4"/>
        <v>0</v>
      </c>
    </row>
    <row r="14" spans="1:117" ht="15" customHeight="1" x14ac:dyDescent="0.25">
      <c r="A14" s="1119" t="s">
        <v>66</v>
      </c>
      <c r="B14" s="1289">
        <v>10</v>
      </c>
      <c r="C14" s="1123">
        <v>0</v>
      </c>
      <c r="D14" s="1288">
        <v>6</v>
      </c>
      <c r="E14" s="1288">
        <v>0</v>
      </c>
      <c r="F14" s="35" t="str">
        <f t="shared" si="0"/>
        <v/>
      </c>
      <c r="G14" s="126"/>
      <c r="H14" s="126"/>
      <c r="I14" s="126"/>
      <c r="J14" s="126"/>
      <c r="AA14" s="971"/>
      <c r="AE14" s="128"/>
      <c r="AU14" s="191" t="str">
        <f t="shared" si="1"/>
        <v/>
      </c>
      <c r="AV14" s="191" t="str">
        <f t="shared" si="2"/>
        <v/>
      </c>
      <c r="BB14" s="127"/>
      <c r="BC14" s="1048">
        <f t="shared" si="3"/>
        <v>0</v>
      </c>
      <c r="BD14" s="1048">
        <f t="shared" si="4"/>
        <v>0</v>
      </c>
    </row>
    <row r="15" spans="1:117" ht="15" customHeight="1" x14ac:dyDescent="0.25">
      <c r="A15" s="1119" t="s">
        <v>67</v>
      </c>
      <c r="B15" s="1289">
        <v>5</v>
      </c>
      <c r="C15" s="1123">
        <v>0</v>
      </c>
      <c r="D15" s="1288">
        <v>2</v>
      </c>
      <c r="E15" s="1288">
        <v>0</v>
      </c>
      <c r="F15" s="35" t="str">
        <f t="shared" si="0"/>
        <v/>
      </c>
      <c r="G15" s="126"/>
      <c r="H15" s="126"/>
      <c r="I15" s="126"/>
      <c r="J15" s="126"/>
      <c r="AA15" s="971"/>
      <c r="AE15" s="128"/>
      <c r="AU15" s="191" t="str">
        <f t="shared" si="1"/>
        <v/>
      </c>
      <c r="AV15" s="191" t="str">
        <f t="shared" si="2"/>
        <v/>
      </c>
      <c r="BB15" s="127"/>
      <c r="BC15" s="1048">
        <f t="shared" si="3"/>
        <v>0</v>
      </c>
      <c r="BD15" s="1048">
        <f t="shared" si="4"/>
        <v>0</v>
      </c>
    </row>
    <row r="16" spans="1:117" ht="15" customHeight="1" x14ac:dyDescent="0.25">
      <c r="A16" s="1119" t="s">
        <v>68</v>
      </c>
      <c r="B16" s="1289">
        <v>11</v>
      </c>
      <c r="C16" s="1123">
        <v>0</v>
      </c>
      <c r="D16" s="1288">
        <v>9</v>
      </c>
      <c r="E16" s="1288">
        <v>0</v>
      </c>
      <c r="F16" s="35" t="str">
        <f t="shared" si="0"/>
        <v/>
      </c>
      <c r="G16" s="126"/>
      <c r="H16" s="126"/>
      <c r="I16" s="126"/>
      <c r="J16" s="126"/>
      <c r="AA16" s="971"/>
      <c r="AE16" s="128"/>
      <c r="AU16" s="191" t="str">
        <f t="shared" si="1"/>
        <v/>
      </c>
      <c r="AV16" s="191" t="str">
        <f t="shared" si="2"/>
        <v/>
      </c>
      <c r="BB16" s="127"/>
      <c r="BC16" s="1048">
        <f t="shared" si="3"/>
        <v>0</v>
      </c>
      <c r="BD16" s="1048">
        <f t="shared" si="4"/>
        <v>0</v>
      </c>
    </row>
    <row r="17" spans="1:56" ht="15" customHeight="1" x14ac:dyDescent="0.25">
      <c r="A17" s="1119" t="s">
        <v>69</v>
      </c>
      <c r="B17" s="1289">
        <v>3</v>
      </c>
      <c r="C17" s="1123">
        <v>0</v>
      </c>
      <c r="D17" s="1288">
        <v>3</v>
      </c>
      <c r="E17" s="1288">
        <v>0</v>
      </c>
      <c r="F17" s="35" t="str">
        <f t="shared" si="0"/>
        <v/>
      </c>
      <c r="G17" s="126"/>
      <c r="H17" s="126"/>
      <c r="I17" s="126"/>
      <c r="J17" s="126"/>
      <c r="AA17" s="971"/>
      <c r="AE17" s="128"/>
      <c r="AU17" s="191" t="str">
        <f t="shared" si="1"/>
        <v/>
      </c>
      <c r="AV17" s="191" t="str">
        <f t="shared" si="2"/>
        <v/>
      </c>
      <c r="BB17" s="127"/>
      <c r="BC17" s="1048">
        <f t="shared" si="3"/>
        <v>0</v>
      </c>
      <c r="BD17" s="1048">
        <f t="shared" si="4"/>
        <v>0</v>
      </c>
    </row>
    <row r="18" spans="1:56" ht="15" customHeight="1" x14ac:dyDescent="0.25">
      <c r="A18" s="1119" t="s">
        <v>70</v>
      </c>
      <c r="B18" s="1289">
        <v>10</v>
      </c>
      <c r="C18" s="1123">
        <v>0</v>
      </c>
      <c r="D18" s="1288">
        <v>10</v>
      </c>
      <c r="E18" s="1288">
        <v>0</v>
      </c>
      <c r="F18" s="35" t="str">
        <f t="shared" si="0"/>
        <v/>
      </c>
      <c r="G18" s="126"/>
      <c r="H18" s="126"/>
      <c r="I18" s="126"/>
      <c r="J18" s="126"/>
      <c r="AA18" s="971"/>
      <c r="AE18" s="128"/>
      <c r="AU18" s="191" t="str">
        <f t="shared" si="1"/>
        <v/>
      </c>
      <c r="AV18" s="191" t="str">
        <f t="shared" si="2"/>
        <v/>
      </c>
      <c r="BB18" s="127"/>
      <c r="BC18" s="1048">
        <f t="shared" si="3"/>
        <v>0</v>
      </c>
      <c r="BD18" s="1048">
        <f t="shared" si="4"/>
        <v>0</v>
      </c>
    </row>
    <row r="19" spans="1:56" ht="15" customHeight="1" x14ac:dyDescent="0.25">
      <c r="A19" s="1119" t="s">
        <v>71</v>
      </c>
      <c r="B19" s="1289">
        <v>4</v>
      </c>
      <c r="C19" s="1123">
        <v>0</v>
      </c>
      <c r="D19" s="1288">
        <v>4</v>
      </c>
      <c r="E19" s="1288">
        <v>0</v>
      </c>
      <c r="F19" s="35" t="str">
        <f t="shared" si="0"/>
        <v/>
      </c>
      <c r="G19" s="126"/>
      <c r="H19" s="126"/>
      <c r="I19" s="126"/>
      <c r="J19" s="126"/>
      <c r="AA19" s="971"/>
      <c r="AE19" s="128"/>
      <c r="AU19" s="191" t="str">
        <f t="shared" si="1"/>
        <v/>
      </c>
      <c r="AV19" s="191" t="str">
        <f t="shared" si="2"/>
        <v/>
      </c>
      <c r="BB19" s="127"/>
      <c r="BC19" s="1048">
        <f t="shared" si="3"/>
        <v>0</v>
      </c>
      <c r="BD19" s="1048">
        <f t="shared" si="4"/>
        <v>0</v>
      </c>
    </row>
    <row r="20" spans="1:56" ht="15" customHeight="1" x14ac:dyDescent="0.25">
      <c r="A20" s="1119" t="s">
        <v>72</v>
      </c>
      <c r="B20" s="1289">
        <v>1</v>
      </c>
      <c r="C20" s="1123">
        <v>0</v>
      </c>
      <c r="D20" s="1288">
        <v>1</v>
      </c>
      <c r="E20" s="1288">
        <v>0</v>
      </c>
      <c r="F20" s="35" t="str">
        <f t="shared" si="0"/>
        <v/>
      </c>
      <c r="G20" s="126"/>
      <c r="H20" s="126"/>
      <c r="I20" s="126"/>
      <c r="J20" s="126"/>
      <c r="AA20" s="971"/>
      <c r="AE20" s="128"/>
      <c r="AU20" s="191" t="str">
        <f t="shared" si="1"/>
        <v/>
      </c>
      <c r="AV20" s="191" t="str">
        <f t="shared" si="2"/>
        <v/>
      </c>
      <c r="BB20" s="127"/>
      <c r="BC20" s="1048">
        <f t="shared" si="3"/>
        <v>0</v>
      </c>
      <c r="BD20" s="1048">
        <f t="shared" si="4"/>
        <v>0</v>
      </c>
    </row>
    <row r="21" spans="1:56" ht="15" customHeight="1" x14ac:dyDescent="0.25">
      <c r="A21" s="1119" t="s">
        <v>412</v>
      </c>
      <c r="B21" s="1289">
        <v>0</v>
      </c>
      <c r="C21" s="1123">
        <v>0</v>
      </c>
      <c r="D21" s="1288">
        <v>0</v>
      </c>
      <c r="E21" s="1288">
        <v>0</v>
      </c>
      <c r="F21" s="35" t="str">
        <f t="shared" si="0"/>
        <v/>
      </c>
      <c r="G21" s="126"/>
      <c r="H21" s="126"/>
      <c r="I21" s="126"/>
      <c r="J21" s="126"/>
      <c r="AA21" s="971"/>
      <c r="AE21" s="128"/>
      <c r="AU21" s="191" t="str">
        <f t="shared" si="1"/>
        <v/>
      </c>
      <c r="AV21" s="191" t="str">
        <f t="shared" si="2"/>
        <v/>
      </c>
      <c r="BB21" s="127"/>
      <c r="BC21" s="1048">
        <f t="shared" si="3"/>
        <v>0</v>
      </c>
      <c r="BD21" s="1048">
        <f t="shared" si="4"/>
        <v>0</v>
      </c>
    </row>
    <row r="22" spans="1:56" ht="15" customHeight="1" x14ac:dyDescent="0.25">
      <c r="A22" s="1119" t="s">
        <v>413</v>
      </c>
      <c r="B22" s="1289">
        <v>1</v>
      </c>
      <c r="C22" s="1123">
        <v>0</v>
      </c>
      <c r="D22" s="1288">
        <v>0</v>
      </c>
      <c r="E22" s="1288">
        <v>0</v>
      </c>
      <c r="F22" s="35" t="str">
        <f t="shared" si="0"/>
        <v/>
      </c>
      <c r="G22" s="126"/>
      <c r="H22" s="126"/>
      <c r="I22" s="126"/>
      <c r="J22" s="126"/>
      <c r="AA22" s="971"/>
      <c r="AE22" s="128"/>
      <c r="AU22" s="191" t="str">
        <f t="shared" si="1"/>
        <v/>
      </c>
      <c r="AV22" s="191" t="str">
        <f t="shared" si="2"/>
        <v/>
      </c>
      <c r="BB22" s="127"/>
      <c r="BC22" s="1048">
        <f t="shared" si="3"/>
        <v>0</v>
      </c>
      <c r="BD22" s="1048">
        <f t="shared" si="4"/>
        <v>0</v>
      </c>
    </row>
    <row r="23" spans="1:56" ht="15" customHeight="1" x14ac:dyDescent="0.25">
      <c r="A23" s="1119" t="s">
        <v>414</v>
      </c>
      <c r="B23" s="1289">
        <v>1</v>
      </c>
      <c r="C23" s="1123">
        <v>0</v>
      </c>
      <c r="D23" s="1288">
        <v>1</v>
      </c>
      <c r="E23" s="1288">
        <v>0</v>
      </c>
      <c r="F23" s="35" t="str">
        <f t="shared" si="0"/>
        <v/>
      </c>
      <c r="G23" s="126"/>
      <c r="H23" s="126"/>
      <c r="I23" s="126"/>
      <c r="J23" s="126"/>
      <c r="AA23" s="971"/>
      <c r="AE23" s="128"/>
      <c r="AU23" s="191" t="str">
        <f t="shared" si="1"/>
        <v/>
      </c>
      <c r="AV23" s="191" t="str">
        <f t="shared" si="2"/>
        <v/>
      </c>
      <c r="BB23" s="127"/>
      <c r="BC23" s="1048">
        <f t="shared" si="3"/>
        <v>0</v>
      </c>
      <c r="BD23" s="1048">
        <f t="shared" si="4"/>
        <v>0</v>
      </c>
    </row>
    <row r="24" spans="1:56" ht="15" customHeight="1" x14ac:dyDescent="0.25">
      <c r="A24" s="1574" t="s">
        <v>54</v>
      </c>
      <c r="B24" s="1337">
        <f>SUM(B11:B23)</f>
        <v>57</v>
      </c>
      <c r="C24" s="1575">
        <f>SUM(C11:C23)</f>
        <v>0</v>
      </c>
      <c r="D24" s="1575">
        <f>SUM(D11:D23)</f>
        <v>45</v>
      </c>
      <c r="E24" s="1576">
        <f>SUM(E11:E23)</f>
        <v>0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46" t="s">
        <v>852</v>
      </c>
      <c r="B25" s="2246"/>
      <c r="C25" s="2246"/>
      <c r="D25" s="1127"/>
      <c r="E25" s="1127"/>
      <c r="F25" s="1127"/>
      <c r="G25" s="1127"/>
      <c r="H25" s="967"/>
      <c r="I25" s="967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48" t="s">
        <v>853</v>
      </c>
      <c r="B26" s="2248"/>
      <c r="C26" s="2248"/>
      <c r="D26" s="1127"/>
      <c r="E26" s="1127"/>
      <c r="F26" s="1127"/>
      <c r="G26" s="1127"/>
      <c r="H26" s="967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73" t="s">
        <v>854</v>
      </c>
      <c r="B27" s="1336" t="s">
        <v>855</v>
      </c>
      <c r="C27" s="1327" t="s">
        <v>856</v>
      </c>
      <c r="D27" s="1572" t="s">
        <v>56</v>
      </c>
      <c r="E27" s="1573" t="s">
        <v>113</v>
      </c>
      <c r="F27" s="1127"/>
      <c r="G27" s="1127"/>
      <c r="H27" s="967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20" t="s">
        <v>65</v>
      </c>
      <c r="B28" s="1291">
        <v>1</v>
      </c>
      <c r="C28" s="1328">
        <v>0</v>
      </c>
      <c r="D28" s="1288">
        <v>0</v>
      </c>
      <c r="E28" s="1288">
        <v>0</v>
      </c>
      <c r="F28" s="35" t="str">
        <f t="shared" ref="F28:F34" si="5">AU28&amp;AV28</f>
        <v/>
      </c>
      <c r="G28" s="1127"/>
      <c r="H28" s="967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48">
        <f t="shared" ref="BC28:BC34" si="6">IF(AND($B28+$C28&gt;0,OR(D28="")),1,IF(D28&gt;$B28+$C28,1,0))</f>
        <v>0</v>
      </c>
      <c r="BD28" s="1048">
        <f t="shared" ref="BD28:BD34" si="7">IF(AND($B28+$C28&gt;0,OR(E28="")),1,IF(E28&gt;$B28+$C28,1,0))</f>
        <v>0</v>
      </c>
    </row>
    <row r="29" spans="1:56" s="125" customFormat="1" ht="15" customHeight="1" x14ac:dyDescent="0.15">
      <c r="A29" s="1119" t="s">
        <v>66</v>
      </c>
      <c r="B29" s="1291">
        <v>8</v>
      </c>
      <c r="C29" s="1328">
        <v>0</v>
      </c>
      <c r="D29" s="1288">
        <v>3</v>
      </c>
      <c r="E29" s="1288">
        <v>0</v>
      </c>
      <c r="F29" s="35" t="str">
        <f t="shared" si="5"/>
        <v/>
      </c>
      <c r="G29" s="1127"/>
      <c r="H29" s="967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48">
        <f t="shared" si="6"/>
        <v>0</v>
      </c>
      <c r="BD29" s="1048">
        <f t="shared" si="7"/>
        <v>0</v>
      </c>
    </row>
    <row r="30" spans="1:56" s="125" customFormat="1" ht="15" customHeight="1" x14ac:dyDescent="0.15">
      <c r="A30" s="1119" t="s">
        <v>67</v>
      </c>
      <c r="B30" s="1291">
        <v>4</v>
      </c>
      <c r="C30" s="1328">
        <v>0</v>
      </c>
      <c r="D30" s="1288">
        <v>0</v>
      </c>
      <c r="E30" s="1288">
        <v>0</v>
      </c>
      <c r="F30" s="35" t="str">
        <f t="shared" si="5"/>
        <v/>
      </c>
      <c r="G30" s="1127"/>
      <c r="H30" s="967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48">
        <f t="shared" si="6"/>
        <v>0</v>
      </c>
      <c r="BD30" s="1048">
        <f t="shared" si="7"/>
        <v>0</v>
      </c>
    </row>
    <row r="31" spans="1:56" s="125" customFormat="1" ht="15" customHeight="1" x14ac:dyDescent="0.15">
      <c r="A31" s="1119" t="s">
        <v>68</v>
      </c>
      <c r="B31" s="1291">
        <v>8</v>
      </c>
      <c r="C31" s="1328">
        <v>0</v>
      </c>
      <c r="D31" s="1288">
        <v>3</v>
      </c>
      <c r="E31" s="1288">
        <v>0</v>
      </c>
      <c r="F31" s="35" t="str">
        <f t="shared" si="5"/>
        <v/>
      </c>
      <c r="G31" s="1127"/>
      <c r="H31" s="967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48">
        <f t="shared" si="6"/>
        <v>0</v>
      </c>
      <c r="BD31" s="1048">
        <f t="shared" si="7"/>
        <v>0</v>
      </c>
    </row>
    <row r="32" spans="1:56" s="125" customFormat="1" ht="15" customHeight="1" x14ac:dyDescent="0.15">
      <c r="A32" s="1119" t="s">
        <v>69</v>
      </c>
      <c r="B32" s="1291">
        <v>3</v>
      </c>
      <c r="C32" s="1328">
        <v>0</v>
      </c>
      <c r="D32" s="1288">
        <v>2</v>
      </c>
      <c r="E32" s="1288">
        <v>0</v>
      </c>
      <c r="F32" s="35" t="str">
        <f t="shared" si="5"/>
        <v/>
      </c>
      <c r="G32" s="1127"/>
      <c r="H32" s="967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48">
        <f t="shared" si="6"/>
        <v>0</v>
      </c>
      <c r="BD32" s="1048">
        <f t="shared" si="7"/>
        <v>0</v>
      </c>
    </row>
    <row r="33" spans="1:56" s="125" customFormat="1" ht="15" customHeight="1" x14ac:dyDescent="0.15">
      <c r="A33" s="1119" t="s">
        <v>70</v>
      </c>
      <c r="B33" s="1291">
        <v>2</v>
      </c>
      <c r="C33" s="1328">
        <v>0</v>
      </c>
      <c r="D33" s="1288">
        <v>2</v>
      </c>
      <c r="E33" s="1288">
        <v>0</v>
      </c>
      <c r="F33" s="35" t="str">
        <f t="shared" si="5"/>
        <v/>
      </c>
      <c r="G33" s="1127"/>
      <c r="H33" s="967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48">
        <f t="shared" si="6"/>
        <v>0</v>
      </c>
      <c r="BD33" s="1048">
        <f t="shared" si="7"/>
        <v>0</v>
      </c>
    </row>
    <row r="34" spans="1:56" ht="15" customHeight="1" x14ac:dyDescent="0.25">
      <c r="A34" s="1119" t="s">
        <v>71</v>
      </c>
      <c r="B34" s="1292">
        <v>3</v>
      </c>
      <c r="C34" s="1329">
        <v>0</v>
      </c>
      <c r="D34" s="1290">
        <v>0</v>
      </c>
      <c r="E34" s="1290">
        <v>0</v>
      </c>
      <c r="F34" s="35" t="str">
        <f t="shared" si="5"/>
        <v/>
      </c>
      <c r="G34" s="1127"/>
      <c r="H34" s="967"/>
      <c r="I34" s="126"/>
      <c r="J34" s="126"/>
      <c r="AU34" s="191" t="str">
        <f t="shared" si="8"/>
        <v/>
      </c>
      <c r="AV34" s="191" t="str">
        <f t="shared" si="9"/>
        <v/>
      </c>
      <c r="BC34" s="1048">
        <f t="shared" si="6"/>
        <v>0</v>
      </c>
      <c r="BD34" s="1048">
        <f t="shared" si="7"/>
        <v>0</v>
      </c>
    </row>
    <row r="35" spans="1:56" ht="15" customHeight="1" x14ac:dyDescent="0.25">
      <c r="A35" s="1574" t="s">
        <v>54</v>
      </c>
      <c r="B35" s="1337">
        <f>SUM(B28:B34)</f>
        <v>29</v>
      </c>
      <c r="C35" s="1330">
        <f>SUM(C28:C34)</f>
        <v>0</v>
      </c>
      <c r="D35" s="1577">
        <f>SUM(D28:D34)</f>
        <v>10</v>
      </c>
      <c r="E35" s="1578">
        <f>SUM(E28:E34)</f>
        <v>0</v>
      </c>
      <c r="F35" s="1127"/>
      <c r="G35" s="1127"/>
      <c r="H35" s="967"/>
      <c r="I35" s="126"/>
      <c r="J35" s="126"/>
    </row>
    <row r="36" spans="1:56" ht="15" customHeight="1" x14ac:dyDescent="0.25">
      <c r="A36" s="2242" t="s">
        <v>857</v>
      </c>
      <c r="B36" s="2242"/>
      <c r="I36" s="126"/>
      <c r="J36" s="126"/>
    </row>
    <row r="37" spans="1:56" ht="15" customHeight="1" x14ac:dyDescent="0.25">
      <c r="A37" s="2243" t="s">
        <v>858</v>
      </c>
      <c r="B37" s="2243"/>
      <c r="C37" s="2243"/>
      <c r="D37" s="2243"/>
      <c r="I37" s="126"/>
      <c r="J37" s="126"/>
    </row>
    <row r="38" spans="1:56" ht="42" x14ac:dyDescent="0.25">
      <c r="A38" s="1579" t="s">
        <v>859</v>
      </c>
      <c r="B38" s="1336" t="s">
        <v>860</v>
      </c>
      <c r="C38" s="1572" t="s">
        <v>861</v>
      </c>
      <c r="D38" s="1572" t="s">
        <v>56</v>
      </c>
      <c r="E38" s="1573" t="s">
        <v>113</v>
      </c>
      <c r="F38" s="126"/>
      <c r="G38" s="126"/>
      <c r="H38" s="126"/>
      <c r="J38" s="126"/>
    </row>
    <row r="39" spans="1:56" ht="17.100000000000001" customHeight="1" x14ac:dyDescent="0.25">
      <c r="A39" s="1125" t="s">
        <v>862</v>
      </c>
      <c r="B39" s="1289">
        <v>0</v>
      </c>
      <c r="C39" s="1288">
        <v>0</v>
      </c>
      <c r="D39" s="1288">
        <v>0</v>
      </c>
      <c r="E39" s="1288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48">
        <f t="shared" ref="BC39" si="11">IF(AND($B39+$C39&gt;0,OR(D39="")),1,IF(D39&gt;$B39+$C39,1,0))</f>
        <v>0</v>
      </c>
      <c r="BD39" s="1048">
        <f t="shared" ref="BD39" si="12">IF(AND($B39+$C39&gt;0,OR(E39="")),1,IF(E39&gt;$B39+$C39,1,0))</f>
        <v>0</v>
      </c>
    </row>
    <row r="40" spans="1:56" x14ac:dyDescent="0.25">
      <c r="A40" s="1124" t="s">
        <v>863</v>
      </c>
      <c r="B40" s="1289">
        <v>8</v>
      </c>
      <c r="C40" s="1288">
        <v>0</v>
      </c>
      <c r="D40" s="1288">
        <v>2</v>
      </c>
      <c r="E40" s="1288">
        <v>0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48">
        <f t="shared" ref="BC40:BC46" si="15">IF(AND($B40+$C40&gt;0,OR(D40="")),1,IF(D40&gt;$B40+$C40,1,0))</f>
        <v>0</v>
      </c>
      <c r="BD40" s="1048">
        <f t="shared" ref="BD40:BD47" si="16">IF(AND($B40+$C40&gt;0,OR(E40="")),1,IF(E40&gt;$B40+$C40,1,0))</f>
        <v>0</v>
      </c>
    </row>
    <row r="41" spans="1:56" ht="15" customHeight="1" x14ac:dyDescent="0.25">
      <c r="A41" s="1119" t="s">
        <v>69</v>
      </c>
      <c r="B41" s="1289">
        <v>1</v>
      </c>
      <c r="C41" s="1288">
        <v>0</v>
      </c>
      <c r="D41" s="1288">
        <v>0</v>
      </c>
      <c r="E41" s="1288">
        <v>0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48">
        <f t="shared" si="15"/>
        <v>0</v>
      </c>
      <c r="BD41" s="1048">
        <f t="shared" si="16"/>
        <v>0</v>
      </c>
    </row>
    <row r="42" spans="1:56" ht="15" customHeight="1" x14ac:dyDescent="0.25">
      <c r="A42" s="1119" t="s">
        <v>70</v>
      </c>
      <c r="B42" s="1289">
        <v>4</v>
      </c>
      <c r="C42" s="1288">
        <v>0</v>
      </c>
      <c r="D42" s="1288">
        <v>4</v>
      </c>
      <c r="E42" s="1288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48">
        <f t="shared" si="15"/>
        <v>0</v>
      </c>
      <c r="BD42" s="1048">
        <f t="shared" si="16"/>
        <v>0</v>
      </c>
    </row>
    <row r="43" spans="1:56" ht="15" customHeight="1" x14ac:dyDescent="0.25">
      <c r="A43" s="1119" t="s">
        <v>71</v>
      </c>
      <c r="B43" s="1289">
        <v>4</v>
      </c>
      <c r="C43" s="1288">
        <v>0</v>
      </c>
      <c r="D43" s="1288">
        <v>2</v>
      </c>
      <c r="E43" s="1288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48">
        <f t="shared" si="15"/>
        <v>0</v>
      </c>
      <c r="BD43" s="1048">
        <f t="shared" si="16"/>
        <v>0</v>
      </c>
    </row>
    <row r="44" spans="1:56" ht="15" customHeight="1" x14ac:dyDescent="0.25">
      <c r="A44" s="1119" t="s">
        <v>72</v>
      </c>
      <c r="B44" s="1289">
        <v>2</v>
      </c>
      <c r="C44" s="1288">
        <v>0</v>
      </c>
      <c r="D44" s="1288">
        <v>2</v>
      </c>
      <c r="E44" s="1288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48">
        <f t="shared" si="15"/>
        <v>0</v>
      </c>
      <c r="BD44" s="1048">
        <f t="shared" si="16"/>
        <v>0</v>
      </c>
    </row>
    <row r="45" spans="1:56" ht="15" customHeight="1" x14ac:dyDescent="0.25">
      <c r="A45" s="1119" t="s">
        <v>412</v>
      </c>
      <c r="B45" s="1289">
        <v>2</v>
      </c>
      <c r="C45" s="1288">
        <v>0</v>
      </c>
      <c r="D45" s="1288">
        <v>2</v>
      </c>
      <c r="E45" s="1288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48">
        <f t="shared" si="15"/>
        <v>0</v>
      </c>
      <c r="BD45" s="1048">
        <f t="shared" si="16"/>
        <v>0</v>
      </c>
    </row>
    <row r="46" spans="1:56" ht="15" customHeight="1" x14ac:dyDescent="0.25">
      <c r="A46" s="1119" t="s">
        <v>413</v>
      </c>
      <c r="B46" s="1289">
        <v>0</v>
      </c>
      <c r="C46" s="1288">
        <v>0</v>
      </c>
      <c r="D46" s="1288">
        <v>0</v>
      </c>
      <c r="E46" s="1288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48">
        <f t="shared" si="15"/>
        <v>0</v>
      </c>
      <c r="BD46" s="1048">
        <f t="shared" si="16"/>
        <v>0</v>
      </c>
    </row>
    <row r="47" spans="1:56" ht="15" customHeight="1" x14ac:dyDescent="0.25">
      <c r="A47" s="1119" t="s">
        <v>414</v>
      </c>
      <c r="B47" s="1289">
        <v>0</v>
      </c>
      <c r="C47" s="1288">
        <v>0</v>
      </c>
      <c r="D47" s="1288">
        <v>0</v>
      </c>
      <c r="E47" s="1288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48">
        <f>IF(AND($B47+$C47&gt;0,OR(D47="")),1,IF(D47&gt;$B47+$C47,1,0))</f>
        <v>0</v>
      </c>
      <c r="BD47" s="1048">
        <f t="shared" si="16"/>
        <v>0</v>
      </c>
    </row>
    <row r="48" spans="1:56" ht="15" customHeight="1" x14ac:dyDescent="0.25">
      <c r="A48" s="1580" t="s">
        <v>54</v>
      </c>
      <c r="B48" s="1338">
        <f>SUM(B39:B47)</f>
        <v>21</v>
      </c>
      <c r="C48" s="1581">
        <f>SUM(C39:C47)</f>
        <v>0</v>
      </c>
      <c r="D48" s="1581">
        <f t="shared" ref="D48:E48" si="17">SUM(D39:D47)</f>
        <v>12</v>
      </c>
      <c r="E48" s="1582">
        <f t="shared" si="17"/>
        <v>0</v>
      </c>
      <c r="F48" s="126"/>
      <c r="G48" s="126"/>
      <c r="H48" s="126"/>
      <c r="I48" s="126"/>
      <c r="J48" s="126"/>
    </row>
    <row r="49" spans="1:56" ht="15" customHeight="1" x14ac:dyDescent="0.25">
      <c r="A49" s="1122" t="s">
        <v>864</v>
      </c>
      <c r="B49" s="1121"/>
      <c r="C49" s="33"/>
      <c r="D49" s="125"/>
      <c r="E49" s="607"/>
      <c r="F49" s="607"/>
      <c r="G49" s="607"/>
      <c r="H49" s="607"/>
      <c r="I49" s="126"/>
      <c r="J49" s="126"/>
    </row>
    <row r="50" spans="1:56" ht="15" customHeight="1" x14ac:dyDescent="0.25">
      <c r="A50" s="2244" t="s">
        <v>865</v>
      </c>
      <c r="B50" s="2244"/>
      <c r="C50" s="2244"/>
      <c r="D50" s="2244"/>
      <c r="E50" s="1126"/>
      <c r="F50" s="607"/>
      <c r="G50" s="607"/>
      <c r="H50" s="607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71" t="s">
        <v>859</v>
      </c>
      <c r="B51" s="1336" t="s">
        <v>866</v>
      </c>
      <c r="C51" s="1572" t="s">
        <v>867</v>
      </c>
      <c r="D51" s="1572" t="s">
        <v>56</v>
      </c>
      <c r="E51" s="1573" t="s">
        <v>113</v>
      </c>
      <c r="F51" s="607"/>
      <c r="G51" s="607"/>
      <c r="H51" s="607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25" t="s">
        <v>862</v>
      </c>
      <c r="B52" s="1289">
        <v>3</v>
      </c>
      <c r="C52" s="1288">
        <v>0</v>
      </c>
      <c r="D52" s="1288">
        <v>3</v>
      </c>
      <c r="E52" s="1288">
        <v>0</v>
      </c>
      <c r="F52" s="35" t="str">
        <f t="shared" ref="F52:F60" si="18">AU52&amp;AV52</f>
        <v/>
      </c>
      <c r="G52" s="607"/>
      <c r="H52" s="607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48">
        <f t="shared" ref="BC52:BC60" si="19">IF(AND($B52+$C52&gt;0,OR(D52="")),1,IF(D52&gt;$B52+$C52,1,0))</f>
        <v>0</v>
      </c>
      <c r="BD52" s="1048">
        <f t="shared" ref="BD52:BD60" si="20">IF(AND($B52+$C52&gt;0,OR(E52="")),1,IF(E52&gt;$B52+$C52,1,0))</f>
        <v>0</v>
      </c>
    </row>
    <row r="53" spans="1:56" x14ac:dyDescent="0.25">
      <c r="A53" s="1124" t="s">
        <v>863</v>
      </c>
      <c r="B53" s="1289">
        <v>13</v>
      </c>
      <c r="C53" s="1288">
        <v>0</v>
      </c>
      <c r="D53" s="1288">
        <v>3</v>
      </c>
      <c r="E53" s="1288">
        <v>0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48">
        <f t="shared" si="19"/>
        <v>0</v>
      </c>
      <c r="BD53" s="1048">
        <f t="shared" si="20"/>
        <v>0</v>
      </c>
    </row>
    <row r="54" spans="1:56" s="131" customFormat="1" ht="15" customHeight="1" x14ac:dyDescent="0.15">
      <c r="A54" s="1119" t="s">
        <v>69</v>
      </c>
      <c r="B54" s="1289">
        <v>1</v>
      </c>
      <c r="C54" s="1288">
        <v>0</v>
      </c>
      <c r="D54" s="1288">
        <v>1</v>
      </c>
      <c r="E54" s="1288">
        <v>0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71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48">
        <f t="shared" si="19"/>
        <v>0</v>
      </c>
      <c r="BD54" s="1048">
        <f t="shared" si="20"/>
        <v>0</v>
      </c>
    </row>
    <row r="55" spans="1:56" ht="15" customHeight="1" x14ac:dyDescent="0.25">
      <c r="A55" s="1119" t="s">
        <v>70</v>
      </c>
      <c r="B55" s="1289">
        <v>5</v>
      </c>
      <c r="C55" s="1288">
        <v>0</v>
      </c>
      <c r="D55" s="1288">
        <v>5</v>
      </c>
      <c r="E55" s="1288">
        <v>0</v>
      </c>
      <c r="F55" s="35" t="str">
        <f t="shared" si="18"/>
        <v/>
      </c>
      <c r="G55" s="126"/>
      <c r="H55" s="126"/>
      <c r="AA55" s="971"/>
      <c r="AU55" s="191" t="str">
        <f t="shared" si="21"/>
        <v/>
      </c>
      <c r="AV55" s="191" t="str">
        <f t="shared" si="22"/>
        <v/>
      </c>
      <c r="BC55" s="1048">
        <f t="shared" si="19"/>
        <v>0</v>
      </c>
      <c r="BD55" s="1048">
        <f t="shared" si="20"/>
        <v>0</v>
      </c>
    </row>
    <row r="56" spans="1:56" ht="15" customHeight="1" x14ac:dyDescent="0.25">
      <c r="A56" s="1119" t="s">
        <v>71</v>
      </c>
      <c r="B56" s="1289">
        <v>1</v>
      </c>
      <c r="C56" s="1288">
        <v>0</v>
      </c>
      <c r="D56" s="1288">
        <v>1</v>
      </c>
      <c r="E56" s="1288">
        <v>0</v>
      </c>
      <c r="F56" s="35" t="str">
        <f t="shared" si="18"/>
        <v/>
      </c>
      <c r="G56" s="126"/>
      <c r="H56" s="126"/>
      <c r="AA56" s="971"/>
      <c r="AU56" s="191" t="str">
        <f t="shared" si="21"/>
        <v/>
      </c>
      <c r="AV56" s="191" t="str">
        <f t="shared" si="22"/>
        <v/>
      </c>
      <c r="BC56" s="1048">
        <f t="shared" si="19"/>
        <v>0</v>
      </c>
      <c r="BD56" s="1048">
        <f t="shared" si="20"/>
        <v>0</v>
      </c>
    </row>
    <row r="57" spans="1:56" ht="15" customHeight="1" x14ac:dyDescent="0.25">
      <c r="A57" s="1119" t="s">
        <v>72</v>
      </c>
      <c r="B57" s="1289">
        <v>1</v>
      </c>
      <c r="C57" s="1288">
        <v>0</v>
      </c>
      <c r="D57" s="1288">
        <v>1</v>
      </c>
      <c r="E57" s="1288">
        <v>0</v>
      </c>
      <c r="F57" s="35" t="str">
        <f t="shared" si="18"/>
        <v/>
      </c>
      <c r="G57" s="126"/>
      <c r="H57" s="126"/>
      <c r="AA57" s="971"/>
      <c r="AU57" s="191" t="str">
        <f t="shared" si="21"/>
        <v/>
      </c>
      <c r="AV57" s="191" t="str">
        <f t="shared" si="22"/>
        <v/>
      </c>
      <c r="BC57" s="1048">
        <f t="shared" si="19"/>
        <v>0</v>
      </c>
      <c r="BD57" s="1048">
        <f t="shared" si="20"/>
        <v>0</v>
      </c>
    </row>
    <row r="58" spans="1:56" ht="15" customHeight="1" x14ac:dyDescent="0.25">
      <c r="A58" s="1119" t="s">
        <v>412</v>
      </c>
      <c r="B58" s="1289">
        <v>0</v>
      </c>
      <c r="C58" s="1288">
        <v>0</v>
      </c>
      <c r="D58" s="1288">
        <v>0</v>
      </c>
      <c r="E58" s="1288">
        <v>0</v>
      </c>
      <c r="F58" s="35" t="str">
        <f t="shared" si="18"/>
        <v/>
      </c>
      <c r="G58" s="126"/>
      <c r="H58" s="126"/>
      <c r="AA58" s="971"/>
      <c r="AU58" s="191" t="str">
        <f t="shared" si="21"/>
        <v/>
      </c>
      <c r="AV58" s="191" t="str">
        <f t="shared" si="22"/>
        <v/>
      </c>
      <c r="BC58" s="1048">
        <f t="shared" si="19"/>
        <v>0</v>
      </c>
      <c r="BD58" s="1048">
        <f t="shared" si="20"/>
        <v>0</v>
      </c>
    </row>
    <row r="59" spans="1:56" ht="15" customHeight="1" x14ac:dyDescent="0.25">
      <c r="A59" s="1119" t="s">
        <v>413</v>
      </c>
      <c r="B59" s="1289">
        <v>1</v>
      </c>
      <c r="C59" s="1288">
        <v>0</v>
      </c>
      <c r="D59" s="1288">
        <v>0</v>
      </c>
      <c r="E59" s="1288">
        <v>0</v>
      </c>
      <c r="F59" s="35" t="str">
        <f t="shared" si="18"/>
        <v/>
      </c>
      <c r="G59" s="126"/>
      <c r="H59" s="126"/>
      <c r="AA59" s="971"/>
      <c r="AU59" s="191" t="str">
        <f t="shared" si="21"/>
        <v/>
      </c>
      <c r="AV59" s="191" t="str">
        <f t="shared" si="22"/>
        <v/>
      </c>
      <c r="BC59" s="1048">
        <f t="shared" si="19"/>
        <v>0</v>
      </c>
      <c r="BD59" s="1048">
        <f t="shared" si="20"/>
        <v>0</v>
      </c>
    </row>
    <row r="60" spans="1:56" ht="15" customHeight="1" x14ac:dyDescent="0.25">
      <c r="A60" s="1119" t="s">
        <v>414</v>
      </c>
      <c r="B60" s="1289">
        <v>0</v>
      </c>
      <c r="C60" s="1288">
        <v>0</v>
      </c>
      <c r="D60" s="1288">
        <v>0</v>
      </c>
      <c r="E60" s="1288">
        <v>0</v>
      </c>
      <c r="F60" s="35" t="str">
        <f t="shared" si="18"/>
        <v/>
      </c>
      <c r="G60" s="126"/>
      <c r="H60" s="126"/>
      <c r="AA60" s="971"/>
      <c r="AU60" s="191" t="str">
        <f t="shared" si="21"/>
        <v/>
      </c>
      <c r="AV60" s="191" t="str">
        <f t="shared" si="22"/>
        <v/>
      </c>
      <c r="BC60" s="1048">
        <f t="shared" si="19"/>
        <v>0</v>
      </c>
      <c r="BD60" s="1048">
        <f t="shared" si="20"/>
        <v>0</v>
      </c>
    </row>
    <row r="61" spans="1:56" ht="15" customHeight="1" x14ac:dyDescent="0.25">
      <c r="A61" s="1580" t="s">
        <v>54</v>
      </c>
      <c r="B61" s="1338">
        <f>SUM(B52:B60)</f>
        <v>25</v>
      </c>
      <c r="C61" s="1581">
        <f>SUM(C52:C60)</f>
        <v>0</v>
      </c>
      <c r="D61" s="1581">
        <f t="shared" ref="D61:E61" si="23">SUM(D52:D60)</f>
        <v>14</v>
      </c>
      <c r="E61" s="1582">
        <f t="shared" si="23"/>
        <v>0</v>
      </c>
      <c r="F61" s="607"/>
      <c r="G61" s="607"/>
      <c r="H61" s="607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22" t="s">
        <v>864</v>
      </c>
      <c r="B62" s="1121"/>
      <c r="C62" s="33"/>
      <c r="D62" s="125"/>
      <c r="E62" s="607"/>
      <c r="F62" s="607"/>
      <c r="G62" s="607"/>
      <c r="H62" s="607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400">
        <f>SUM(B11:C23,B28:C34,B39:C47,B52:C60)</f>
        <v>132</v>
      </c>
      <c r="B80" s="593" t="s">
        <v>211</v>
      </c>
    </row>
    <row r="81" spans="1:2" hidden="1" x14ac:dyDescent="0.25">
      <c r="A81" s="1400">
        <f>SUM(BC11:BD60)</f>
        <v>0</v>
      </c>
      <c r="B81" s="593" t="s">
        <v>212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/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JUNIO   ( 06 )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47" t="s">
        <v>868</v>
      </c>
      <c r="B7" s="2147"/>
      <c r="C7" s="2147"/>
      <c r="D7" s="2147"/>
      <c r="E7" s="2147"/>
      <c r="F7" s="2147"/>
      <c r="G7" s="2147"/>
      <c r="H7" s="2147"/>
      <c r="I7" s="2147"/>
      <c r="J7" s="2147"/>
      <c r="K7" s="2147"/>
      <c r="L7" s="2147"/>
      <c r="M7" s="2147"/>
      <c r="N7" s="2147"/>
      <c r="O7" s="2147"/>
      <c r="P7" s="2147"/>
      <c r="Q7" s="2147"/>
      <c r="R7" s="2147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94" t="s">
        <v>869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51" t="s">
        <v>870</v>
      </c>
      <c r="B9" s="2252" t="s">
        <v>54</v>
      </c>
      <c r="C9" s="2253"/>
      <c r="D9" s="2254"/>
      <c r="E9" s="2258" t="s">
        <v>382</v>
      </c>
      <c r="F9" s="2259"/>
      <c r="G9" s="2259"/>
      <c r="H9" s="2259"/>
      <c r="I9" s="2259"/>
      <c r="J9" s="2259"/>
      <c r="K9" s="2259"/>
      <c r="L9" s="2259"/>
      <c r="M9" s="2259"/>
      <c r="N9" s="2259"/>
      <c r="O9" s="2259"/>
      <c r="P9" s="2260"/>
      <c r="Q9" s="2254" t="s">
        <v>113</v>
      </c>
      <c r="R9" s="1616" t="s">
        <v>56</v>
      </c>
      <c r="W9" s="607"/>
      <c r="X9" s="607"/>
      <c r="Y9" s="607"/>
      <c r="Z9" s="607"/>
      <c r="AA9" s="607"/>
      <c r="AB9" s="607"/>
      <c r="AC9" s="607"/>
      <c r="AD9" s="607"/>
      <c r="AE9" s="607"/>
      <c r="AF9" s="607"/>
    </row>
    <row r="10" spans="1:78" ht="15.75" customHeight="1" x14ac:dyDescent="0.15">
      <c r="A10" s="2251"/>
      <c r="B10" s="2255"/>
      <c r="C10" s="2256"/>
      <c r="D10" s="2257"/>
      <c r="E10" s="1638" t="s">
        <v>871</v>
      </c>
      <c r="F10" s="1637"/>
      <c r="G10" s="1638" t="s">
        <v>872</v>
      </c>
      <c r="H10" s="1637"/>
      <c r="I10" s="1638" t="s">
        <v>873</v>
      </c>
      <c r="J10" s="1637"/>
      <c r="K10" s="1638" t="s">
        <v>62</v>
      </c>
      <c r="L10" s="1637"/>
      <c r="M10" s="1638" t="s">
        <v>874</v>
      </c>
      <c r="N10" s="1637"/>
      <c r="O10" s="1638" t="s">
        <v>875</v>
      </c>
      <c r="P10" s="2250"/>
      <c r="Q10" s="2261"/>
      <c r="R10" s="1617"/>
      <c r="BA10" s="1658" t="s">
        <v>113</v>
      </c>
      <c r="BB10" s="1658" t="s">
        <v>56</v>
      </c>
      <c r="BC10" s="1997"/>
      <c r="BD10" s="1997"/>
      <c r="BI10" s="1658" t="s">
        <v>113</v>
      </c>
      <c r="BJ10" s="1658" t="s">
        <v>56</v>
      </c>
      <c r="BK10" s="1997"/>
      <c r="BL10" s="1997"/>
    </row>
    <row r="11" spans="1:78" ht="18" customHeight="1" x14ac:dyDescent="0.15">
      <c r="A11" s="2251"/>
      <c r="B11" s="1390" t="s">
        <v>231</v>
      </c>
      <c r="C11" s="1584" t="s">
        <v>775</v>
      </c>
      <c r="D11" s="965" t="s">
        <v>90</v>
      </c>
      <c r="E11" s="1585" t="s">
        <v>775</v>
      </c>
      <c r="F11" s="965" t="s">
        <v>90</v>
      </c>
      <c r="G11" s="1585" t="s">
        <v>775</v>
      </c>
      <c r="H11" s="965" t="s">
        <v>90</v>
      </c>
      <c r="I11" s="1585" t="s">
        <v>775</v>
      </c>
      <c r="J11" s="1388" t="s">
        <v>90</v>
      </c>
      <c r="K11" s="1585" t="s">
        <v>775</v>
      </c>
      <c r="L11" s="1388" t="s">
        <v>90</v>
      </c>
      <c r="M11" s="1585" t="s">
        <v>775</v>
      </c>
      <c r="N11" s="1388" t="s">
        <v>90</v>
      </c>
      <c r="O11" s="1584" t="s">
        <v>775</v>
      </c>
      <c r="P11" s="1583" t="s">
        <v>90</v>
      </c>
      <c r="Q11" s="2257"/>
      <c r="R11" s="1618"/>
      <c r="BA11" s="1935"/>
      <c r="BB11" s="1935"/>
      <c r="BC11" s="1997"/>
      <c r="BD11" s="1997"/>
      <c r="BI11" s="1935"/>
      <c r="BJ11" s="1935"/>
      <c r="BK11" s="1997"/>
      <c r="BL11" s="1997"/>
    </row>
    <row r="12" spans="1:78" ht="15" customHeight="1" x14ac:dyDescent="0.15">
      <c r="A12" s="714" t="s">
        <v>54</v>
      </c>
      <c r="B12" s="266">
        <f>SUM(C12:D12)</f>
        <v>12</v>
      </c>
      <c r="C12" s="307">
        <f>SUM(C13:C16)</f>
        <v>6</v>
      </c>
      <c r="D12" s="577">
        <f>SUM(D13:D16)</f>
        <v>6</v>
      </c>
      <c r="E12" s="715">
        <f>SUM(E13:E16)</f>
        <v>0</v>
      </c>
      <c r="F12" s="746">
        <f>SUM(F13:F15)</f>
        <v>2</v>
      </c>
      <c r="G12" s="715">
        <f>SUM(G13:G15)</f>
        <v>1</v>
      </c>
      <c r="H12" s="746">
        <f>SUM(H13:H15)</f>
        <v>1</v>
      </c>
      <c r="I12" s="715">
        <f t="shared" ref="I12:P12" si="0">SUM(I13:I16)</f>
        <v>3</v>
      </c>
      <c r="J12" s="966">
        <f t="shared" si="0"/>
        <v>1</v>
      </c>
      <c r="K12" s="715">
        <f t="shared" si="0"/>
        <v>2</v>
      </c>
      <c r="L12" s="966">
        <f t="shared" si="0"/>
        <v>2</v>
      </c>
      <c r="M12" s="715">
        <f t="shared" si="0"/>
        <v>0</v>
      </c>
      <c r="N12" s="966">
        <f t="shared" si="0"/>
        <v>0</v>
      </c>
      <c r="O12" s="307">
        <f t="shared" si="0"/>
        <v>0</v>
      </c>
      <c r="P12" s="716">
        <f t="shared" si="0"/>
        <v>0</v>
      </c>
      <c r="Q12" s="577">
        <f t="shared" ref="Q12" si="1">SUM(Q13:Q16)</f>
        <v>0</v>
      </c>
      <c r="R12" s="577">
        <f t="shared" ref="R12" si="2">SUM(R13:R16)</f>
        <v>10</v>
      </c>
      <c r="BA12" s="1659"/>
      <c r="BB12" s="1659"/>
      <c r="BC12" s="1997"/>
      <c r="BD12" s="1997"/>
      <c r="BI12" s="1659"/>
      <c r="BJ12" s="1659"/>
      <c r="BK12" s="1997"/>
      <c r="BL12" s="1997"/>
    </row>
    <row r="13" spans="1:78" ht="15" customHeight="1" x14ac:dyDescent="0.15">
      <c r="A13" s="613" t="s">
        <v>876</v>
      </c>
      <c r="B13" s="260">
        <f>SUM(C13:D13)</f>
        <v>11</v>
      </c>
      <c r="C13" s="717">
        <f t="shared" ref="C13:D15" si="3">+E13+G13+I13+K13+M13+O13</f>
        <v>6</v>
      </c>
      <c r="D13" s="578">
        <f t="shared" si="3"/>
        <v>5</v>
      </c>
      <c r="E13" s="288">
        <v>0</v>
      </c>
      <c r="F13" s="688">
        <v>1</v>
      </c>
      <c r="G13" s="288">
        <v>1</v>
      </c>
      <c r="H13" s="688">
        <v>1</v>
      </c>
      <c r="I13" s="288">
        <v>3</v>
      </c>
      <c r="J13" s="688">
        <v>1</v>
      </c>
      <c r="K13" s="288">
        <v>2</v>
      </c>
      <c r="L13" s="688">
        <v>2</v>
      </c>
      <c r="M13" s="288">
        <v>0</v>
      </c>
      <c r="N13" s="688">
        <v>0</v>
      </c>
      <c r="O13" s="274">
        <v>0</v>
      </c>
      <c r="P13" s="721">
        <v>0</v>
      </c>
      <c r="Q13" s="276">
        <v>0</v>
      </c>
      <c r="R13" s="276">
        <v>9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48">
        <f>IF(AND($B13&gt;0,OR($Q13="")),1,IF($Q13&gt;$B13,1,0))</f>
        <v>0</v>
      </c>
      <c r="BJ13" s="1048">
        <f>IF(AND($B13&gt;0,OR($R13="")),1,IF($R13&gt;$B13,1,0))</f>
        <v>0</v>
      </c>
      <c r="BP13" s="35"/>
      <c r="BR13" s="35"/>
    </row>
    <row r="14" spans="1:78" ht="15" customHeight="1" x14ac:dyDescent="0.15">
      <c r="A14" s="718" t="s">
        <v>877</v>
      </c>
      <c r="B14" s="273">
        <f>SUM(C14:D14)</f>
        <v>1</v>
      </c>
      <c r="C14" s="719">
        <f t="shared" si="3"/>
        <v>0</v>
      </c>
      <c r="D14" s="720">
        <f t="shared" si="3"/>
        <v>1</v>
      </c>
      <c r="E14" s="288">
        <v>0</v>
      </c>
      <c r="F14" s="276">
        <v>1</v>
      </c>
      <c r="G14" s="288">
        <v>0</v>
      </c>
      <c r="H14" s="276">
        <v>0</v>
      </c>
      <c r="I14" s="288">
        <v>0</v>
      </c>
      <c r="J14" s="276">
        <v>0</v>
      </c>
      <c r="K14" s="288">
        <v>0</v>
      </c>
      <c r="L14" s="276">
        <v>0</v>
      </c>
      <c r="M14" s="288">
        <v>0</v>
      </c>
      <c r="N14" s="276">
        <v>0</v>
      </c>
      <c r="O14" s="274">
        <v>0</v>
      </c>
      <c r="P14" s="721">
        <v>0</v>
      </c>
      <c r="Q14" s="276">
        <v>0</v>
      </c>
      <c r="R14" s="276">
        <v>1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48">
        <f>IF(AND($B14&gt;0,OR($Q14="")),1,IF($Q14&gt;$B14,1,0))</f>
        <v>0</v>
      </c>
      <c r="BJ14" s="1048">
        <f>IF(AND($B14&gt;0,OR($R14="")),1,IF($R14&gt;$B14,1,0))</f>
        <v>0</v>
      </c>
      <c r="BP14" s="35"/>
      <c r="BR14" s="35"/>
    </row>
    <row r="15" spans="1:78" ht="15" customHeight="1" x14ac:dyDescent="0.15">
      <c r="A15" s="718" t="s">
        <v>878</v>
      </c>
      <c r="B15" s="273">
        <f>SUM(C15:D15)</f>
        <v>0</v>
      </c>
      <c r="C15" s="719">
        <f t="shared" si="3"/>
        <v>0</v>
      </c>
      <c r="D15" s="720">
        <f t="shared" si="3"/>
        <v>0</v>
      </c>
      <c r="E15" s="288">
        <v>0</v>
      </c>
      <c r="F15" s="276">
        <v>0</v>
      </c>
      <c r="G15" s="288">
        <v>0</v>
      </c>
      <c r="H15" s="276">
        <v>0</v>
      </c>
      <c r="I15" s="288">
        <v>0</v>
      </c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21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48">
        <f>IF(AND($B15&gt;0,OR($Q15="")),1,IF($Q15&gt;$B15,1,0))</f>
        <v>0</v>
      </c>
      <c r="BJ15" s="1048">
        <f>IF(AND($B15&gt;0,OR($R15="")),1,IF($R15&gt;$B15,1,0))</f>
        <v>0</v>
      </c>
      <c r="BP15" s="35"/>
      <c r="BR15" s="35"/>
    </row>
    <row r="16" spans="1:78" ht="15" customHeight="1" x14ac:dyDescent="0.15">
      <c r="A16" s="617" t="s">
        <v>879</v>
      </c>
      <c r="B16" s="372">
        <f>SUM(C16:D16)</f>
        <v>0</v>
      </c>
      <c r="C16" s="722">
        <f>I16+K16+M16+O16</f>
        <v>0</v>
      </c>
      <c r="D16" s="723">
        <f>+J16+L16+N16+P16</f>
        <v>0</v>
      </c>
      <c r="E16" s="840"/>
      <c r="F16" s="453"/>
      <c r="G16" s="840"/>
      <c r="H16" s="453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4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48">
        <f>IF(AND($B16&gt;0,OR($Q16="")),1,IF($Q16&gt;$B16,1,0))</f>
        <v>0</v>
      </c>
      <c r="BJ16" s="1048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94" t="s">
        <v>880</v>
      </c>
      <c r="BW17" s="107"/>
      <c r="BX17" s="107"/>
    </row>
    <row r="18" spans="1:78" ht="17.100000000000001" customHeight="1" x14ac:dyDescent="0.25">
      <c r="A18" s="2251" t="s">
        <v>881</v>
      </c>
      <c r="B18" s="2252" t="s">
        <v>54</v>
      </c>
      <c r="C18" s="2253"/>
      <c r="D18" s="2254"/>
      <c r="E18" s="2258" t="s">
        <v>382</v>
      </c>
      <c r="F18" s="2259"/>
      <c r="G18" s="2259"/>
      <c r="H18" s="2259"/>
      <c r="I18" s="2259"/>
      <c r="J18" s="2259"/>
      <c r="K18" s="2259"/>
      <c r="L18" s="2259"/>
      <c r="M18" s="2259"/>
      <c r="N18" s="2259"/>
      <c r="O18" s="2259"/>
      <c r="P18" s="2260"/>
      <c r="Q18" s="2254" t="s">
        <v>113</v>
      </c>
      <c r="R18" s="1616" t="s">
        <v>56</v>
      </c>
      <c r="S18" s="2133" t="s">
        <v>624</v>
      </c>
      <c r="T18" s="2133" t="s">
        <v>384</v>
      </c>
      <c r="Y18" s="607"/>
      <c r="AB18" s="607"/>
      <c r="BA18" s="1658" t="s">
        <v>113</v>
      </c>
      <c r="BB18" s="1658" t="s">
        <v>56</v>
      </c>
      <c r="BC18" s="1658" t="s">
        <v>828</v>
      </c>
      <c r="BD18" s="1658" t="s">
        <v>829</v>
      </c>
      <c r="BI18" s="1658" t="s">
        <v>113</v>
      </c>
      <c r="BJ18" s="1658" t="s">
        <v>56</v>
      </c>
      <c r="BK18" s="1658" t="s">
        <v>828</v>
      </c>
      <c r="BL18" s="1713" t="s">
        <v>829</v>
      </c>
      <c r="BW18" s="107"/>
      <c r="BX18" s="107"/>
    </row>
    <row r="19" spans="1:78" ht="17.100000000000001" customHeight="1" x14ac:dyDescent="0.15">
      <c r="A19" s="2251"/>
      <c r="B19" s="2255"/>
      <c r="C19" s="2256"/>
      <c r="D19" s="2257"/>
      <c r="E19" s="1638" t="s">
        <v>871</v>
      </c>
      <c r="F19" s="1637"/>
      <c r="G19" s="1638" t="s">
        <v>872</v>
      </c>
      <c r="H19" s="1637"/>
      <c r="I19" s="1638" t="s">
        <v>873</v>
      </c>
      <c r="J19" s="1637"/>
      <c r="K19" s="1638" t="s">
        <v>62</v>
      </c>
      <c r="L19" s="1637"/>
      <c r="M19" s="1638" t="s">
        <v>874</v>
      </c>
      <c r="N19" s="1637"/>
      <c r="O19" s="1638" t="s">
        <v>875</v>
      </c>
      <c r="P19" s="2250"/>
      <c r="Q19" s="2261"/>
      <c r="R19" s="1617"/>
      <c r="S19" s="2142"/>
      <c r="T19" s="2142"/>
      <c r="BA19" s="1935"/>
      <c r="BB19" s="1935"/>
      <c r="BC19" s="1935"/>
      <c r="BD19" s="1935"/>
      <c r="BI19" s="1935"/>
      <c r="BJ19" s="1935"/>
      <c r="BK19" s="1935"/>
      <c r="BL19" s="2241"/>
      <c r="BW19" s="107"/>
      <c r="BX19" s="107"/>
    </row>
    <row r="20" spans="1:78" ht="17.100000000000001" customHeight="1" x14ac:dyDescent="0.15">
      <c r="A20" s="2251"/>
      <c r="B20" s="1390" t="s">
        <v>231</v>
      </c>
      <c r="C20" s="1584" t="s">
        <v>775</v>
      </c>
      <c r="D20" s="1388" t="s">
        <v>90</v>
      </c>
      <c r="E20" s="1585" t="s">
        <v>775</v>
      </c>
      <c r="F20" s="1388" t="s">
        <v>90</v>
      </c>
      <c r="G20" s="1584" t="s">
        <v>775</v>
      </c>
      <c r="H20" s="1388" t="s">
        <v>90</v>
      </c>
      <c r="I20" s="1584" t="s">
        <v>775</v>
      </c>
      <c r="J20" s="1388" t="s">
        <v>90</v>
      </c>
      <c r="K20" s="1584" t="s">
        <v>775</v>
      </c>
      <c r="L20" s="1388" t="s">
        <v>90</v>
      </c>
      <c r="M20" s="1584" t="s">
        <v>775</v>
      </c>
      <c r="N20" s="1388" t="s">
        <v>90</v>
      </c>
      <c r="O20" s="1584" t="s">
        <v>775</v>
      </c>
      <c r="P20" s="1583" t="s">
        <v>90</v>
      </c>
      <c r="Q20" s="2257"/>
      <c r="R20" s="1618"/>
      <c r="S20" s="2135"/>
      <c r="T20" s="2135"/>
      <c r="BA20" s="1659"/>
      <c r="BB20" s="1659"/>
      <c r="BC20" s="1659"/>
      <c r="BD20" s="1659"/>
      <c r="BI20" s="1659"/>
      <c r="BJ20" s="1659"/>
      <c r="BK20" s="1659"/>
      <c r="BL20" s="1714"/>
      <c r="BW20" s="107"/>
      <c r="BX20" s="107"/>
      <c r="BY20" s="107"/>
    </row>
    <row r="21" spans="1:78" ht="15" customHeight="1" x14ac:dyDescent="0.15">
      <c r="A21" s="725" t="s">
        <v>882</v>
      </c>
      <c r="B21" s="260">
        <f t="shared" ref="B21:B26" si="5">SUM(C21:D21)</f>
        <v>0</v>
      </c>
      <c r="C21" s="717">
        <f>+I21+K21+M21+O21</f>
        <v>0</v>
      </c>
      <c r="D21" s="578">
        <f>+J21+L21+N21+P21</f>
        <v>0</v>
      </c>
      <c r="E21" s="841"/>
      <c r="F21" s="842"/>
      <c r="G21" s="841"/>
      <c r="H21" s="842"/>
      <c r="I21" s="261">
        <v>0</v>
      </c>
      <c r="J21" s="262">
        <v>0</v>
      </c>
      <c r="K21" s="261">
        <v>0</v>
      </c>
      <c r="L21" s="262">
        <v>0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0</v>
      </c>
      <c r="S21" s="265">
        <v>0</v>
      </c>
      <c r="T21" s="265">
        <v>0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48">
        <f t="shared" ref="BI21:BI28" si="10">IF(AND($B21&gt;0,OR($Q21="")),1,IF($Q21&gt;$B21,1,0))</f>
        <v>0</v>
      </c>
      <c r="BJ21" s="1048">
        <f t="shared" ref="BJ21:BL28" si="11">IF(AND($B21&gt;0,OR(R21="")),1,IF(R21&gt;$B21,1,0))</f>
        <v>0</v>
      </c>
      <c r="BK21" s="1048">
        <f t="shared" si="11"/>
        <v>0</v>
      </c>
      <c r="BL21" s="1048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6" t="s">
        <v>883</v>
      </c>
      <c r="B22" s="301">
        <f t="shared" si="5"/>
        <v>0</v>
      </c>
      <c r="C22" s="727">
        <f>+I22+K22+M22+O22</f>
        <v>0</v>
      </c>
      <c r="D22" s="728">
        <f>+J22+L22+N22+P22</f>
        <v>0</v>
      </c>
      <c r="E22" s="843"/>
      <c r="F22" s="844"/>
      <c r="G22" s="843"/>
      <c r="H22" s="844"/>
      <c r="I22" s="310">
        <v>0</v>
      </c>
      <c r="J22" s="277">
        <v>0</v>
      </c>
      <c r="K22" s="310">
        <v>0</v>
      </c>
      <c r="L22" s="277">
        <v>0</v>
      </c>
      <c r="M22" s="310">
        <v>0</v>
      </c>
      <c r="N22" s="277">
        <v>0</v>
      </c>
      <c r="O22" s="310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48">
        <f t="shared" si="10"/>
        <v>0</v>
      </c>
      <c r="BJ22" s="1048">
        <f t="shared" si="11"/>
        <v>0</v>
      </c>
      <c r="BK22" s="1048">
        <f t="shared" si="11"/>
        <v>0</v>
      </c>
      <c r="BL22" s="1048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6" t="s">
        <v>884</v>
      </c>
      <c r="B23" s="301">
        <f t="shared" si="5"/>
        <v>2</v>
      </c>
      <c r="C23" s="727">
        <f>+E23+G23</f>
        <v>1</v>
      </c>
      <c r="D23" s="728">
        <f>+F23+H23</f>
        <v>1</v>
      </c>
      <c r="E23" s="288">
        <v>0</v>
      </c>
      <c r="F23" s="274">
        <v>1</v>
      </c>
      <c r="G23" s="288">
        <v>1</v>
      </c>
      <c r="H23" s="274">
        <v>0</v>
      </c>
      <c r="I23" s="843"/>
      <c r="J23" s="844"/>
      <c r="K23" s="843"/>
      <c r="L23" s="844"/>
      <c r="M23" s="843"/>
      <c r="N23" s="844"/>
      <c r="O23" s="843"/>
      <c r="P23" s="845"/>
      <c r="Q23" s="280">
        <v>0</v>
      </c>
      <c r="R23" s="280">
        <v>0</v>
      </c>
      <c r="S23" s="280">
        <v>2</v>
      </c>
      <c r="T23" s="280">
        <v>0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48">
        <f t="shared" si="10"/>
        <v>0</v>
      </c>
      <c r="BJ23" s="1048">
        <f t="shared" si="11"/>
        <v>0</v>
      </c>
      <c r="BK23" s="1048">
        <f t="shared" si="11"/>
        <v>0</v>
      </c>
      <c r="BL23" s="1048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6" t="s">
        <v>885</v>
      </c>
      <c r="B24" s="301">
        <f t="shared" si="5"/>
        <v>0</v>
      </c>
      <c r="C24" s="727">
        <f>+I24+K24+M24+O24</f>
        <v>0</v>
      </c>
      <c r="D24" s="728">
        <f>+J24+L24+N24+P24</f>
        <v>0</v>
      </c>
      <c r="E24" s="843"/>
      <c r="F24" s="844"/>
      <c r="G24" s="843"/>
      <c r="H24" s="844"/>
      <c r="I24" s="310">
        <v>0</v>
      </c>
      <c r="J24" s="277">
        <v>0</v>
      </c>
      <c r="K24" s="310">
        <v>0</v>
      </c>
      <c r="L24" s="277">
        <v>0</v>
      </c>
      <c r="M24" s="310">
        <v>0</v>
      </c>
      <c r="N24" s="277">
        <v>0</v>
      </c>
      <c r="O24" s="310">
        <v>0</v>
      </c>
      <c r="P24" s="279">
        <v>0</v>
      </c>
      <c r="Q24" s="280">
        <v>0</v>
      </c>
      <c r="R24" s="280">
        <v>0</v>
      </c>
      <c r="S24" s="280">
        <v>0</v>
      </c>
      <c r="T24" s="280">
        <v>0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48">
        <f t="shared" si="10"/>
        <v>0</v>
      </c>
      <c r="BJ24" s="1048">
        <f t="shared" si="11"/>
        <v>0</v>
      </c>
      <c r="BK24" s="1048">
        <f t="shared" si="11"/>
        <v>0</v>
      </c>
      <c r="BL24" s="1048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6" t="s">
        <v>886</v>
      </c>
      <c r="B25" s="301">
        <f t="shared" si="5"/>
        <v>0</v>
      </c>
      <c r="C25" s="727">
        <f>M25+O25</f>
        <v>0</v>
      </c>
      <c r="D25" s="728">
        <f>N25+P25</f>
        <v>0</v>
      </c>
      <c r="E25" s="843"/>
      <c r="F25" s="1100"/>
      <c r="G25" s="843"/>
      <c r="H25" s="1100"/>
      <c r="I25" s="843"/>
      <c r="J25" s="844"/>
      <c r="K25" s="843"/>
      <c r="L25" s="844"/>
      <c r="M25" s="310">
        <v>0</v>
      </c>
      <c r="N25" s="277">
        <v>0</v>
      </c>
      <c r="O25" s="310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48">
        <f t="shared" si="10"/>
        <v>0</v>
      </c>
      <c r="BJ25" s="1048">
        <f t="shared" si="11"/>
        <v>0</v>
      </c>
      <c r="BK25" s="1048">
        <f t="shared" si="11"/>
        <v>0</v>
      </c>
      <c r="BL25" s="1048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6" t="s">
        <v>887</v>
      </c>
      <c r="B26" s="301">
        <f t="shared" si="5"/>
        <v>0</v>
      </c>
      <c r="C26" s="727">
        <f>+E26+G26+I26+K26+M26+O26</f>
        <v>0</v>
      </c>
      <c r="D26" s="728">
        <f>+F26+H26+J26+L26+N26+P26</f>
        <v>0</v>
      </c>
      <c r="E26" s="310">
        <v>0</v>
      </c>
      <c r="F26" s="277">
        <v>0</v>
      </c>
      <c r="G26" s="310">
        <v>0</v>
      </c>
      <c r="H26" s="277">
        <v>0</v>
      </c>
      <c r="I26" s="310">
        <v>0</v>
      </c>
      <c r="J26" s="277">
        <v>0</v>
      </c>
      <c r="K26" s="310">
        <v>0</v>
      </c>
      <c r="L26" s="277">
        <v>0</v>
      </c>
      <c r="M26" s="310">
        <v>0</v>
      </c>
      <c r="N26" s="277">
        <v>0</v>
      </c>
      <c r="O26" s="310">
        <v>0</v>
      </c>
      <c r="P26" s="279">
        <v>0</v>
      </c>
      <c r="Q26" s="280">
        <v>0</v>
      </c>
      <c r="R26" s="280">
        <v>0</v>
      </c>
      <c r="S26" s="280">
        <v>0</v>
      </c>
      <c r="T26" s="280">
        <v>0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48">
        <f t="shared" si="10"/>
        <v>0</v>
      </c>
      <c r="BJ26" s="1048">
        <f t="shared" si="11"/>
        <v>0</v>
      </c>
      <c r="BK26" s="1048">
        <f t="shared" si="11"/>
        <v>0</v>
      </c>
      <c r="BL26" s="1048">
        <f t="shared" si="11"/>
        <v>0</v>
      </c>
      <c r="BP26" s="35"/>
      <c r="BR26" s="35"/>
      <c r="BT26" s="35"/>
    </row>
    <row r="27" spans="1:78" ht="15" customHeight="1" x14ac:dyDescent="0.15">
      <c r="A27" s="726" t="s">
        <v>888</v>
      </c>
      <c r="B27" s="301">
        <f>SUM(C27:D27)</f>
        <v>0</v>
      </c>
      <c r="C27" s="727">
        <f>+E27+G27+I27+K27+M27</f>
        <v>0</v>
      </c>
      <c r="D27" s="728">
        <f>+F27+H27+J27+L27+N27</f>
        <v>0</v>
      </c>
      <c r="E27" s="310">
        <v>0</v>
      </c>
      <c r="F27" s="277">
        <v>0</v>
      </c>
      <c r="G27" s="310">
        <v>0</v>
      </c>
      <c r="H27" s="277">
        <v>0</v>
      </c>
      <c r="I27" s="310">
        <v>0</v>
      </c>
      <c r="J27" s="277">
        <v>0</v>
      </c>
      <c r="K27" s="310">
        <v>0</v>
      </c>
      <c r="L27" s="277">
        <v>0</v>
      </c>
      <c r="M27" s="310">
        <v>0</v>
      </c>
      <c r="N27" s="277">
        <v>0</v>
      </c>
      <c r="O27" s="996"/>
      <c r="P27" s="826"/>
      <c r="Q27" s="280">
        <v>0</v>
      </c>
      <c r="R27" s="280">
        <v>0</v>
      </c>
      <c r="S27" s="280">
        <v>0</v>
      </c>
      <c r="T27" s="300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48">
        <f t="shared" si="10"/>
        <v>0</v>
      </c>
      <c r="BJ27" s="1048">
        <f t="shared" si="11"/>
        <v>0</v>
      </c>
      <c r="BK27" s="1048">
        <f t="shared" si="11"/>
        <v>0</v>
      </c>
      <c r="BL27" s="1048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93" t="s">
        <v>889</v>
      </c>
      <c r="B28" s="266">
        <f t="shared" ref="B28" si="13">SUM(C28:D28)</f>
        <v>0</v>
      </c>
      <c r="C28" s="307">
        <f>+E28+G28+I28+K28+M28+O28</f>
        <v>0</v>
      </c>
      <c r="D28" s="577">
        <f>+F28+H28+J28+L28+N28+P28</f>
        <v>0</v>
      </c>
      <c r="E28" s="749">
        <v>0</v>
      </c>
      <c r="F28" s="267">
        <v>0</v>
      </c>
      <c r="G28" s="749">
        <v>0</v>
      </c>
      <c r="H28" s="267">
        <v>0</v>
      </c>
      <c r="I28" s="749">
        <v>0</v>
      </c>
      <c r="J28" s="267">
        <v>0</v>
      </c>
      <c r="K28" s="749">
        <v>0</v>
      </c>
      <c r="L28" s="267">
        <v>0</v>
      </c>
      <c r="M28" s="749">
        <v>0</v>
      </c>
      <c r="N28" s="267">
        <v>0</v>
      </c>
      <c r="O28" s="749">
        <v>0</v>
      </c>
      <c r="P28" s="1036">
        <v>0</v>
      </c>
      <c r="Q28" s="272">
        <v>0</v>
      </c>
      <c r="R28" s="272">
        <v>0</v>
      </c>
      <c r="S28" s="272">
        <v>0</v>
      </c>
      <c r="T28" s="272">
        <v>0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48">
        <f t="shared" si="10"/>
        <v>0</v>
      </c>
      <c r="BJ28" s="1048">
        <f t="shared" si="11"/>
        <v>0</v>
      </c>
      <c r="BK28" s="1048">
        <f t="shared" si="11"/>
        <v>0</v>
      </c>
      <c r="BL28" s="1048">
        <f t="shared" si="11"/>
        <v>0</v>
      </c>
    </row>
    <row r="41" spans="1:78" ht="13.15" hidden="1" customHeight="1" x14ac:dyDescent="0.15">
      <c r="A41" s="1479">
        <f>SUM(B13:B16,B21:B28)</f>
        <v>14</v>
      </c>
      <c r="B41" s="189" t="s">
        <v>211</v>
      </c>
      <c r="BW41" s="107"/>
      <c r="BX41" s="107"/>
      <c r="BY41" s="107"/>
      <c r="BZ41" s="107"/>
    </row>
    <row r="42" spans="1:78" ht="13.15" hidden="1" customHeight="1" x14ac:dyDescent="0.15">
      <c r="A42" s="1479">
        <f>SUM(BI13:BL28)</f>
        <v>0</v>
      </c>
      <c r="B42" s="189" t="s">
        <v>212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D6" sqref="D6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62" t="s">
        <v>890</v>
      </c>
      <c r="D1" s="2263"/>
      <c r="E1" s="2264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POSTA DE SALUD RURAL COLLIMALLIN - ( 121460 )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86" t="s">
        <v>891</v>
      </c>
      <c r="D3" s="1586" t="s">
        <v>892</v>
      </c>
      <c r="E3" s="1586" t="s">
        <v>893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87" t="s">
        <v>894</v>
      </c>
      <c r="D4" s="1588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87" t="s">
        <v>895</v>
      </c>
      <c r="D5" s="1589">
        <f>+'P1'!$A173</f>
        <v>0</v>
      </c>
      <c r="E5" s="1590" t="str">
        <f>IF('P1'!A172&gt;0,"","SIN DATOS")</f>
        <v/>
      </c>
      <c r="F5" s="27"/>
      <c r="G5" s="27"/>
      <c r="H5" s="27"/>
      <c r="I5" s="27"/>
      <c r="J5" s="27"/>
      <c r="K5" s="27"/>
      <c r="W5" s="31" t="s">
        <v>896</v>
      </c>
    </row>
    <row r="6" spans="1:23" ht="21.6" customHeight="1" x14ac:dyDescent="0.25">
      <c r="A6" s="27"/>
      <c r="B6" s="27"/>
      <c r="C6" s="1587" t="s">
        <v>897</v>
      </c>
      <c r="D6" s="1589">
        <f>+'P2'!A221</f>
        <v>0</v>
      </c>
      <c r="E6" s="1590" t="str">
        <f>IF('P2'!A220&gt;0,"","SIN DATOS")</f>
        <v/>
      </c>
      <c r="F6" s="27"/>
      <c r="G6" s="27"/>
      <c r="H6" s="27"/>
      <c r="I6" s="27"/>
      <c r="J6" s="27"/>
      <c r="K6" s="27"/>
      <c r="W6" s="31" t="s">
        <v>898</v>
      </c>
    </row>
    <row r="7" spans="1:23" ht="21.6" customHeight="1" x14ac:dyDescent="0.25">
      <c r="A7" s="27"/>
      <c r="B7" s="27"/>
      <c r="C7" s="1587" t="s">
        <v>899</v>
      </c>
      <c r="D7" s="1589">
        <f>+'P3'!A94</f>
        <v>0</v>
      </c>
      <c r="E7" s="1590" t="str">
        <f>IF('P3'!A93&gt;0,"","SIN DATOS")</f>
        <v/>
      </c>
      <c r="F7" s="27"/>
      <c r="G7" s="27"/>
      <c r="H7" s="27"/>
      <c r="I7" s="27"/>
      <c r="J7" s="27"/>
      <c r="K7" s="27"/>
      <c r="W7" s="31" t="s">
        <v>900</v>
      </c>
    </row>
    <row r="8" spans="1:23" ht="21.6" customHeight="1" x14ac:dyDescent="0.25">
      <c r="A8" s="27"/>
      <c r="B8" s="27"/>
      <c r="C8" s="1587" t="s">
        <v>901</v>
      </c>
      <c r="D8" s="1589">
        <f>+'P4'!A111</f>
        <v>0</v>
      </c>
      <c r="E8" s="1590" t="str">
        <f>IF('P4'!A110&gt;0,"","SIN DATOS")</f>
        <v/>
      </c>
      <c r="F8" s="27"/>
      <c r="G8" s="27"/>
      <c r="H8" s="27"/>
      <c r="I8" s="27"/>
      <c r="J8" s="27"/>
      <c r="K8" s="27"/>
      <c r="W8" s="31" t="s">
        <v>902</v>
      </c>
    </row>
    <row r="9" spans="1:23" ht="21.6" customHeight="1" x14ac:dyDescent="0.25">
      <c r="A9" s="27"/>
      <c r="B9" s="27"/>
      <c r="C9" s="1587" t="s">
        <v>903</v>
      </c>
      <c r="D9" s="1589">
        <f>+'P5'!A82</f>
        <v>0</v>
      </c>
      <c r="E9" s="1590" t="str">
        <f>IF('P5'!A81&gt;0,"","SIN DATOS")</f>
        <v/>
      </c>
      <c r="F9" s="27"/>
      <c r="G9" s="27"/>
      <c r="H9" s="27"/>
      <c r="I9" s="27"/>
      <c r="J9" s="27"/>
      <c r="K9" s="27"/>
      <c r="W9" s="31" t="s">
        <v>904</v>
      </c>
    </row>
    <row r="10" spans="1:23" ht="21.6" customHeight="1" x14ac:dyDescent="0.25">
      <c r="A10" s="27"/>
      <c r="B10" s="27"/>
      <c r="C10" s="1587" t="s">
        <v>905</v>
      </c>
      <c r="D10" s="1589">
        <f>+'P6'!A147</f>
        <v>0</v>
      </c>
      <c r="E10" s="1590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87" t="s">
        <v>906</v>
      </c>
      <c r="D11" s="1589">
        <f>+'P7'!A50</f>
        <v>0</v>
      </c>
      <c r="E11" s="1590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87" t="s">
        <v>907</v>
      </c>
      <c r="D12" s="1589">
        <f>+'P9'!A110</f>
        <v>0</v>
      </c>
      <c r="E12" s="1590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87" t="s">
        <v>908</v>
      </c>
      <c r="D13" s="1589">
        <f>+'P11'!A34</f>
        <v>0</v>
      </c>
      <c r="E13" s="1590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87" t="s">
        <v>909</v>
      </c>
      <c r="D14" s="1589">
        <f>+'P12'!A81</f>
        <v>0</v>
      </c>
      <c r="E14" s="1590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87" t="s">
        <v>910</v>
      </c>
      <c r="D15" s="1589">
        <f>+'P13'!A42</f>
        <v>0</v>
      </c>
      <c r="E15" s="1590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91" t="s">
        <v>54</v>
      </c>
      <c r="D17" s="1588">
        <f>SUM(D4:D15)</f>
        <v>0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+NNBD3vAu1118UPS8uXqjbfe2cacBVv+HH/6Ax8yOWztshlioGAEA28t0MpeeSeJ+2y1oNo6XczLTDUVQqD97w==" saltValue="cDSafbkCp2juiyY1bWx0t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65" t="s">
        <v>911</v>
      </c>
      <c r="B1" s="2266"/>
      <c r="C1" s="2266"/>
      <c r="D1" s="2266"/>
      <c r="E1" s="2266"/>
      <c r="F1" s="2266"/>
      <c r="G1" s="2266"/>
      <c r="H1" s="2266"/>
      <c r="I1" s="2266"/>
      <c r="J1" s="2266"/>
      <c r="K1" s="2266"/>
      <c r="L1" s="2266"/>
      <c r="M1" s="2266"/>
      <c r="N1" s="2267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24" ht="41.25" customHeight="1" thickBot="1" x14ac:dyDescent="0.25">
      <c r="B4" s="29" t="s">
        <v>912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913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914</v>
      </c>
      <c r="E8" s="29"/>
    </row>
    <row r="9" spans="1:24" ht="19.5" customHeight="1" thickBot="1" x14ac:dyDescent="0.25"/>
    <row r="10" spans="1:24" ht="16.5" customHeight="1" x14ac:dyDescent="0.2">
      <c r="B10" s="2268" t="str">
        <f>IF(Control!D17&gt;0,"REVISE LA HOJA CONTROL, EXISTEN ERRORES","")</f>
        <v/>
      </c>
      <c r="C10" s="2269"/>
      <c r="D10" s="2269"/>
      <c r="E10" s="2269"/>
      <c r="F10" s="2269"/>
      <c r="G10" s="2269"/>
      <c r="H10" s="2270"/>
    </row>
    <row r="11" spans="1:24" ht="16.5" customHeight="1" thickBot="1" x14ac:dyDescent="0.25">
      <c r="B11" s="2271"/>
      <c r="C11" s="2272"/>
      <c r="D11" s="2272"/>
      <c r="E11" s="2272"/>
      <c r="F11" s="2272"/>
      <c r="G11" s="2272"/>
      <c r="H11" s="2273"/>
    </row>
    <row r="12" spans="1:24" ht="16.5" customHeight="1" x14ac:dyDescent="0.2"/>
    <row r="13" spans="1:24" ht="16.5" customHeight="1" x14ac:dyDescent="0.2">
      <c r="B13" s="26" t="s">
        <v>915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Sergio Guzman Solis</cp:lastModifiedBy>
  <cp:revision/>
  <dcterms:created xsi:type="dcterms:W3CDTF">2013-12-18T19:51:11Z</dcterms:created>
  <dcterms:modified xsi:type="dcterms:W3CDTF">2025-11-03T13:35:22Z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