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Rem_2025\Municipal\SP\12\"/>
    </mc:Choice>
  </mc:AlternateContent>
  <xr:revisionPtr revIDLastSave="0" documentId="13_ncr:1_{E6E16E89-DE5F-43D9-B986-263AC22750F6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1" activeTab="7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B28" i="18" l="1"/>
  <c r="BL28" i="18" s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9" i="2" l="1"/>
  <c r="Y28" i="2"/>
  <c r="Y27" i="2"/>
  <c r="Y30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CP40" i="2" l="1"/>
  <c r="CQ40" i="2"/>
  <c r="DP45" i="17"/>
  <c r="CA45" i="17"/>
  <c r="CQ39" i="2"/>
  <c r="CP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40" i="2" l="1"/>
  <c r="Y39" i="2"/>
  <c r="Y36" i="2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G45" i="17" l="1"/>
  <c r="DV45" i="17"/>
  <c r="DR45" i="17"/>
  <c r="CC45" i="17"/>
  <c r="CH45" i="17"/>
  <c r="DW45" i="17"/>
  <c r="DT45" i="17"/>
  <c r="CE45" i="17"/>
  <c r="DU45" i="17"/>
  <c r="CF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2" i="4" l="1"/>
  <c r="AR83" i="4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A172" i="2" l="1"/>
  <c r="CA71" i="4"/>
  <c r="AR71" i="4" s="1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M76" i="4" l="1"/>
  <c r="A173" i="2"/>
  <c r="D5" i="12" s="1"/>
  <c r="CA65" i="4"/>
  <c r="AR65" i="4" s="1"/>
  <c r="CA79" i="4"/>
  <c r="AR79" i="4" s="1"/>
  <c r="CG39" i="4"/>
  <c r="CF38" i="4"/>
  <c r="AS38" i="4" s="1"/>
  <c r="CF37" i="4"/>
  <c r="AS37" i="4" s="1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<sst xmlns="http://schemas.openxmlformats.org/spreadsheetml/2006/main" count="2870" uniqueCount="916">
  <si>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</si>
  <si>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</si>
  <si>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</si>
  <si>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</si>
  <si>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</si>
  <si>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</si>
  <si>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</si>
  <si>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DICIEMBRE</t>
  </si>
  <si>
    <t>AÑO:</t>
  </si>
  <si>
    <t>Versión 1.3: Diciembre 2025</t>
  </si>
  <si>
    <t>Director/a Servicio de Salud o Director/a Establecimiento</t>
  </si>
  <si>
    <t>KATHERINE FUENTES ASTUDILLO</t>
  </si>
  <si>
    <t>JUNIO</t>
  </si>
  <si>
    <t>Establecimiento de Mayor Complejidad (EMAYC)</t>
  </si>
  <si>
    <t>SERVICIO DE SALUD</t>
  </si>
  <si>
    <t>Jefe/a de Estadísticas</t>
  </si>
  <si>
    <t>EVELYN SOTO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</si>
  <si>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</si>
  <si>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</si>
  <si>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</si>
  <si>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</si>
  <si>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</si>
  <si>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</si>
  <si>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</si>
  <si>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</si>
  <si>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</si>
  <si>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</si>
  <si>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</si>
  <si>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</si>
  <si>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</si>
  <si>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</si>
  <si>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</si>
  <si>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</si>
  <si>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</si>
  <si>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</si>
  <si>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</si>
  <si>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</si>
  <si>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</si>
  <si>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</si>
  <si>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</si>
  <si>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</si>
  <si>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</si>
  <si>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</si>
  <si>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</si>
  <si>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</si>
  <si>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</si>
  <si>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</si>
  <si>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</si>
  <si>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</si>
  <si>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</si>
  <si>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</si>
  <si>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</si>
  <si>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</si>
  <si>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</si>
  <si>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</si>
  <si>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</si>
  <si>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</si>
  <si>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</si>
  <si>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</si>
  <si>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</si>
  <si>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</si>
  <si>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</si>
  <si>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</si>
  <si>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</si>
  <si>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</si>
  <si>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</si>
  <si>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</si>
  <si>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</si>
  <si>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</si>
  <si>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</si>
  <si>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</si>
  <si>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</si>
  <si>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</si>
  <si>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</si>
  <si>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</si>
  <si>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</si>
  <si>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</si>
  <si>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</si>
  <si>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</si>
  <si>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</si>
  <si>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</si>
  <si>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</si>
  <si>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</si>
  <si>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</si>
  <si>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</si>
  <si>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</si>
  <si>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</si>
  <si>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</si>
  <si>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</si>
  <si>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</si>
  <si>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</si>
  <si>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</si>
  <si>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</si>
  <si>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</si>
  <si>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</si>
  <si>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</si>
  <si>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</si>
  <si>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</si>
  <si>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</si>
  <si>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</si>
  <si>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</si>
  <si>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</si>
  <si>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</si>
  <si>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</si>
  <si>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</si>
  <si>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</si>
  <si>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</si>
  <si>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</si>
  <si>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</si>
  <si>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</si>
  <si>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</si>
  <si>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</si>
  <si>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</si>
  <si>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</si>
  <si>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</si>
  <si>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</si>
  <si>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</si>
  <si>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</si>
  <si>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</si>
  <si>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</si>
  <si>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</si>
  <si>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</si>
  <si>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</si>
  <si>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</si>
  <si>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</si>
  <si>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</si>
  <si>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</si>
  <si>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</si>
  <si>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</si>
  <si>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</si>
  <si>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</si>
  <si>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</si>
  <si>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</si>
  <si>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</si>
  <si>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</si>
  <si>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</si>
  <si>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</si>
  <si>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</si>
  <si>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</si>
  <si>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</si>
  <si>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</si>
  <si>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</si>
  <si>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</si>
  <si>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</si>
  <si>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</si>
  <si>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</si>
  <si>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</si>
  <si>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</si>
  <si>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</si>
  <si>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</si>
  <si>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</si>
  <si>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</si>
  <si>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</si>
  <si>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</si>
  <si>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</si>
  <si>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</si>
  <si>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</si>
  <si>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</si>
  <si>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</si>
  <si>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</si>
  <si>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</si>
  <si>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</si>
  <si>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</si>
  <si>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</si>
  <si>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</si>
  <si>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</si>
  <si>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</si>
  <si>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</si>
  <si>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</si>
  <si>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</si>
  <si>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</si>
  <si>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</si>
  <si>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</si>
  <si>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</si>
  <si>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</si>
  <si>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</si>
  <si>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</si>
  <si>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</si>
  <si>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</si>
  <si>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</si>
  <si>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</si>
  <si>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</si>
  <si>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</si>
  <si>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</si>
  <si>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</si>
  <si>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</si>
  <si>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</si>
  <si>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</si>
  <si>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</si>
  <si>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</si>
  <si>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</si>
  <si>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</si>
  <si>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</si>
  <si>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</si>
  <si>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</si>
  <si>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</si>
  <si>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</si>
  <si>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</si>
  <si>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</si>
  <si>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</si>
  <si>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</si>
  <si>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</si>
  <si>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</si>
  <si>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</si>
  <si>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</si>
  <si>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</si>
  <si>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</si>
  <si>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</si>
  <si>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</si>
  <si>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</si>
  <si>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</si>
  <si>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</si>
  <si>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</si>
  <si>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</si>
  <si>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</si>
  <si>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</si>
  <si>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</si>
  <si>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</si>
  <si>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</si>
  <si>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</si>
  <si>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</si>
  <si>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</si>
  <si>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</si>
  <si>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</si>
  <si>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</si>
  <si>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</si>
  <si>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</si>
  <si>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</si>
  <si>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</si>
  <si>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</si>
  <si>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</si>
  <si>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</si>
  <si>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</si>
  <si>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</si>
  <si>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</si>
  <si>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</si>
  <si>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</si>
  <si>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</si>
  <si>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</si>
  <si>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</si>
  <si>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</si>
  <si>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</si>
  <si>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</si>
  <si>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</si>
  <si>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</si>
  <si>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</si>
  <si>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</si>
  <si>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</si>
  <si>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</si>
  <si>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</si>
  <si>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</si>
  <si>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</si>
  <si>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</si>
  <si>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</si>
  <si>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</si>
  <si>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</si>
  <si>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</si>
  <si>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</si>
  <si>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</si>
  <si>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</si>
  <si>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</si>
  <si>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</si>
  <si>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</si>
  <si>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</si>
  <si>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</si>
  <si>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</si>
  <si>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</si>
  <si>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</si>
  <si>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</si>
  <si>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</si>
  <si>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</si>
  <si>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</si>
  <si>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</si>
  <si>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</si>
  <si>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</si>
  <si>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</si>
  <si>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</si>
  <si>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</si>
  <si>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</si>
  <si>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</si>
  <si>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</si>
  <si>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</si>
  <si>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</si>
  <si>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</si>
  <si>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</si>
  <si>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</si>
  <si>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</si>
  <si>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</si>
  <si>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</si>
  <si>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</si>
  <si>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</si>
  <si>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</si>
  <si>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</si>
  <si>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</si>
  <si>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</si>
  <si>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</si>
  <si>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</si>
  <si>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</si>
  <si>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</si>
  <si>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</si>
  <si>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</si>
  <si>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</si>
  <si>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</si>
  <si>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</si>
  <si>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</si>
  <si>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</si>
  <si>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</si>
  <si>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</si>
  <si>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</si>
  <si>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</si>
  <si>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</si>
  <si>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</si>
  <si>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</si>
  <si>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</si>
  <si>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</si>
  <si>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</si>
  <si>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</si>
  <si>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</si>
  <si>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</si>
  <si>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</si>
  <si>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</si>
  <si>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</si>
  <si>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</si>
  <si>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</si>
  <si>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</si>
  <si>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</si>
  <si>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</si>
  <si>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</si>
  <si>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</si>
  <si>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</si>
  <si>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</si>
  <si>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</si>
  <si>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</si>
  <si>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</si>
  <si>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</si>
  <si>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</si>
  <si>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</si>
  <si>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</si>
  <si>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</si>
  <si>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</si>
  <si>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</si>
  <si>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</si>
  <si>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</si>
  <si>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</si>
  <si>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</si>
  <si>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</si>
  <si>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</si>
  <si>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</si>
  <si>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</si>
  <si>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</si>
  <si>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</si>
  <si>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</si>
  <si>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</si>
  <si>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</si>
  <si>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</si>
  <si>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</si>
  <si>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</si>
  <si>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</si>
  <si>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</si>
  <si>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</si>
  <si>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</si>
  <si>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</si>
  <si>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</si>
  <si>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</si>
  <si>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</si>
  <si>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</si>
  <si>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</si>
  <si>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</si>
  <si>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</si>
  <si>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</si>
  <si>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</si>
  <si>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</si>
  <si>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</si>
  <si>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</si>
  <si>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</si>
  <si>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</si>
  <si>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</si>
  <si>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</si>
  <si>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</si>
  <si>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</si>
  <si>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</si>
  <si>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</si>
  <si>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</si>
  <si>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</si>
  <si>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</si>
  <si>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</si>
  <si>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</si>
  <si>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</si>
  <si>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</si>
  <si>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</si>
  <si>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</si>
  <si>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</si>
  <si>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</si>
  <si>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</si>
  <si>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</si>
  <si>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</si>
  <si>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</si>
  <si>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</si>
  <si>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</si>
  <si>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</si>
  <si>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</si>
  <si>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</si>
  <si>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</si>
  <si>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</si>
  <si>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</si>
  <si>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</si>
  <si>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</si>
  <si>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</si>
  <si>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</si>
  <si>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</si>
  <si>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</si>
  <si>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</si>
  <si>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</si>
  <si>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</si>
  <si>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</si>
  <si>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</si>
  <si>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</si>
  <si>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</si>
  <si>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</si>
  <si>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</si>
  <si>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</si>
  <si>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</si>
  <si>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</si>
  <si>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</si>
  <si>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</si>
  <si>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</si>
  <si>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</si>
  <si>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</si>
  <si>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</si>
  <si>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</si>
  <si>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</si>
  <si>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</si>
  <si>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</si>
  <si>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</si>
  <si>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</si>
  <si>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</si>
  <si>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</si>
  <si>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</si>
  <si>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</si>
  <si>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</si>
  <si>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</si>
  <si>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</si>
  <si>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</si>
  <si>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</si>
  <si>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</si>
  <si>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</si>
  <si>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</si>
  <si>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</si>
  <si>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</si>
  <si>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</si>
  <si>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</si>
  <si>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</si>
  <si>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</si>
  <si>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</si>
  <si>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</si>
  <si>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</si>
  <si>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</si>
  <si>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</si>
  <si>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</si>
  <si>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</si>
  <si>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</si>
  <si>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</si>
  <si>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</si>
  <si>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</si>
  <si>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</si>
  <si>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</si>
  <si>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</si>
  <si>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</si>
  <si>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</si>
  <si>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</si>
  <si>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</si>
  <si>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</si>
  <si>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</si>
  <si>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</si>
  <si>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</si>
  <si>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</si>
  <si>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</si>
  <si>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</si>
  <si>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</si>
  <si>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</si>
  <si>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</si>
  <si>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</si>
  <si>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</si>
  <si>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</si>
  <si>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</si>
  <si>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</si>
  <si>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</si>
  <si>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</si>
  <si>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</si>
  <si>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</si>
  <si>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</si>
  <si>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</si>
  <si>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</si>
  <si>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</si>
  <si>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</si>
  <si>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</si>
  <si>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</si>
  <si>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</si>
  <si>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</si>
  <si>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</si>
  <si>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</si>
  <si>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</si>
  <si>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</si>
  <si>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</si>
  <si>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</si>
  <si>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</si>
  <si>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</si>
  <si>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</si>
  <si>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</si>
  <si>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</si>
  <si>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</si>
  <si>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</si>
  <si>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</si>
  <si>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</si>
  <si>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</si>
  <si>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</si>
  <si>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</si>
  <si>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</si>
  <si>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</si>
  <si>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</si>
  <si>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</si>
  <si>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</si>
  <si>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</si>
  <si>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</si>
  <si>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</si>
  <si>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</si>
  <si>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</si>
  <si>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</si>
  <si>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</si>
  <si>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</si>
  <si>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</si>
  <si>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</si>
  <si>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</si>
  <si>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</si>
  <si>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</si>
  <si>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</si>
  <si>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</si>
  <si>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</si>
  <si>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</si>
  <si>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</si>
  <si>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</si>
  <si>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</si>
  <si>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</si>
  <si>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</si>
  <si>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</si>
  <si>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</si>
  <si>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</si>
  <si>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</si>
  <si>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</si>
  <si>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</si>
  <si>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</si>
  <si>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</si>
  <si>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</si>
  <si>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</si>
  <si>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</si>
  <si>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</si>
  <si>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</si>
  <si>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</si>
  <si>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</si>
  <si>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</si>
  <si>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</si>
  <si>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</si>
  <si>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</si>
  <si>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</si>
  <si>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</si>
  <si>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</si>
  <si>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</si>
  <si>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</si>
  <si>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</si>
  <si>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</si>
  <si>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</si>
  <si>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</si>
  <si>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</si>
  <si>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</si>
  <si>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</si>
  <si>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</si>
  <si>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</si>
  <si>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</si>
  <si>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</si>
  <si>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</si>
  <si>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</si>
  <si>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</si>
  <si>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</si>
  <si>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</si>
  <si>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</si>
  <si>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</si>
  <si>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</si>
  <si>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</si>
  <si>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</si>
  <si>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</si>
  <si>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</si>
  <si>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</si>
  <si>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</si>
  <si>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</si>
  <si>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</si>
  <si>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</si>
  <si>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</si>
  <si>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</si>
  <si>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</si>
  <si>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</si>
  <si>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</si>
  <si>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</si>
  <si>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10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</si>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</sst>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3" applyNumberFormat="0">
      <protection locked="0"/>
    </xf>
    <xf numFmtId="0" fontId="8" fillId="13" borderId="143" applyNumberFormat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46" applyBorder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55" applyNumberFormat="0">
      <protection locked="0"/>
    </xf>
    <xf numFmtId="0" fontId="8" fillId="13" borderId="146" applyBorder="0">
      <protection locked="0"/>
    </xf>
    <xf numFmtId="0" fontId="8" fillId="13" borderId="155" applyNumberFormat="0">
      <protection locked="0"/>
    </xf>
    <xf numFmtId="0" fontId="16" fillId="0" borderId="146" applyNumberFormat="0" applyBorder="0">
      <protection hidden="1"/>
    </xf>
    <xf numFmtId="0" fontId="16" fillId="0" borderId="146" applyNumberFormat="0" applyBorder="0">
      <protection hidden="1"/>
    </xf>
    <xf numFmtId="0" fontId="16" fillId="0" borderId="146" applyNumberFormat="0" applyBorder="0" applyAlignment="0">
      <protection hidden="1"/>
    </xf>
    <xf numFmtId="0" fontId="8" fillId="5" borderId="156" applyNumberFormat="0" applyFont="0" applyAlignment="0" applyProtection="0"/>
    <xf numFmtId="0" fontId="8" fillId="5" borderId="156" applyNumberFormat="0" applyFont="0" applyAlignment="0" applyProtection="0"/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2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2" applyBorder="0">
      <protection locked="0"/>
    </xf>
    <xf numFmtId="0" fontId="8" fillId="13" borderId="162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62" applyBorder="0">
      <protection locked="0"/>
    </xf>
    <xf numFmtId="0" fontId="8" fillId="13" borderId="157" applyNumberFormat="0">
      <protection locked="0"/>
    </xf>
    <xf numFmtId="0" fontId="16" fillId="0" borderId="162" applyNumberFormat="0" applyBorder="0">
      <protection hidden="1"/>
    </xf>
    <xf numFmtId="0" fontId="16" fillId="0" borderId="162" applyNumberFormat="0" applyBorder="0">
      <protection hidden="1"/>
    </xf>
    <xf numFmtId="0" fontId="16" fillId="0" borderId="162" applyNumberFormat="0" applyBorder="0" applyAlignment="0">
      <protection hidden="1"/>
    </xf>
    <xf numFmtId="0" fontId="8" fillId="13" borderId="165" applyNumberFormat="0">
      <protection locked="0"/>
    </xf>
    <xf numFmtId="0" fontId="8" fillId="13" borderId="165" applyNumberFormat="0">
      <protection locked="0"/>
    </xf>
    <xf numFmtId="0" fontId="1" fillId="30" borderId="168" applyNumberFormat="0" applyFont="0" applyAlignment="0" applyProtection="0"/>
    <xf numFmtId="0" fontId="8" fillId="13" borderId="2" applyNumberFormat="0">
      <protection locked="0"/>
    </xf>
    <xf numFmtId="0" fontId="8" fillId="13" borderId="170" applyBorder="0">
      <protection locked="0"/>
    </xf>
    <xf numFmtId="0" fontId="8" fillId="13" borderId="171" applyNumberFormat="0">
      <protection locked="0"/>
    </xf>
    <xf numFmtId="0" fontId="8" fillId="13" borderId="171" applyNumberFormat="0">
      <protection locked="0"/>
    </xf>
    <xf numFmtId="0" fontId="8" fillId="13" borderId="172" applyNumberFormat="0">
      <protection locked="0"/>
    </xf>
    <xf numFmtId="0" fontId="8" fillId="13" borderId="162" applyBorder="0">
      <protection locked="0"/>
    </xf>
  </cellStyleXfs>
  <cellXfs count="2270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4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44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4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4" applyNumberFormat="1" applyFont="1" applyBorder="1"/>
    <xf numFmtId="1" fontId="6" fillId="0" borderId="63" xfId="124" applyNumberFormat="1" applyFont="1" applyBorder="1"/>
    <xf numFmtId="1" fontId="6" fillId="0" borderId="31" xfId="124" applyNumberFormat="1" applyFont="1" applyBorder="1"/>
    <xf numFmtId="1" fontId="6" fillId="0" borderId="51" xfId="124" applyNumberFormat="1" applyFont="1" applyBorder="1"/>
    <xf numFmtId="1" fontId="6" fillId="0" borderId="67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0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4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8" xfId="124" applyNumberFormat="1" applyFont="1" applyBorder="1" applyAlignment="1">
      <alignment horizontal="left" vertical="center"/>
    </xf>
    <xf numFmtId="1" fontId="6" fillId="0" borderId="89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4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4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4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3" xfId="124" quotePrefix="1" applyNumberFormat="1" applyFont="1" applyBorder="1"/>
    <xf numFmtId="1" fontId="6" fillId="0" borderId="50" xfId="124" applyNumberFormat="1" applyFont="1" applyBorder="1" applyAlignment="1">
      <alignment wrapText="1"/>
    </xf>
    <xf numFmtId="1" fontId="6" fillId="0" borderId="51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4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22" borderId="52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7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6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87" xfId="72" applyNumberFormat="1" applyFont="1" applyFill="1" applyBorder="1" applyAlignment="1" applyProtection="1">
      <alignment horizontal="right"/>
      <protection locked="0"/>
    </xf>
    <xf numFmtId="1" fontId="6" fillId="15" borderId="11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2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4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5" xfId="0" applyNumberFormat="1" applyFont="1" applyFill="1" applyBorder="1" applyAlignment="1">
      <alignment horizontal="right" wrapText="1"/>
    </xf>
    <xf numFmtId="1" fontId="6" fillId="22" borderId="52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39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2" xfId="0" applyNumberFormat="1" applyFont="1" applyFill="1" applyBorder="1" applyAlignment="1">
      <alignment horizontal="right" wrapText="1"/>
    </xf>
    <xf numFmtId="1" fontId="6" fillId="22" borderId="76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6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2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52" xfId="125" applyNumberFormat="1" applyFont="1" applyBorder="1" applyAlignment="1" applyProtection="1">
      <alignment horizontal="right" wrapText="1"/>
      <protection hidden="1"/>
    </xf>
    <xf numFmtId="1" fontId="6" fillId="0" borderId="65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6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39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76" xfId="125" applyNumberFormat="1" applyFont="1" applyBorder="1" applyAlignment="1" applyProtection="1">
      <alignment horizontal="right" wrapText="1"/>
      <protection hidden="1"/>
    </xf>
    <xf numFmtId="1" fontId="6" fillId="0" borderId="92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09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20" borderId="106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2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86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22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59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5" xfId="124" applyNumberFormat="1" applyFont="1" applyBorder="1" applyAlignment="1">
      <alignment horizontal="right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107" xfId="124" applyNumberFormat="1" applyFont="1" applyFill="1" applyBorder="1" applyAlignment="1" applyProtection="1">
      <alignment horizontal="right"/>
      <protection locked="0"/>
    </xf>
    <xf numFmtId="1" fontId="6" fillId="0" borderId="67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63" xfId="124" applyNumberFormat="1" applyFont="1" applyBorder="1" applyAlignment="1">
      <alignment horizontal="right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56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4" xfId="0" applyNumberFormat="1" applyFont="1" applyBorder="1" applyAlignment="1">
      <alignment horizontal="right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7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0" borderId="69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4" xfId="125" applyNumberFormat="1" applyFont="1" applyBorder="1" applyAlignment="1">
      <alignment horizontal="right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0" borderId="119" xfId="125" applyNumberFormat="1" applyFont="1" applyFill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0" borderId="84" xfId="125" applyNumberFormat="1" applyFont="1" applyFill="1" applyBorder="1" applyAlignment="1">
      <alignment horizontal="right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5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92" xfId="125" applyNumberFormat="1" applyFont="1" applyFill="1" applyBorder="1" applyAlignment="1">
      <alignment horizontal="right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0" borderId="92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93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92" xfId="0" applyNumberFormat="1" applyFont="1" applyFill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0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60" xfId="126" applyNumberFormat="1" applyFont="1" applyFill="1" applyBorder="1" applyAlignment="1" applyProtection="1">
      <alignment horizontal="right"/>
      <protection locked="0"/>
    </xf>
    <xf numFmtId="1" fontId="6" fillId="15" borderId="97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7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68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87" xfId="126" applyNumberFormat="1" applyFont="1" applyFill="1" applyBorder="1" applyAlignment="1" applyProtection="1">
      <alignment horizontal="right"/>
      <protection locked="0"/>
    </xf>
    <xf numFmtId="1" fontId="6" fillId="15" borderId="101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5" xfId="126" applyNumberFormat="1" applyFont="1" applyBorder="1" applyAlignment="1">
      <alignment horizontal="right"/>
    </xf>
    <xf numFmtId="1" fontId="6" fillId="0" borderId="47" xfId="14" applyNumberFormat="1" applyFont="1" applyFill="1" applyBorder="1" applyAlignment="1" applyProtection="1">
      <alignment horizontal="right"/>
    </xf>
    <xf numFmtId="1" fontId="6" fillId="0" borderId="86" xfId="126" applyNumberFormat="1" applyFont="1" applyBorder="1" applyAlignment="1">
      <alignment horizontal="right"/>
    </xf>
    <xf numFmtId="1" fontId="6" fillId="0" borderId="69" xfId="14" applyNumberFormat="1" applyFont="1" applyFill="1" applyBorder="1" applyAlignment="1" applyProtection="1">
      <alignment horizontal="right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87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15" borderId="97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0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4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7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57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0" borderId="92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>
      <alignment horizontal="right"/>
    </xf>
    <xf numFmtId="1" fontId="6" fillId="20" borderId="66" xfId="125" applyNumberFormat="1" applyFont="1" applyFill="1" applyBorder="1" applyAlignment="1">
      <alignment horizontal="right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95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47" xfId="0" applyFont="1" applyFill="1" applyBorder="1" applyAlignment="1" applyProtection="1">
      <alignment horizontal="right"/>
      <protection locked="0"/>
    </xf>
    <xf numFmtId="0" fontId="29" fillId="24" borderId="57" xfId="0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6" xfId="125" applyNumberFormat="1" applyFont="1" applyFill="1" applyBorder="1" applyAlignment="1">
      <alignment horizontal="right"/>
    </xf>
    <xf numFmtId="1" fontId="6" fillId="20" borderId="57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69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110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0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vertical="center" wrapText="1"/>
    </xf>
    <xf numFmtId="1" fontId="6" fillId="0" borderId="141" xfId="125" applyNumberFormat="1" applyFont="1" applyBorder="1" applyAlignment="1">
      <alignment vertical="center" wrapText="1"/>
    </xf>
    <xf numFmtId="1" fontId="6" fillId="0" borderId="57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0" borderId="92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3" borderId="54" xfId="45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7" borderId="49" xfId="122" applyNumberFormat="1" applyFont="1" applyFill="1" applyBorder="1" applyAlignment="1">
      <alignment horizontal="left" wrapText="1"/>
    </xf>
    <xf numFmtId="1" fontId="6" fillId="17" borderId="60" xfId="108" applyNumberFormat="1" applyFont="1" applyFill="1" applyBorder="1" applyAlignment="1">
      <alignment horizontal="right" wrapText="1"/>
    </xf>
    <xf numFmtId="1" fontId="6" fillId="17" borderId="67" xfId="122" applyNumberFormat="1" applyFont="1" applyFill="1" applyBorder="1" applyAlignment="1">
      <alignment horizontal="left"/>
    </xf>
    <xf numFmtId="1" fontId="6" fillId="17" borderId="57" xfId="108" applyNumberFormat="1" applyFont="1" applyFill="1" applyBorder="1" applyAlignment="1">
      <alignment horizontal="right" wrapText="1"/>
    </xf>
    <xf numFmtId="1" fontId="6" fillId="17" borderId="51" xfId="122" applyNumberFormat="1" applyFont="1" applyFill="1" applyBorder="1" applyAlignment="1">
      <alignment horizontal="left"/>
    </xf>
    <xf numFmtId="1" fontId="6" fillId="17" borderId="66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4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4" xfId="0" applyFont="1" applyBorder="1"/>
    <xf numFmtId="0" fontId="6" fillId="29" borderId="44" xfId="0" applyFont="1" applyFill="1" applyBorder="1" applyAlignment="1">
      <alignment horizontal="right"/>
    </xf>
    <xf numFmtId="1" fontId="6" fillId="20" borderId="45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112" xfId="72" applyNumberFormat="1" applyFont="1" applyFill="1" applyBorder="1" applyAlignment="1" applyProtection="1">
      <alignment horizontal="right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0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0" fontId="6" fillId="24" borderId="91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5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1" xfId="0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5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3" borderId="52" xfId="125" applyNumberFormat="1" applyFont="1" applyFill="1" applyBorder="1" applyAlignment="1" applyProtection="1">
      <alignment horizontal="right"/>
      <protection locked="0"/>
    </xf>
    <xf numFmtId="1" fontId="6" fillId="15" borderId="47" xfId="14" quotePrefix="1" applyNumberFormat="1" applyFont="1" applyFill="1" applyBorder="1" applyAlignment="1">
      <alignment horizontal="right"/>
      <protection locked="0"/>
    </xf>
    <xf numFmtId="1" fontId="6" fillId="15" borderId="75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0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26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2" borderId="50" xfId="124" applyNumberFormat="1" applyFont="1" applyFill="1" applyBorder="1"/>
    <xf numFmtId="1" fontId="6" fillId="22" borderId="5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3" xfId="124" applyNumberFormat="1" applyFont="1" applyFill="1" applyBorder="1"/>
    <xf numFmtId="1" fontId="6" fillId="22" borderId="63" xfId="124" applyNumberFormat="1" applyFont="1" applyFill="1" applyBorder="1" applyAlignment="1">
      <alignment horizontal="right"/>
    </xf>
    <xf numFmtId="1" fontId="6" fillId="22" borderId="48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1" xfId="124" applyNumberFormat="1" applyFont="1" applyFill="1" applyBorder="1"/>
    <xf numFmtId="1" fontId="6" fillId="22" borderId="6" xfId="124" applyNumberFormat="1" applyFont="1" applyFill="1" applyBorder="1"/>
    <xf numFmtId="1" fontId="6" fillId="22" borderId="67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112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4" xfId="124" applyNumberFormat="1" applyFont="1" applyBorder="1" applyAlignment="1">
      <alignment horizontal="right" vertical="center"/>
    </xf>
    <xf numFmtId="1" fontId="6" fillId="0" borderId="92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4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6" xfId="0" applyNumberFormat="1" applyFont="1" applyBorder="1" applyAlignment="1">
      <alignment horizontal="right"/>
    </xf>
    <xf numFmtId="1" fontId="6" fillId="0" borderId="106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2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7" xfId="0" applyNumberFormat="1" applyFont="1" applyFill="1" applyBorder="1" applyAlignment="1" applyProtection="1">
      <alignment horizontal="right"/>
      <protection locked="0"/>
    </xf>
    <xf numFmtId="1" fontId="6" fillId="0" borderId="74" xfId="0" applyNumberFormat="1" applyFont="1" applyBorder="1" applyAlignment="1">
      <alignment horizontal="right"/>
    </xf>
    <xf numFmtId="1" fontId="6" fillId="0" borderId="92" xfId="0" applyNumberFormat="1" applyFont="1" applyBorder="1" applyAlignment="1">
      <alignment horizontal="right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4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4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4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7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3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right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68" xfId="124" applyNumberFormat="1" applyFont="1" applyFill="1" applyBorder="1" applyAlignment="1" applyProtection="1">
      <alignment horizontal="right" vertical="center"/>
      <protection locked="0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5" xfId="108" applyNumberFormat="1" applyFont="1" applyBorder="1" applyAlignment="1">
      <alignment horizontal="center" vertical="center" wrapText="1"/>
    </xf>
    <xf numFmtId="1" fontId="6" fillId="0" borderId="54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 wrapText="1"/>
    </xf>
    <xf numFmtId="1" fontId="6" fillId="0" borderId="65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17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horizontal="left"/>
    </xf>
    <xf numFmtId="1" fontId="6" fillId="0" borderId="44" xfId="124" applyNumberFormat="1" applyFont="1" applyBorder="1" applyAlignment="1">
      <alignment horizontal="left"/>
    </xf>
    <xf numFmtId="1" fontId="6" fillId="0" borderId="56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 wrapText="1"/>
    </xf>
    <xf numFmtId="1" fontId="6" fillId="22" borderId="109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2" xfId="0" applyNumberFormat="1" applyFont="1" applyFill="1" applyBorder="1" applyAlignment="1">
      <alignment horizontal="right"/>
    </xf>
    <xf numFmtId="1" fontId="6" fillId="22" borderId="92" xfId="0" applyNumberFormat="1" applyFont="1" applyFill="1" applyBorder="1" applyAlignment="1">
      <alignment horizontal="right"/>
    </xf>
    <xf numFmtId="1" fontId="6" fillId="22" borderId="42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6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39" xfId="0" applyNumberFormat="1" applyFont="1" applyFill="1" applyBorder="1" applyAlignment="1">
      <alignment horizontal="right"/>
    </xf>
    <xf numFmtId="1" fontId="6" fillId="22" borderId="121" xfId="0" applyNumberFormat="1" applyFont="1" applyFill="1" applyBorder="1" applyAlignment="1">
      <alignment horizontal="right"/>
    </xf>
    <xf numFmtId="1" fontId="6" fillId="22" borderId="109" xfId="0" applyNumberFormat="1" applyFont="1" applyFill="1" applyBorder="1" applyAlignment="1">
      <alignment horizontal="right" wrapText="1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6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2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52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8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1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7" xfId="124" applyNumberFormat="1" applyFont="1" applyFill="1" applyBorder="1" applyAlignment="1" applyProtection="1">
      <alignment horizontal="right"/>
      <protection locked="0"/>
    </xf>
    <xf numFmtId="1" fontId="6" fillId="20" borderId="36" xfId="124" applyNumberFormat="1" applyFont="1" applyFill="1" applyBorder="1" applyAlignment="1">
      <alignment horizontal="right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0" borderId="147" xfId="0" applyNumberFormat="1" applyFont="1" applyBorder="1" applyAlignment="1">
      <alignment horizontal="right"/>
    </xf>
    <xf numFmtId="1" fontId="6" fillId="0" borderId="151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49" xfId="0" quotePrefix="1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 wrapText="1"/>
    </xf>
    <xf numFmtId="1" fontId="6" fillId="20" borderId="37" xfId="0" applyNumberFormat="1" applyFont="1" applyFill="1" applyBorder="1" applyAlignment="1">
      <alignment horizontal="right"/>
    </xf>
    <xf numFmtId="1" fontId="6" fillId="20" borderId="117" xfId="0" applyNumberFormat="1" applyFont="1" applyFill="1" applyBorder="1" applyAlignment="1">
      <alignment horizontal="right"/>
    </xf>
    <xf numFmtId="1" fontId="6" fillId="20" borderId="40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1" fontId="6" fillId="20" borderId="103" xfId="0" applyNumberFormat="1" applyFont="1" applyFill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20" borderId="147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6" xfId="0" applyNumberFormat="1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0" xfId="0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2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4" xfId="0" applyNumberFormat="1" applyFont="1" applyFill="1" applyBorder="1" applyAlignment="1">
      <alignment horizontal="right"/>
    </xf>
    <xf numFmtId="1" fontId="6" fillId="20" borderId="87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52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44" xfId="125" applyNumberFormat="1" applyFont="1" applyFill="1" applyBorder="1" applyAlignment="1">
      <alignment horizontal="right"/>
    </xf>
    <xf numFmtId="1" fontId="6" fillId="20" borderId="113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2" xfId="125" applyNumberFormat="1" applyFont="1" applyFill="1" applyBorder="1" applyAlignment="1">
      <alignment horizontal="right"/>
    </xf>
    <xf numFmtId="1" fontId="6" fillId="20" borderId="144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26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0" borderId="150" xfId="108" applyNumberFormat="1" applyFont="1" applyBorder="1" applyAlignment="1">
      <alignment horizontal="center" vertical="center" wrapText="1"/>
    </xf>
    <xf numFmtId="1" fontId="6" fillId="0" borderId="150" xfId="125" applyNumberFormat="1" applyFont="1" applyBorder="1" applyAlignment="1" applyProtection="1">
      <alignment horizontal="center" vertical="center"/>
      <protection hidden="1"/>
    </xf>
    <xf numFmtId="1" fontId="6" fillId="0" borderId="90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7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6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 vertical="center"/>
    </xf>
    <xf numFmtId="1" fontId="6" fillId="0" borderId="75" xfId="124" applyNumberFormat="1" applyFont="1" applyBorder="1" applyAlignment="1">
      <alignment horizontal="right"/>
    </xf>
    <xf numFmtId="1" fontId="6" fillId="0" borderId="150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5" xfId="124" applyNumberFormat="1" applyFont="1" applyFill="1" applyBorder="1" applyAlignment="1">
      <alignment horizontal="right"/>
    </xf>
    <xf numFmtId="1" fontId="6" fillId="22" borderId="60" xfId="124" applyNumberFormat="1" applyFont="1" applyFill="1" applyBorder="1" applyAlignment="1">
      <alignment horizontal="right"/>
    </xf>
    <xf numFmtId="1" fontId="6" fillId="22" borderId="73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5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14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73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8" xfId="124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26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68" xfId="124" applyNumberFormat="1" applyFont="1" applyFill="1" applyBorder="1" applyAlignment="1" applyProtection="1">
      <alignment horizontal="right"/>
      <protection locked="0"/>
    </xf>
    <xf numFmtId="1" fontId="6" fillId="23" borderId="76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101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0" borderId="45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6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6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2" xfId="124" applyNumberFormat="1" applyFont="1" applyBorder="1" applyAlignment="1">
      <alignment horizontal="right" vertical="center"/>
    </xf>
    <xf numFmtId="1" fontId="6" fillId="0" borderId="150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0" borderId="52" xfId="124" applyNumberFormat="1" applyFont="1" applyBorder="1"/>
    <xf numFmtId="1" fontId="6" fillId="23" borderId="65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104" xfId="124" applyNumberFormat="1" applyFont="1" applyFill="1" applyBorder="1" applyAlignment="1" applyProtection="1">
      <alignment horizontal="right"/>
      <protection locked="0"/>
    </xf>
    <xf numFmtId="1" fontId="6" fillId="0" borderId="158" xfId="124" applyNumberFormat="1" applyFont="1" applyBorder="1" applyAlignment="1">
      <alignment horizontal="right" wrapText="1"/>
    </xf>
    <xf numFmtId="1" fontId="6" fillId="0" borderId="159" xfId="124" applyNumberFormat="1" applyFont="1" applyBorder="1" applyAlignment="1">
      <alignment horizontal="right" wrapText="1"/>
    </xf>
    <xf numFmtId="1" fontId="6" fillId="0" borderId="151" xfId="124" applyNumberFormat="1" applyFont="1" applyBorder="1" applyAlignment="1">
      <alignment horizontal="right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51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22" borderId="150" xfId="124" applyNumberFormat="1" applyFont="1" applyFill="1" applyBorder="1" applyAlignment="1">
      <alignment horizontal="right"/>
    </xf>
    <xf numFmtId="0" fontId="6" fillId="0" borderId="150" xfId="0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6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5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0" borderId="150" xfId="0" applyNumberFormat="1" applyFont="1" applyBorder="1" applyAlignment="1">
      <alignment horizontal="center" vertical="center"/>
    </xf>
    <xf numFmtId="1" fontId="6" fillId="20" borderId="45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0" borderId="150" xfId="125" applyNumberFormat="1" applyFont="1" applyBorder="1" applyAlignment="1">
      <alignment horizontal="center" vertical="center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15" borderId="112" xfId="125" applyNumberFormat="1" applyFont="1" applyFill="1" applyBorder="1" applyAlignment="1" applyProtection="1">
      <alignment horizontal="right"/>
      <protection locked="0"/>
    </xf>
    <xf numFmtId="1" fontId="6" fillId="20" borderId="96" xfId="0" applyNumberFormat="1" applyFont="1" applyFill="1" applyBorder="1" applyAlignment="1">
      <alignment horizontal="right"/>
    </xf>
    <xf numFmtId="1" fontId="6" fillId="20" borderId="86" xfId="0" applyNumberFormat="1" applyFont="1" applyFill="1" applyBorder="1" applyAlignment="1">
      <alignment horizontal="right"/>
    </xf>
    <xf numFmtId="1" fontId="6" fillId="20" borderId="123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112" xfId="0" applyNumberFormat="1" applyFont="1" applyFill="1" applyBorder="1" applyAlignment="1">
      <alignment horizontal="right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2" xfId="0" applyNumberFormat="1" applyFont="1" applyFill="1" applyBorder="1" applyAlignment="1" applyProtection="1">
      <alignment vertical="center" wrapText="1"/>
      <protection hidden="1"/>
    </xf>
    <xf numFmtId="1" fontId="6" fillId="22" borderId="59" xfId="0" applyNumberFormat="1" applyFont="1" applyFill="1" applyBorder="1" applyAlignment="1">
      <alignment horizontal="center" vertical="center" wrapText="1"/>
    </xf>
    <xf numFmtId="1" fontId="6" fillId="15" borderId="54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21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0" borderId="166" xfId="0" applyNumberFormat="1" applyFont="1" applyBorder="1" applyAlignment="1">
      <alignment horizontal="right"/>
    </xf>
    <xf numFmtId="1" fontId="6" fillId="15" borderId="109" xfId="0" quotePrefix="1" applyNumberFormat="1" applyFont="1" applyFill="1" applyBorder="1" applyAlignment="1" applyProtection="1">
      <alignment horizontal="right"/>
      <protection locked="0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36" xfId="0" quotePrefix="1" applyNumberFormat="1" applyFont="1" applyFill="1" applyBorder="1" applyAlignment="1" applyProtection="1">
      <alignment horizontal="right"/>
      <protection locked="0"/>
    </xf>
    <xf numFmtId="1" fontId="6" fillId="15" borderId="43" xfId="0" quotePrefix="1" applyNumberFormat="1" applyFont="1" applyFill="1" applyBorder="1" applyAlignment="1" applyProtection="1">
      <alignment horizontal="right"/>
      <protection locked="0"/>
    </xf>
    <xf numFmtId="1" fontId="6" fillId="0" borderId="159" xfId="0" applyNumberFormat="1" applyFont="1" applyBorder="1" applyAlignment="1">
      <alignment horizontal="right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0" borderId="167" xfId="125" applyNumberFormat="1" applyFont="1" applyBorder="1" applyAlignment="1">
      <alignment horizontal="right"/>
    </xf>
    <xf numFmtId="1" fontId="6" fillId="0" borderId="150" xfId="125" applyNumberFormat="1" applyFont="1" applyBorder="1" applyAlignment="1">
      <alignment horizontal="right"/>
    </xf>
    <xf numFmtId="1" fontId="6" fillId="0" borderId="55" xfId="125" applyNumberFormat="1" applyFont="1" applyBorder="1" applyAlignment="1">
      <alignment horizontal="right"/>
    </xf>
    <xf numFmtId="1" fontId="6" fillId="0" borderId="55" xfId="125" applyNumberFormat="1" applyFont="1" applyBorder="1" applyAlignment="1" applyProtection="1">
      <alignment horizontal="center" vertical="center"/>
      <protection hidden="1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150" xfId="125" applyNumberFormat="1" applyFont="1" applyFill="1" applyBorder="1" applyAlignment="1" applyProtection="1">
      <alignment horizontal="right"/>
      <protection locked="0"/>
    </xf>
    <xf numFmtId="1" fontId="6" fillId="20" borderId="45" xfId="125" applyNumberFormat="1" applyFont="1" applyFill="1" applyBorder="1" applyAlignment="1" applyProtection="1">
      <alignment horizontal="right"/>
      <protection locked="0"/>
    </xf>
    <xf numFmtId="1" fontId="6" fillId="20" borderId="60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0" fontId="29" fillId="0" borderId="149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6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5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6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0" xfId="45" applyNumberFormat="1" applyFont="1" applyFill="1" applyBorder="1" applyAlignment="1" applyProtection="1">
      <alignment horizontal="right"/>
    </xf>
    <xf numFmtId="1" fontId="6" fillId="23" borderId="45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4" xfId="112" applyNumberFormat="1" applyFont="1" applyBorder="1" applyAlignment="1" applyProtection="1">
      <alignment horizontal="left" vertical="center" wrapText="1"/>
      <protection hidden="1"/>
    </xf>
    <xf numFmtId="1" fontId="6" fillId="0" borderId="75" xfId="45" applyNumberFormat="1" applyFont="1" applyFill="1" applyBorder="1" applyAlignment="1" applyProtection="1">
      <alignment horizontal="right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23" borderId="92" xfId="45" applyNumberFormat="1" applyFont="1" applyFill="1" applyBorder="1" applyAlignment="1" applyProtection="1">
      <alignment horizontal="right"/>
      <protection locked="0"/>
    </xf>
    <xf numFmtId="1" fontId="6" fillId="23" borderId="60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0" xfId="125" applyNumberFormat="1" applyFont="1" applyBorder="1" applyAlignment="1" applyProtection="1">
      <alignment horizontal="center" vertical="center" wrapText="1"/>
      <protection hidden="1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4" xfId="0" applyNumberFormat="1" applyFont="1" applyFill="1" applyBorder="1" applyAlignment="1">
      <alignment wrapText="1"/>
    </xf>
    <xf numFmtId="1" fontId="6" fillId="0" borderId="78" xfId="125" applyNumberFormat="1" applyFont="1" applyBorder="1" applyAlignment="1">
      <alignment vertical="center" wrapText="1"/>
    </xf>
    <xf numFmtId="1" fontId="6" fillId="22" borderId="95" xfId="0" applyNumberFormat="1" applyFont="1" applyFill="1" applyBorder="1" applyAlignment="1">
      <alignment horizontal="center" vertical="center" wrapText="1"/>
    </xf>
    <xf numFmtId="1" fontId="6" fillId="20" borderId="56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3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3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2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59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59" xfId="122" applyNumberFormat="1" applyFont="1" applyFill="1" applyBorder="1" applyAlignment="1">
      <alignment horizontal="right"/>
    </xf>
    <xf numFmtId="1" fontId="6" fillId="17" borderId="52" xfId="122" applyNumberFormat="1" applyFont="1" applyFill="1" applyBorder="1" applyAlignment="1">
      <alignment horizontal="right"/>
    </xf>
    <xf numFmtId="1" fontId="6" fillId="17" borderId="44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4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4" xfId="124" applyNumberFormat="1" applyFont="1" applyBorder="1" applyAlignment="1">
      <alignment horizontal="right" vertical="center"/>
    </xf>
    <xf numFmtId="1" fontId="6" fillId="0" borderId="52" xfId="125" applyNumberFormat="1" applyFont="1" applyBorder="1" applyAlignment="1">
      <alignment horizontal="right"/>
    </xf>
    <xf numFmtId="1" fontId="6" fillId="0" borderId="44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4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4" xfId="112" applyNumberFormat="1" applyFont="1" applyBorder="1" applyAlignment="1" applyProtection="1">
      <alignment horizontal="right" wrapText="1"/>
      <protection hidden="1"/>
    </xf>
    <xf numFmtId="1" fontId="6" fillId="0" borderId="74" xfId="0" applyNumberFormat="1" applyFont="1" applyBorder="1" applyAlignment="1">
      <alignment wrapText="1"/>
    </xf>
    <xf numFmtId="1" fontId="6" fillId="20" borderId="97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2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4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4" xfId="126" applyNumberFormat="1" applyFont="1" applyBorder="1" applyAlignment="1" applyProtection="1">
      <alignment horizontal="right"/>
      <protection hidden="1"/>
    </xf>
    <xf numFmtId="1" fontId="6" fillId="0" borderId="173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59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2" xfId="0" applyNumberFormat="1" applyFont="1" applyFill="1" applyBorder="1" applyAlignment="1">
      <alignment horizontal="center" vertical="center" wrapText="1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0" borderId="55" xfId="0" applyNumberFormat="1" applyFont="1" applyBorder="1" applyAlignment="1">
      <alignment horizontal="right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0" fontId="6" fillId="0" borderId="55" xfId="0" applyFont="1" applyBorder="1" applyAlignment="1">
      <alignment horizontal="right" vertical="center"/>
    </xf>
    <xf numFmtId="0" fontId="6" fillId="0" borderId="55" xfId="0" applyFont="1" applyBorder="1" applyAlignment="1">
      <alignment horizontal="right" vertical="center" wrapText="1"/>
    </xf>
    <xf numFmtId="0" fontId="6" fillId="0" borderId="149" xfId="0" applyFont="1" applyBorder="1" applyAlignment="1">
      <alignment horizontal="right" vertical="center"/>
    </xf>
    <xf numFmtId="0" fontId="6" fillId="20" borderId="55" xfId="0" applyFont="1" applyFill="1" applyBorder="1" applyAlignment="1">
      <alignment horizontal="right" vertical="center" wrapText="1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1" fontId="6" fillId="17" borderId="149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0" fontId="6" fillId="0" borderId="149" xfId="0" applyFont="1" applyBorder="1" applyAlignment="1">
      <alignment horizontal="right"/>
    </xf>
    <xf numFmtId="0" fontId="6" fillId="0" borderId="150" xfId="0" applyFont="1" applyBorder="1" applyAlignment="1">
      <alignment horizontal="right"/>
    </xf>
    <xf numFmtId="1" fontId="6" fillId="0" borderId="149" xfId="124" applyNumberFormat="1" applyFont="1" applyBorder="1" applyAlignment="1">
      <alignment horizontal="right"/>
    </xf>
    <xf numFmtId="1" fontId="6" fillId="22" borderId="149" xfId="124" applyNumberFormat="1" applyFont="1" applyFill="1" applyBorder="1" applyAlignment="1">
      <alignment horizontal="right"/>
    </xf>
    <xf numFmtId="1" fontId="6" fillId="17" borderId="150" xfId="0" applyNumberFormat="1" applyFont="1" applyFill="1" applyBorder="1" applyAlignment="1">
      <alignment horizontal="center" vertical="center"/>
    </xf>
    <xf numFmtId="1" fontId="6" fillId="0" borderId="150" xfId="126" applyNumberFormat="1" applyFont="1" applyBorder="1" applyAlignment="1" applyProtection="1">
      <alignment horizontal="center" vertical="center" wrapText="1"/>
      <protection hidden="1"/>
    </xf>
    <xf numFmtId="1" fontId="6" fillId="0" borderId="150" xfId="126" applyNumberFormat="1" applyFont="1" applyBorder="1" applyAlignment="1">
      <alignment horizontal="right"/>
    </xf>
    <xf numFmtId="1" fontId="6" fillId="0" borderId="150" xfId="14" applyNumberFormat="1" applyFont="1" applyFill="1" applyBorder="1" applyAlignment="1" applyProtection="1">
      <alignment horizontal="right"/>
    </xf>
    <xf numFmtId="1" fontId="6" fillId="0" borderId="150" xfId="126" applyNumberFormat="1" applyFont="1" applyBorder="1" applyAlignment="1" applyProtection="1">
      <alignment horizontal="center" vertical="center"/>
      <protection hidden="1"/>
    </xf>
    <xf numFmtId="1" fontId="6" fillId="15" borderId="150" xfId="14" applyNumberFormat="1" applyFont="1" applyFill="1" applyBorder="1" applyAlignment="1">
      <alignment horizontal="right"/>
      <protection locked="0"/>
    </xf>
    <xf numFmtId="1" fontId="6" fillId="23" borderId="150" xfId="45" applyNumberFormat="1" applyFont="1" applyFill="1" applyBorder="1" applyAlignment="1" applyProtection="1">
      <alignment horizontal="right"/>
      <protection locked="0"/>
    </xf>
    <xf numFmtId="1" fontId="6" fillId="0" borderId="150" xfId="125" applyNumberFormat="1" applyFont="1" applyBorder="1" applyAlignment="1" applyProtection="1">
      <alignment horizontal="right" wrapText="1"/>
      <protection hidden="1"/>
    </xf>
    <xf numFmtId="1" fontId="6" fillId="15" borderId="150" xfId="72" applyNumberFormat="1" applyFont="1" applyFill="1" applyBorder="1" applyAlignment="1" applyProtection="1">
      <alignment horizontal="right"/>
      <protection locked="0"/>
    </xf>
    <xf numFmtId="1" fontId="6" fillId="17" borderId="150" xfId="108" applyNumberFormat="1" applyFont="1" applyFill="1" applyBorder="1" applyAlignment="1">
      <alignment horizontal="right" wrapText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0" fontId="6" fillId="0" borderId="5" xfId="0" applyFont="1" applyBorder="1" applyAlignment="1">
      <alignment horizontal="center" vertical="center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0" fontId="6" fillId="0" borderId="149" xfId="0" applyFont="1" applyBorder="1" applyAlignment="1">
      <alignment horizontal="center" vertical="center" wrapText="1"/>
    </xf>
    <xf numFmtId="0" fontId="6" fillId="0" borderId="163" xfId="0" applyFont="1" applyBorder="1" applyAlignment="1">
      <alignment horizontal="center" vertical="center" wrapText="1"/>
    </xf>
    <xf numFmtId="1" fontId="6" fillId="0" borderId="142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4" xfId="0" applyNumberFormat="1" applyFont="1" applyBorder="1" applyAlignment="1" applyProtection="1">
      <alignment horizontal="left" wrapText="1"/>
      <protection hidden="1"/>
    </xf>
    <xf numFmtId="1" fontId="4" fillId="0" borderId="174" xfId="0" applyNumberFormat="1" applyFont="1" applyBorder="1" applyAlignment="1" applyProtection="1">
      <alignment horizontal="left"/>
      <protection hidden="1"/>
    </xf>
    <xf numFmtId="0" fontId="6" fillId="0" borderId="164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2" xfId="0" applyNumberFormat="1" applyFont="1" applyBorder="1"/>
    <xf numFmtId="1" fontId="6" fillId="17" borderId="26" xfId="0" applyNumberFormat="1" applyFont="1" applyFill="1" applyBorder="1" applyAlignment="1" applyProtection="1">
      <alignment vertical="center" wrapText="1"/>
      <protection hidden="1"/>
    </xf>
    <xf numFmtId="1" fontId="6" fillId="0" borderId="50" xfId="0" applyNumberFormat="1" applyFont="1" applyBorder="1" applyAlignment="1" applyProtection="1">
      <alignment horizontal="left"/>
      <protection hidden="1"/>
    </xf>
    <xf numFmtId="1" fontId="6" fillId="0" borderId="93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5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7" xfId="125" applyNumberFormat="1" applyFont="1" applyBorder="1" applyAlignment="1">
      <alignment vertical="center" wrapText="1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vertical="center" wrapText="1"/>
    </xf>
    <xf numFmtId="1" fontId="6" fillId="20" borderId="117" xfId="125" applyNumberFormat="1" applyFont="1" applyFill="1" applyBorder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0" borderId="106" xfId="125" applyNumberFormat="1" applyFont="1" applyFill="1" applyBorder="1" applyAlignment="1">
      <alignment horizontal="right"/>
    </xf>
    <xf numFmtId="1" fontId="6" fillId="22" borderId="57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9" xfId="125" applyNumberFormat="1" applyFont="1" applyBorder="1" applyAlignment="1" applyProtection="1">
      <alignment vertical="center" wrapText="1"/>
      <protection hidden="1"/>
    </xf>
    <xf numFmtId="1" fontId="6" fillId="0" borderId="92" xfId="125" applyNumberFormat="1" applyFont="1" applyBorder="1" applyAlignment="1" applyProtection="1">
      <alignment vertical="center"/>
      <protection hidden="1"/>
    </xf>
    <xf numFmtId="1" fontId="6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6" xfId="0" applyNumberFormat="1" applyFont="1" applyFill="1" applyBorder="1" applyAlignment="1">
      <alignment vertical="center"/>
    </xf>
    <xf numFmtId="1" fontId="6" fillId="0" borderId="52" xfId="125" applyNumberFormat="1" applyFont="1" applyBorder="1" applyAlignment="1" applyProtection="1">
      <alignment vertical="center" wrapText="1"/>
      <protection hidden="1"/>
    </xf>
    <xf numFmtId="1" fontId="6" fillId="0" borderId="22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4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4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3" xfId="0" applyNumberFormat="1" applyFont="1" applyFill="1" applyBorder="1" applyAlignment="1">
      <alignment horizontal="center" wrapText="1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98" xfId="80" applyNumberFormat="1" applyFont="1" applyFill="1" applyBorder="1" applyAlignment="1" applyProtection="1">
      <alignment horizontal="right"/>
      <protection locked="0"/>
    </xf>
    <xf numFmtId="1" fontId="6" fillId="22" borderId="76" xfId="0" applyNumberFormat="1" applyFont="1" applyFill="1" applyBorder="1" applyAlignment="1">
      <alignment horizontal="right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87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0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4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4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5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7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3" xfId="129" applyNumberFormat="1" applyFont="1" applyBorder="1" applyAlignment="1" applyProtection="1">
      <alignment horizontal="center" vertical="center" wrapText="1"/>
    </xf>
    <xf numFmtId="1" fontId="6" fillId="15" borderId="109" xfId="173" applyNumberFormat="1" applyFont="1" applyFill="1" applyBorder="1" applyAlignment="1">
      <alignment horizontal="right"/>
      <protection locked="0"/>
    </xf>
    <xf numFmtId="1" fontId="6" fillId="15" borderId="121" xfId="173" applyNumberFormat="1" applyFont="1" applyFill="1" applyBorder="1" applyAlignment="1">
      <alignment horizontal="right"/>
      <protection locked="0"/>
    </xf>
    <xf numFmtId="1" fontId="32" fillId="0" borderId="43" xfId="0" applyNumberFormat="1" applyFont="1" applyBorder="1"/>
    <xf numFmtId="1" fontId="6" fillId="20" borderId="36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8" xfId="125" applyNumberFormat="1" applyFont="1" applyFill="1" applyBorder="1" applyAlignment="1">
      <alignment horizontal="right"/>
    </xf>
    <xf numFmtId="1" fontId="6" fillId="17" borderId="44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7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7" xfId="0" applyFont="1" applyFill="1" applyBorder="1" applyAlignment="1" applyProtection="1">
      <alignment horizontal="right" vertical="center"/>
      <protection locked="0"/>
    </xf>
    <xf numFmtId="0" fontId="6" fillId="24" borderId="73" xfId="0" applyFont="1" applyFill="1" applyBorder="1" applyAlignment="1" applyProtection="1">
      <alignment horizontal="right" vertical="center"/>
      <protection locked="0"/>
    </xf>
    <xf numFmtId="0" fontId="6" fillId="24" borderId="12" xfId="0" applyFont="1" applyFill="1" applyBorder="1" applyAlignment="1" applyProtection="1">
      <alignment horizontal="right" vertical="center"/>
      <protection locked="0"/>
    </xf>
    <xf numFmtId="0" fontId="6" fillId="24" borderId="14" xfId="0" applyFont="1" applyFill="1" applyBorder="1" applyAlignment="1" applyProtection="1">
      <alignment horizontal="right" vertical="center"/>
      <protection locked="0"/>
    </xf>
    <xf numFmtId="0" fontId="6" fillId="24" borderId="22" xfId="0" applyFont="1" applyFill="1" applyBorder="1" applyAlignment="1" applyProtection="1">
      <alignment horizontal="right" vertical="center"/>
      <protection locked="0"/>
    </xf>
    <xf numFmtId="0" fontId="6" fillId="24" borderId="46" xfId="0" applyFont="1" applyFill="1" applyBorder="1" applyAlignment="1" applyProtection="1">
      <alignment horizontal="right" vertical="center"/>
      <protection locked="0"/>
    </xf>
    <xf numFmtId="0" fontId="6" fillId="24" borderId="40" xfId="0" applyFont="1" applyFill="1" applyBorder="1" applyAlignment="1" applyProtection="1">
      <alignment horizontal="right" vertical="center"/>
      <protection locked="0"/>
    </xf>
    <xf numFmtId="0" fontId="6" fillId="24" borderId="68" xfId="0" applyFont="1" applyFill="1" applyBorder="1" applyAlignment="1" applyProtection="1">
      <alignment horizontal="right" vertical="center"/>
      <protection locked="0"/>
    </xf>
    <xf numFmtId="0" fontId="6" fillId="24" borderId="8" xfId="0" applyFont="1" applyFill="1" applyBorder="1" applyAlignment="1" applyProtection="1">
      <alignment horizontal="right" vertical="center"/>
      <protection locked="0"/>
    </xf>
    <xf numFmtId="0" fontId="6" fillId="24" borderId="26" xfId="0" applyFont="1" applyFill="1" applyBorder="1" applyAlignment="1" applyProtection="1">
      <alignment horizontal="right" vertical="center"/>
      <protection locked="0"/>
    </xf>
    <xf numFmtId="0" fontId="6" fillId="24" borderId="6" xfId="0" applyFont="1" applyFill="1" applyBorder="1" applyAlignment="1" applyProtection="1">
      <alignment horizontal="right" vertical="center"/>
      <protection locked="0"/>
    </xf>
    <xf numFmtId="0" fontId="6" fillId="24" borderId="56" xfId="0" applyFont="1" applyFill="1" applyBorder="1" applyAlignment="1" applyProtection="1">
      <alignment horizontal="right" vertical="center"/>
      <protection locked="0"/>
    </xf>
    <xf numFmtId="0" fontId="6" fillId="24" borderId="106" xfId="0" applyFont="1" applyFill="1" applyBorder="1" applyAlignment="1" applyProtection="1">
      <alignment horizontal="right" vertical="center"/>
      <protection locked="0"/>
    </xf>
    <xf numFmtId="0" fontId="6" fillId="24" borderId="58" xfId="0" applyFont="1" applyFill="1" applyBorder="1" applyAlignment="1" applyProtection="1">
      <alignment horizontal="right" vertical="center"/>
      <protection locked="0"/>
    </xf>
    <xf numFmtId="0" fontId="6" fillId="24" borderId="95" xfId="0" applyFont="1" applyFill="1" applyBorder="1" applyAlignment="1" applyProtection="1">
      <alignment horizontal="right" vertical="center"/>
      <protection locked="0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149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7" fillId="0" borderId="184" xfId="0" applyFont="1" applyBorder="1" applyAlignment="1">
      <alignment horizontal="left" vertical="center"/>
    </xf>
    <xf numFmtId="0" fontId="7" fillId="15" borderId="185" xfId="14" applyFont="1" applyFill="1" applyBorder="1" applyAlignment="1">
      <alignment horizontal="center"/>
      <protection locked="0"/>
    </xf>
    <xf numFmtId="0" fontId="3" fillId="14" borderId="186" xfId="123" applyFont="1" applyFill="1" applyBorder="1" applyAlignment="1" applyProtection="1">
      <alignment horizontal="center"/>
      <protection locked="0"/>
    </xf>
    <xf numFmtId="0" fontId="7" fillId="0" borderId="187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7" fillId="0" borderId="189" xfId="0" applyFont="1" applyBorder="1" applyAlignment="1">
      <alignment wrapText="1"/>
    </xf>
    <xf numFmtId="0" fontId="12" fillId="15" borderId="189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0" fontId="6" fillId="0" borderId="186" xfId="0" applyFont="1" applyBorder="1" applyAlignment="1">
      <alignment horizontal="center" vertical="center" wrapText="1"/>
    </xf>
    <xf numFmtId="1" fontId="6" fillId="15" borderId="202" xfId="0" applyNumberFormat="1" applyFont="1" applyFill="1" applyBorder="1" applyAlignment="1" applyProtection="1">
      <alignment horizontal="right"/>
      <protection locked="0"/>
    </xf>
    <xf numFmtId="1" fontId="6" fillId="0" borderId="194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0" borderId="189" xfId="0" applyNumberFormat="1" applyFont="1" applyBorder="1" applyAlignment="1">
      <alignment horizontal="right"/>
    </xf>
    <xf numFmtId="1" fontId="6" fillId="20" borderId="198" xfId="0" applyNumberFormat="1" applyFont="1" applyFill="1" applyBorder="1" applyAlignment="1">
      <alignment horizontal="right"/>
    </xf>
    <xf numFmtId="1" fontId="6" fillId="15" borderId="186" xfId="0" applyNumberFormat="1" applyFont="1" applyFill="1" applyBorder="1" applyAlignment="1" applyProtection="1">
      <alignment horizontal="right"/>
      <protection locked="0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1" xfId="0" quotePrefix="1" applyNumberFormat="1" applyFont="1" applyFill="1" applyBorder="1" applyAlignment="1" applyProtection="1">
      <alignment horizontal="right"/>
      <protection locked="0"/>
    </xf>
    <xf numFmtId="1" fontId="6" fillId="20" borderId="201" xfId="0" applyNumberFormat="1" applyFont="1" applyFill="1" applyBorder="1" applyAlignment="1">
      <alignment horizontal="right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17" borderId="189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0" fontId="6" fillId="0" borderId="189" xfId="0" applyFont="1" applyBorder="1" applyAlignment="1">
      <alignment horizontal="center"/>
    </xf>
    <xf numFmtId="0" fontId="6" fillId="0" borderId="189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189" xfId="0" applyFont="1" applyFill="1" applyBorder="1" applyAlignment="1">
      <alignment horizontal="right" vertical="center"/>
    </xf>
    <xf numFmtId="0" fontId="6" fillId="24" borderId="198" xfId="0" applyFont="1" applyFill="1" applyBorder="1" applyAlignment="1" applyProtection="1">
      <alignment horizontal="right" vertical="center"/>
      <protection locked="0"/>
    </xf>
    <xf numFmtId="0" fontId="6" fillId="24" borderId="192" xfId="0" applyFont="1" applyFill="1" applyBorder="1" applyAlignment="1" applyProtection="1">
      <alignment horizontal="right" vertical="center"/>
      <protection locked="0"/>
    </xf>
    <xf numFmtId="1" fontId="6" fillId="28" borderId="189" xfId="0" applyNumberFormat="1" applyFont="1" applyFill="1" applyBorder="1"/>
    <xf numFmtId="1" fontId="6" fillId="0" borderId="19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15" borderId="191" xfId="124" applyNumberFormat="1" applyFont="1" applyFill="1" applyBorder="1" applyAlignment="1" applyProtection="1">
      <alignment horizontal="right"/>
      <protection locked="0"/>
    </xf>
    <xf numFmtId="1" fontId="6" fillId="15" borderId="201" xfId="124" applyNumberFormat="1" applyFont="1" applyFill="1" applyBorder="1" applyAlignment="1" applyProtection="1">
      <alignment horizontal="right"/>
      <protection locked="0"/>
    </xf>
    <xf numFmtId="1" fontId="6" fillId="0" borderId="191" xfId="124" applyNumberFormat="1" applyFont="1" applyBorder="1" applyAlignment="1">
      <alignment horizontal="center"/>
    </xf>
    <xf numFmtId="1" fontId="6" fillId="0" borderId="189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191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191" xfId="124" applyNumberFormat="1" applyFont="1" applyBorder="1"/>
    <xf numFmtId="1" fontId="6" fillId="22" borderId="192" xfId="124" applyNumberFormat="1" applyFont="1" applyFill="1" applyBorder="1" applyAlignment="1">
      <alignment horizontal="right"/>
    </xf>
    <xf numFmtId="1" fontId="6" fillId="22" borderId="201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191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right" wrapText="1"/>
    </xf>
    <xf numFmtId="1" fontId="6" fillId="0" borderId="191" xfId="124" applyNumberFormat="1" applyFont="1" applyBorder="1" applyAlignment="1">
      <alignment wrapText="1"/>
    </xf>
    <xf numFmtId="1" fontId="6" fillId="0" borderId="191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189" xfId="124" applyNumberFormat="1" applyFont="1" applyBorder="1" applyAlignment="1">
      <alignment horizontal="center"/>
    </xf>
    <xf numFmtId="1" fontId="6" fillId="0" borderId="189" xfId="124" applyNumberFormat="1" applyFont="1" applyBorder="1"/>
    <xf numFmtId="1" fontId="6" fillId="22" borderId="191" xfId="124" applyNumberFormat="1" applyFont="1" applyFill="1" applyBorder="1" applyAlignment="1">
      <alignment horizontal="center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189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189" xfId="0" applyNumberFormat="1" applyFont="1" applyBorder="1"/>
    <xf numFmtId="1" fontId="6" fillId="0" borderId="201" xfId="0" applyNumberFormat="1" applyFont="1" applyBorder="1"/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189" xfId="124" applyNumberFormat="1" applyFont="1" applyBorder="1" applyAlignment="1">
      <alignment horizontal="left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7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07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1" borderId="189" xfId="0" applyNumberFormat="1" applyFont="1" applyFill="1" applyBorder="1"/>
    <xf numFmtId="1" fontId="6" fillId="0" borderId="202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191" xfId="126" applyNumberFormat="1" applyFont="1" applyBorder="1" applyProtection="1">
      <protection hidden="1"/>
    </xf>
    <xf numFmtId="1" fontId="6" fillId="22" borderId="189" xfId="171" applyNumberFormat="1" applyFont="1" applyFill="1" applyBorder="1" applyAlignment="1" applyProtection="1">
      <alignment horizontal="right"/>
    </xf>
    <xf numFmtId="1" fontId="6" fillId="15" borderId="201" xfId="171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>
      <alignment horizontal="center" vertical="center"/>
    </xf>
    <xf numFmtId="1" fontId="6" fillId="17" borderId="189" xfId="0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25" borderId="189" xfId="0" applyNumberFormat="1" applyFont="1" applyFill="1" applyBorder="1"/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189" xfId="125" applyNumberFormat="1" applyFont="1" applyBorder="1" applyAlignment="1">
      <alignment horizontal="right"/>
    </xf>
    <xf numFmtId="1" fontId="6" fillId="0" borderId="201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189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1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189" xfId="125" applyNumberFormat="1" applyFont="1" applyBorder="1" applyAlignment="1" applyProtection="1">
      <alignment horizontal="center" vertical="center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>
      <alignment horizontal="right"/>
    </xf>
    <xf numFmtId="1" fontId="6" fillId="0" borderId="201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1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201" xfId="126" applyNumberFormat="1" applyFont="1" applyBorder="1" applyAlignment="1" applyProtection="1">
      <alignment horizontal="center" vertical="center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201" xfId="14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>
      <alignment horizontal="right"/>
    </xf>
    <xf numFmtId="1" fontId="6" fillId="0" borderId="202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23" borderId="201" xfId="125" applyNumberFormat="1" applyFont="1" applyFill="1" applyBorder="1" applyAlignment="1" applyProtection="1">
      <alignment horizontal="right"/>
      <protection locked="0"/>
    </xf>
    <xf numFmtId="1" fontId="6" fillId="23" borderId="189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189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201" xfId="0" applyNumberFormat="1" applyFont="1" applyFill="1" applyBorder="1" applyAlignment="1">
      <alignment horizontal="center" vertical="center"/>
    </xf>
    <xf numFmtId="1" fontId="6" fillId="0" borderId="201" xfId="0" applyNumberFormat="1" applyFont="1" applyBorder="1" applyAlignment="1">
      <alignment horizontal="right"/>
    </xf>
    <xf numFmtId="1" fontId="6" fillId="23" borderId="201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4" xfId="126" applyNumberFormat="1" applyFont="1" applyBorder="1" applyAlignment="1" applyProtection="1">
      <alignment horizontal="center" vertical="center" wrapText="1"/>
      <protection hidden="1"/>
    </xf>
    <xf numFmtId="1" fontId="6" fillId="23" borderId="191" xfId="125" applyNumberFormat="1" applyFont="1" applyFill="1" applyBorder="1" applyAlignment="1" applyProtection="1">
      <alignment horizontal="right"/>
      <protection locked="0"/>
    </xf>
    <xf numFmtId="1" fontId="6" fillId="0" borderId="191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189" xfId="0" applyNumberFormat="1" applyFont="1" applyBorder="1" applyAlignment="1">
      <alignment horizontal="left" vertical="center"/>
    </xf>
    <xf numFmtId="0" fontId="29" fillId="0" borderId="189" xfId="0" applyFont="1" applyBorder="1" applyAlignment="1">
      <alignment horizontal="center" vertical="center"/>
    </xf>
    <xf numFmtId="0" fontId="29" fillId="0" borderId="201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89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0" borderId="194" xfId="124" quotePrefix="1" applyNumberFormat="1" applyFont="1" applyBorder="1"/>
    <xf numFmtId="1" fontId="6" fillId="0" borderId="189" xfId="124" quotePrefix="1" applyNumberFormat="1" applyFont="1" applyBorder="1" applyAlignment="1">
      <alignment horizontal="center"/>
    </xf>
    <xf numFmtId="1" fontId="6" fillId="0" borderId="189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2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189" xfId="0" applyNumberFormat="1" applyFont="1" applyFill="1" applyBorder="1" applyAlignment="1">
      <alignment horizontal="center" wrapText="1"/>
    </xf>
    <xf numFmtId="1" fontId="6" fillId="17" borderId="189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189" xfId="108" applyNumberFormat="1" applyFont="1" applyFill="1" applyBorder="1" applyAlignment="1">
      <alignment vertical="center" wrapText="1"/>
    </xf>
    <xf numFmtId="1" fontId="6" fillId="17" borderId="189" xfId="108" applyNumberFormat="1" applyFont="1" applyFill="1" applyBorder="1" applyAlignment="1">
      <alignment horizontal="right" wrapText="1"/>
    </xf>
    <xf numFmtId="1" fontId="6" fillId="17" borderId="201" xfId="108" applyNumberFormat="1" applyFont="1" applyFill="1" applyBorder="1" applyAlignment="1">
      <alignment horizontal="right" wrapText="1"/>
    </xf>
    <xf numFmtId="1" fontId="6" fillId="15" borderId="201" xfId="72" applyNumberFormat="1" applyFont="1" applyFill="1" applyBorder="1" applyAlignment="1" applyProtection="1">
      <alignment horizontal="right"/>
      <protection locked="0"/>
    </xf>
    <xf numFmtId="1" fontId="6" fillId="15" borderId="187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04" xfId="129" applyNumberFormat="1" applyFont="1" applyBorder="1" applyAlignment="1" applyProtection="1">
      <alignment horizontal="center" vertical="center" wrapText="1"/>
    </xf>
    <xf numFmtId="1" fontId="6" fillId="0" borderId="187" xfId="129" applyNumberFormat="1" applyFont="1" applyBorder="1" applyAlignment="1" applyProtection="1">
      <alignment horizontal="center" vertical="center" wrapText="1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/>
    <xf numFmtId="1" fontId="6" fillId="0" borderId="204" xfId="129" applyNumberFormat="1" applyFont="1" applyBorder="1" applyAlignment="1" applyProtection="1">
      <alignment horizontal="right"/>
    </xf>
    <xf numFmtId="1" fontId="6" fillId="0" borderId="187" xfId="129" applyNumberFormat="1" applyFont="1" applyBorder="1" applyAlignment="1" applyProtection="1">
      <alignment horizontal="right"/>
    </xf>
    <xf numFmtId="1" fontId="6" fillId="0" borderId="189" xfId="129" applyNumberFormat="1" applyFont="1" applyBorder="1" applyAlignment="1" applyProtection="1">
      <alignment horizontal="right"/>
    </xf>
    <xf numFmtId="1" fontId="32" fillId="0" borderId="187" xfId="0" applyNumberFormat="1" applyFont="1" applyBorder="1"/>
    <xf numFmtId="1" fontId="32" fillId="0" borderId="189" xfId="0" applyNumberFormat="1" applyFont="1" applyBorder="1"/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vertical="center"/>
    </xf>
    <xf numFmtId="1" fontId="6" fillId="0" borderId="204" xfId="174" applyNumberFormat="1" applyFont="1" applyFill="1" applyBorder="1" applyAlignment="1" applyProtection="1">
      <alignment horizontal="right"/>
    </xf>
    <xf numFmtId="1" fontId="6" fillId="0" borderId="187" xfId="178" applyNumberFormat="1" applyFont="1" applyFill="1" applyBorder="1" applyAlignment="1" applyProtection="1">
      <alignment horizontal="right"/>
    </xf>
    <xf numFmtId="1" fontId="6" fillId="0" borderId="189" xfId="178" applyNumberFormat="1" applyFont="1" applyFill="1" applyBorder="1" applyAlignment="1" applyProtection="1">
      <alignment horizontal="right"/>
    </xf>
    <xf numFmtId="0" fontId="6" fillId="0" borderId="187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14" fillId="0" borderId="189" xfId="0" applyFont="1" applyBorder="1" applyAlignment="1" applyProtection="1">
      <alignment horizontal="center" vertical="center" wrapText="1"/>
      <protection hidden="1"/>
    </xf>
    <xf numFmtId="0" fontId="20" fillId="0" borderId="189" xfId="0" applyFont="1" applyBorder="1" applyProtection="1">
      <protection hidden="1"/>
    </xf>
    <xf numFmtId="0" fontId="21" fillId="0" borderId="189" xfId="0" applyFont="1" applyBorder="1" applyAlignment="1" applyProtection="1">
      <alignment horizontal="center"/>
      <protection hidden="1"/>
    </xf>
    <xf numFmtId="1" fontId="21" fillId="0" borderId="189" xfId="0" applyNumberFormat="1" applyFont="1" applyBorder="1" applyAlignment="1" applyProtection="1">
      <alignment horizontal="center"/>
      <protection hidden="1"/>
    </xf>
    <xf numFmtId="0" fontId="22" fillId="0" borderId="189" xfId="0" applyFont="1" applyBorder="1" applyAlignment="1" applyProtection="1">
      <alignment horizontal="center"/>
      <protection hidden="1"/>
    </xf>
    <xf numFmtId="0" fontId="21" fillId="0" borderId="189" xfId="0" applyFont="1" applyBorder="1" applyProtection="1">
      <protection hidden="1"/>
    </xf>
    <xf numFmtId="0" fontId="13" fillId="14" borderId="194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82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1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4" fillId="0" borderId="169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74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1" fontId="6" fillId="0" borderId="45" xfId="0" applyNumberFormat="1" applyFont="1" applyBorder="1" applyAlignment="1" applyProtection="1">
      <alignment horizontal="left"/>
      <protection hidden="1"/>
    </xf>
    <xf numFmtId="1" fontId="6" fillId="0" borderId="60" xfId="0" quotePrefix="1" applyNumberFormat="1" applyFont="1" applyBorder="1" applyAlignment="1" applyProtection="1">
      <alignment horizontal="left"/>
      <protection hidden="1"/>
    </xf>
    <xf numFmtId="0" fontId="6" fillId="0" borderId="194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67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7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5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106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95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124" xfId="0" quotePrefix="1" applyNumberFormat="1" applyFont="1" applyBorder="1" applyAlignment="1" applyProtection="1">
      <alignment horizontal="center" vertical="center"/>
      <protection hidden="1"/>
    </xf>
    <xf numFmtId="1" fontId="6" fillId="0" borderId="151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5" xfId="0" applyNumberFormat="1" applyFont="1" applyBorder="1" applyAlignment="1" applyProtection="1">
      <alignment horizontal="left" vertical="center" wrapText="1"/>
      <protection hidden="1"/>
    </xf>
    <xf numFmtId="1" fontId="6" fillId="0" borderId="34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67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7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4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06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2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92" xfId="0" applyNumberFormat="1" applyFont="1" applyBorder="1" applyAlignment="1" applyProtection="1">
      <alignment horizontal="left" vertical="center" wrapText="1"/>
      <protection hidden="1"/>
    </xf>
    <xf numFmtId="0" fontId="6" fillId="0" borderId="189" xfId="0" applyFont="1" applyBorder="1" applyAlignment="1">
      <alignment horizontal="center" wrapText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70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124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7" xfId="0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67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22" borderId="191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0" xfId="124" applyNumberFormat="1" applyFont="1" applyBorder="1" applyAlignment="1">
      <alignment horizontal="center" vertical="center"/>
    </xf>
    <xf numFmtId="1" fontId="6" fillId="0" borderId="67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53" xfId="124" applyNumberFormat="1" applyFont="1" applyBorder="1" applyAlignment="1">
      <alignment horizontal="left" vertical="center"/>
    </xf>
    <xf numFmtId="1" fontId="6" fillId="0" borderId="92" xfId="124" applyNumberFormat="1" applyFont="1" applyBorder="1" applyAlignment="1">
      <alignment horizontal="left" vertical="center"/>
    </xf>
    <xf numFmtId="1" fontId="6" fillId="0" borderId="191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92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7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194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22" borderId="49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0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67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left"/>
    </xf>
    <xf numFmtId="1" fontId="6" fillId="0" borderId="92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191" xfId="0" applyNumberFormat="1" applyFont="1" applyFill="1" applyBorder="1"/>
    <xf numFmtId="1" fontId="6" fillId="22" borderId="192" xfId="0" applyNumberFormat="1" applyFont="1" applyFill="1" applyBorder="1"/>
    <xf numFmtId="1" fontId="6" fillId="0" borderId="191" xfId="0" applyNumberFormat="1" applyFont="1" applyBorder="1"/>
    <xf numFmtId="1" fontId="6" fillId="0" borderId="192" xfId="0" applyNumberFormat="1" applyFont="1" applyBorder="1"/>
    <xf numFmtId="1" fontId="6" fillId="22" borderId="50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191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0" xfId="125" applyNumberFormat="1" applyFont="1" applyBorder="1" applyAlignment="1">
      <alignment horizontal="center" vertical="center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10" fillId="0" borderId="129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49" xfId="124" quotePrefix="1" applyNumberFormat="1" applyFont="1" applyBorder="1" applyAlignment="1">
      <alignment horizontal="center" vertical="center" wrapText="1"/>
    </xf>
    <xf numFmtId="1" fontId="6" fillId="0" borderId="54" xfId="124" quotePrefix="1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7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45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0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91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86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126" xfId="108" applyNumberFormat="1" applyFont="1" applyBorder="1" applyAlignment="1">
      <alignment horizontal="center" vertical="center" wrapText="1"/>
    </xf>
    <xf numFmtId="1" fontId="6" fillId="0" borderId="106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" fontId="6" fillId="0" borderId="50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50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0" xfId="126" applyNumberFormat="1" applyFont="1" applyFill="1" applyBorder="1" applyAlignment="1">
      <alignment horizontal="left" vertical="center" wrapText="1"/>
    </xf>
    <xf numFmtId="1" fontId="6" fillId="20" borderId="26" xfId="126" applyNumberFormat="1" applyFont="1" applyFill="1" applyBorder="1" applyAlignment="1">
      <alignment horizontal="left" vertical="center" wrapText="1"/>
    </xf>
    <xf numFmtId="1" fontId="6" fillId="22" borderId="50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18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89" xfId="125" quotePrefix="1" applyNumberFormat="1" applyFont="1" applyBorder="1" applyAlignment="1" applyProtection="1">
      <alignment horizontal="center" vertical="center"/>
      <protection hidden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89" xfId="0" quotePrefix="1" applyNumberFormat="1" applyFont="1" applyBorder="1" applyAlignment="1">
      <alignment horizontal="center"/>
    </xf>
    <xf numFmtId="1" fontId="6" fillId="0" borderId="189" xfId="0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3" xfId="0" applyNumberFormat="1" applyFont="1" applyBorder="1" applyAlignment="1">
      <alignment horizontal="center"/>
    </xf>
    <xf numFmtId="1" fontId="6" fillId="0" borderId="189" xfId="125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10" fillId="0" borderId="194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70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80" xfId="125" applyNumberFormat="1" applyFont="1" applyBorder="1" applyAlignment="1">
      <alignment horizontal="center" vertical="center" wrapText="1"/>
    </xf>
    <xf numFmtId="1" fontId="6" fillId="0" borderId="53" xfId="125" applyNumberFormat="1" applyFont="1" applyBorder="1" applyAlignment="1">
      <alignment horizontal="left" vertical="center" wrapText="1"/>
    </xf>
    <xf numFmtId="1" fontId="6" fillId="0" borderId="92" xfId="125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7" xfId="125" applyNumberFormat="1" applyFont="1" applyBorder="1" applyAlignment="1">
      <alignment horizontal="center" vertical="center" wrapText="1"/>
    </xf>
    <xf numFmtId="168" fontId="6" fillId="0" borderId="196" xfId="124" applyNumberFormat="1" applyFont="1" applyBorder="1" applyAlignment="1">
      <alignment horizontal="center" vertical="center"/>
    </xf>
    <xf numFmtId="168" fontId="6" fillId="0" borderId="70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191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189" xfId="125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/>
    </xf>
    <xf numFmtId="1" fontId="6" fillId="17" borderId="189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>
      <alignment horizontal="center"/>
    </xf>
    <xf numFmtId="1" fontId="6" fillId="22" borderId="53" xfId="125" applyNumberFormat="1" applyFont="1" applyFill="1" applyBorder="1" applyAlignment="1" applyProtection="1">
      <alignment horizontal="left" vertical="center"/>
      <protection hidden="1"/>
    </xf>
    <xf numFmtId="1" fontId="6" fillId="22" borderId="92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67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0" quotePrefix="1" applyNumberFormat="1" applyFont="1" applyBorder="1" applyAlignment="1">
      <alignment horizontal="center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/>
      <protection hidden="1"/>
    </xf>
    <xf numFmtId="1" fontId="6" fillId="22" borderId="26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0" borderId="50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1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0" xfId="125" applyNumberFormat="1" applyFont="1" applyBorder="1" applyAlignment="1" applyProtection="1">
      <alignment horizontal="center" vertical="center"/>
      <protection hidden="1"/>
    </xf>
    <xf numFmtId="1" fontId="10" fillId="0" borderId="67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0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0" xfId="125" applyNumberFormat="1" applyFont="1" applyBorder="1" applyAlignment="1" applyProtection="1">
      <alignment horizontal="left" vertical="center" wrapText="1"/>
      <protection hidden="1"/>
    </xf>
    <xf numFmtId="1" fontId="6" fillId="22" borderId="53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92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1" fontId="10" fillId="0" borderId="67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3" xfId="125" applyFont="1" applyFill="1" applyBorder="1" applyAlignment="1">
      <alignment horizontal="left" vertical="center"/>
    </xf>
    <xf numFmtId="0" fontId="6" fillId="22" borderId="92" xfId="125" applyFont="1" applyFill="1" applyBorder="1" applyAlignment="1">
      <alignment horizontal="left" vertical="center"/>
    </xf>
    <xf numFmtId="1" fontId="6" fillId="0" borderId="191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/>
      <protection hidden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191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53" xfId="126" applyNumberFormat="1" applyFont="1" applyBorder="1" applyAlignment="1" applyProtection="1">
      <alignment horizontal="left"/>
      <protection hidden="1"/>
    </xf>
    <xf numFmtId="1" fontId="6" fillId="0" borderId="92" xfId="126" applyNumberFormat="1" applyFont="1" applyBorder="1" applyAlignment="1" applyProtection="1">
      <alignment horizontal="left"/>
      <protection hidden="1"/>
    </xf>
    <xf numFmtId="1" fontId="6" fillId="0" borderId="191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>
      <alignment horizontal="left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67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3" xfId="126" applyNumberFormat="1" applyFont="1" applyBorder="1" applyAlignment="1" applyProtection="1">
      <alignment horizontal="left" vertical="center" wrapText="1"/>
      <protection hidden="1"/>
    </xf>
    <xf numFmtId="1" fontId="6" fillId="0" borderId="92" xfId="126" applyNumberFormat="1" applyFont="1" applyBorder="1" applyAlignment="1" applyProtection="1">
      <alignment horizontal="left" vertical="center" wrapText="1"/>
      <protection hidden="1"/>
    </xf>
    <xf numFmtId="1" fontId="10" fillId="0" borderId="191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19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7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6" xfId="126" quotePrefix="1" applyNumberFormat="1" applyFont="1" applyBorder="1" applyAlignment="1" applyProtection="1">
      <alignment horizontal="center" vertical="center"/>
      <protection hidden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17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6" xfId="0" applyFont="1" applyBorder="1" applyAlignment="1">
      <alignment vertical="center" wrapText="1"/>
    </xf>
    <xf numFmtId="1" fontId="6" fillId="0" borderId="191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10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0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44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0" xfId="0" applyFont="1" applyBorder="1" applyAlignment="1">
      <alignment vertical="center" wrapText="1"/>
    </xf>
    <xf numFmtId="0" fontId="6" fillId="0" borderId="194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1" fontId="6" fillId="0" borderId="189" xfId="112" applyNumberFormat="1" applyFont="1" applyBorder="1" applyAlignment="1" applyProtection="1">
      <alignment horizontal="center" vertical="center"/>
      <protection hidden="1"/>
    </xf>
    <xf numFmtId="0" fontId="6" fillId="0" borderId="67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67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1" fontId="6" fillId="0" borderId="191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191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3" xfId="0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/>
    </xf>
    <xf numFmtId="1" fontId="6" fillId="0" borderId="67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0" borderId="189" xfId="0" quotePrefix="1" applyNumberFormat="1" applyFont="1" applyBorder="1" applyAlignment="1">
      <alignment horizontal="center" vertical="center"/>
    </xf>
    <xf numFmtId="1" fontId="6" fillId="0" borderId="191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189" xfId="108" applyNumberFormat="1" applyFont="1" applyBorder="1" applyAlignment="1">
      <alignment horizontal="center" vertical="center" wrapText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67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22" borderId="70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1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0" xfId="0" applyFont="1" applyBorder="1" applyAlignment="1">
      <alignment horizontal="center" vertical="center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0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3" xfId="0" applyFont="1" applyBorder="1" applyAlignment="1">
      <alignment horizontal="left" vertical="center" wrapText="1"/>
    </xf>
    <xf numFmtId="0" fontId="29" fillId="0" borderId="92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96" xfId="0" applyFont="1" applyBorder="1" applyAlignment="1">
      <alignment horizontal="left" vertical="center" wrapText="1"/>
    </xf>
    <xf numFmtId="0" fontId="29" fillId="0" borderId="70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7" xfId="0" applyNumberFormat="1" applyFont="1" applyFill="1" applyBorder="1" applyAlignment="1">
      <alignment horizontal="left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67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7" xfId="125" applyNumberFormat="1" applyFont="1" applyFill="1" applyBorder="1" applyAlignment="1">
      <alignment horizontal="left" vertical="center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10" fillId="0" borderId="67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0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90" xfId="125" applyNumberFormat="1" applyFont="1" applyBorder="1" applyAlignment="1" applyProtection="1">
      <alignment horizontal="center" vertical="center" wrapText="1"/>
      <protection hidden="1"/>
    </xf>
    <xf numFmtId="1" fontId="6" fillId="22" borderId="206" xfId="0" applyNumberFormat="1" applyFont="1" applyFill="1" applyBorder="1" applyAlignment="1">
      <alignment horizontal="center" vertical="center" wrapText="1"/>
    </xf>
    <xf numFmtId="1" fontId="6" fillId="22" borderId="53" xfId="0" applyNumberFormat="1" applyFont="1" applyFill="1" applyBorder="1" applyAlignment="1">
      <alignment horizontal="left" wrapText="1"/>
    </xf>
    <xf numFmtId="1" fontId="6" fillId="22" borderId="92" xfId="0" applyNumberFormat="1" applyFont="1" applyFill="1" applyBorder="1" applyAlignment="1">
      <alignment horizontal="left" wrapText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6" fillId="22" borderId="106" xfId="0" applyNumberFormat="1" applyFont="1" applyFill="1" applyBorder="1" applyAlignment="1">
      <alignment horizontal="center" vertical="center" wrapText="1"/>
    </xf>
    <xf numFmtId="1" fontId="6" fillId="22" borderId="53" xfId="0" applyNumberFormat="1" applyFont="1" applyFill="1" applyBorder="1" applyAlignment="1">
      <alignment horizontal="left"/>
    </xf>
    <xf numFmtId="1" fontId="6" fillId="22" borderId="92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0" xfId="0" applyNumberFormat="1" applyFont="1" applyFill="1" applyBorder="1" applyAlignment="1">
      <alignment horizontal="center" vertical="center" wrapText="1"/>
    </xf>
    <xf numFmtId="1" fontId="10" fillId="22" borderId="189" xfId="0" applyNumberFormat="1" applyFont="1" applyFill="1" applyBorder="1" applyAlignment="1">
      <alignment horizontal="center" vertical="center" wrapText="1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67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5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191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0" borderId="70" xfId="0" applyNumberFormat="1" applyFont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191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67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189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4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0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87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10" fillId="0" borderId="189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91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70" xfId="0" applyFont="1" applyBorder="1" applyAlignment="1">
      <alignment horizontal="center" vertical="center"/>
    </xf>
    <xf numFmtId="0" fontId="19" fillId="0" borderId="191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87" xfId="0" applyFont="1" applyBorder="1" applyAlignment="1" applyProtection="1">
      <alignment horizontal="center" vertical="center"/>
      <protection hidden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3" sqref="I13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2" t="s">
        <v>0</v>
      </c>
      <c r="B1" s="1593"/>
      <c r="C1" s="1594" t="s">
        <v>1</v>
      </c>
      <c r="D1" s="1594"/>
      <c r="E1" s="1594"/>
      <c r="F1" s="1594"/>
      <c r="G1" s="1594"/>
      <c r="H1" s="1594"/>
    </row>
    <row r="2" spans="1:33" ht="18" customHeight="1" x14ac:dyDescent="0.2">
      <c r="A2" s="1364" t="s">
        <v>2</v>
      </c>
      <c r="B2" s="1365" t="s">
        <v>3</v>
      </c>
      <c r="C2" s="1366">
        <v>0</v>
      </c>
      <c r="D2" s="861">
        <v>9</v>
      </c>
      <c r="E2" s="861">
        <v>1</v>
      </c>
      <c r="F2" s="861">
        <v>0</v>
      </c>
      <c r="G2" s="862">
        <v>1</v>
      </c>
      <c r="H2" s="863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67" t="s">
        <v>4</v>
      </c>
      <c r="B3" s="1368" t="s">
        <v>5</v>
      </c>
      <c r="C3" s="1366">
        <v>1</v>
      </c>
      <c r="D3" s="861">
        <v>2</v>
      </c>
      <c r="E3" s="861">
        <v>1</v>
      </c>
      <c r="F3" s="861">
        <v>3</v>
      </c>
      <c r="G3" s="862">
        <v>4</v>
      </c>
      <c r="H3" s="1369">
        <v>7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8"/>
      <c r="B4" s="97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8"/>
      <c r="B5" s="97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67" t="s">
        <v>6</v>
      </c>
      <c r="B6" s="1370" t="s">
        <v>7</v>
      </c>
      <c r="C6" s="1371">
        <v>1</v>
      </c>
      <c r="D6" s="862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67" t="s">
        <v>8</v>
      </c>
      <c r="B7" s="1372">
        <v>2025</v>
      </c>
      <c r="AG7" s="13">
        <f>SUM(AG2:AG6)</f>
        <v>0</v>
      </c>
    </row>
    <row r="8" spans="1:33" ht="24" customHeight="1" x14ac:dyDescent="0.15">
      <c r="A8" s="1373"/>
      <c r="B8" s="1374"/>
    </row>
    <row r="9" spans="1:33" ht="20.100000000000001" customHeight="1" x14ac:dyDescent="0.15">
      <c r="A9" s="1595" t="s">
        <v>9</v>
      </c>
      <c r="B9" s="1596"/>
    </row>
    <row r="10" spans="1:33" ht="12" customHeight="1" x14ac:dyDescent="0.2">
      <c r="A10" s="14"/>
      <c r="B10" s="15"/>
    </row>
    <row r="11" spans="1:33" ht="29.25" customHeight="1" x14ac:dyDescent="0.2">
      <c r="A11" s="1375" t="s">
        <v>10</v>
      </c>
      <c r="B11" s="1376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80" t="s">
        <v>15</v>
      </c>
      <c r="B12" s="1376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377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97" t="s">
        <v>22</v>
      </c>
      <c r="B15" s="1598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89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0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1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23" zoomScale="77" zoomScaleNormal="77" workbookViewId="0">
      <selection activeCell="A137" sqref="A137:XFD137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28" t="s">
        <v>50</v>
      </c>
      <c r="B6" s="1628"/>
      <c r="C6" s="1628"/>
      <c r="D6" s="1628"/>
      <c r="E6" s="1628"/>
      <c r="F6" s="1628"/>
      <c r="G6" s="1628"/>
      <c r="H6" s="1628"/>
      <c r="I6" s="1628"/>
      <c r="J6" s="1628"/>
      <c r="K6" s="1628"/>
      <c r="L6" s="1628"/>
      <c r="M6" s="1628"/>
      <c r="N6" s="1628"/>
      <c r="O6" s="1628"/>
      <c r="P6" s="1628"/>
    </row>
    <row r="7" spans="1:103" ht="17.100000000000001" customHeight="1" x14ac:dyDescent="0.15">
      <c r="A7" s="1601" t="s">
        <v>51</v>
      </c>
      <c r="B7" s="1602"/>
      <c r="C7" s="1602"/>
      <c r="D7" s="1602"/>
      <c r="E7" s="1602"/>
      <c r="F7" s="1602"/>
      <c r="G7" s="1602"/>
      <c r="H7" s="35"/>
    </row>
    <row r="8" spans="1:103" ht="17.100000000000001" customHeight="1" x14ac:dyDescent="0.15">
      <c r="A8" s="1605" t="s">
        <v>52</v>
      </c>
      <c r="B8" s="1606"/>
      <c r="C8" s="1606"/>
      <c r="D8" s="1606"/>
      <c r="E8" s="1606"/>
      <c r="F8" s="1606"/>
      <c r="G8" s="1606"/>
      <c r="H8" s="1606"/>
      <c r="I8" s="1606"/>
      <c r="J8" s="1606"/>
      <c r="K8" s="1606"/>
      <c r="L8" s="1606"/>
      <c r="M8" s="1606"/>
      <c r="N8" s="219"/>
    </row>
    <row r="9" spans="1:103" ht="15" customHeight="1" x14ac:dyDescent="0.15">
      <c r="A9" s="1620" t="s">
        <v>53</v>
      </c>
      <c r="B9" s="1621"/>
      <c r="C9" s="1624" t="s">
        <v>54</v>
      </c>
      <c r="D9" s="1672" t="s">
        <v>55</v>
      </c>
      <c r="E9" s="1673"/>
      <c r="F9" s="1673"/>
      <c r="G9" s="1673"/>
      <c r="H9" s="1673"/>
      <c r="I9" s="1673"/>
      <c r="J9" s="1673"/>
      <c r="K9" s="1673"/>
      <c r="L9" s="1673"/>
      <c r="M9" s="1673"/>
      <c r="N9" s="1673"/>
      <c r="O9" s="1673"/>
      <c r="P9" s="1674"/>
      <c r="Q9" s="1626" t="s">
        <v>56</v>
      </c>
      <c r="R9" s="1648" t="s">
        <v>57</v>
      </c>
      <c r="S9" s="1650"/>
      <c r="T9" s="1653" t="s">
        <v>58</v>
      </c>
      <c r="U9" s="1648" t="s">
        <v>59</v>
      </c>
      <c r="V9" s="1649"/>
      <c r="W9" s="1650"/>
      <c r="X9" s="1651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22"/>
      <c r="B10" s="1623"/>
      <c r="C10" s="1625"/>
      <c r="D10" s="1379" t="s">
        <v>61</v>
      </c>
      <c r="E10" s="817" t="s">
        <v>62</v>
      </c>
      <c r="F10" s="817" t="s">
        <v>63</v>
      </c>
      <c r="G10" s="818" t="s">
        <v>64</v>
      </c>
      <c r="H10" s="818" t="s">
        <v>65</v>
      </c>
      <c r="I10" s="818" t="s">
        <v>66</v>
      </c>
      <c r="J10" s="818" t="s">
        <v>67</v>
      </c>
      <c r="K10" s="818" t="s">
        <v>68</v>
      </c>
      <c r="L10" s="818" t="s">
        <v>69</v>
      </c>
      <c r="M10" s="695" t="s">
        <v>70</v>
      </c>
      <c r="N10" s="818" t="s">
        <v>71</v>
      </c>
      <c r="O10" s="1380" t="s">
        <v>72</v>
      </c>
      <c r="P10" s="819" t="s">
        <v>73</v>
      </c>
      <c r="Q10" s="1627"/>
      <c r="R10" s="1234" t="s">
        <v>74</v>
      </c>
      <c r="S10" s="1232" t="s">
        <v>75</v>
      </c>
      <c r="T10" s="1654"/>
      <c r="U10" s="1381" t="s">
        <v>76</v>
      </c>
      <c r="V10" s="1235" t="s">
        <v>77</v>
      </c>
      <c r="W10" s="1236" t="s">
        <v>78</v>
      </c>
      <c r="X10" s="1652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11" t="s">
        <v>79</v>
      </c>
      <c r="B11" s="1612"/>
      <c r="C11" s="260">
        <f>SUM(D11:M11)</f>
        <v>109</v>
      </c>
      <c r="D11" s="262">
        <v>0</v>
      </c>
      <c r="E11" s="262">
        <v>0</v>
      </c>
      <c r="F11" s="262">
        <v>5</v>
      </c>
      <c r="G11" s="262">
        <v>12</v>
      </c>
      <c r="H11" s="262">
        <v>35</v>
      </c>
      <c r="I11" s="262">
        <v>22</v>
      </c>
      <c r="J11" s="262">
        <v>18</v>
      </c>
      <c r="K11" s="262">
        <v>13</v>
      </c>
      <c r="L11" s="262">
        <v>4</v>
      </c>
      <c r="M11" s="262">
        <v>0</v>
      </c>
      <c r="N11" s="631"/>
      <c r="O11" s="631"/>
      <c r="P11" s="820"/>
      <c r="Q11" s="294">
        <v>25</v>
      </c>
      <c r="R11" s="261">
        <v>0</v>
      </c>
      <c r="S11" s="265">
        <v>7</v>
      </c>
      <c r="T11" s="265">
        <v>0</v>
      </c>
      <c r="U11" s="262">
        <v>0</v>
      </c>
      <c r="V11" s="921"/>
      <c r="W11" s="308">
        <v>0</v>
      </c>
      <c r="X11" s="308">
        <v>0</v>
      </c>
      <c r="Y11" s="1095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23" t="str">
        <f>IF(AND($C11&lt;&gt;0,Q11=""),"* No olvide ingresar la variable "&amp;Q$9&amp;""&amp;". Digite CERO si no tiene.",IF(Q11&gt;$C11,"* El Número de Pueblos Originarios no puede superar el Total. ",""))</f>
        <v/>
      </c>
      <c r="CB11" s="1323" t="str">
        <f>IF(AND($C11&gt;0,R11=""),"* No olvide ingresar la variable "&amp;R$9&amp;""&amp;" Menor de 20 años. Digite CERO si no tiene datos.","")</f>
        <v/>
      </c>
      <c r="CC11" s="1323" t="str">
        <f>IF(AND($C11&gt;0,S11=""),"*No olvide ingresar la variable "&amp;R$9&amp;" 20 años y más. Digite CERO si no tiene datos.", "")</f>
        <v/>
      </c>
      <c r="CD11" s="1323" t="str">
        <f>IF(($R11)&gt;SUM(D11+E11), "*El total de migrantes menor de 20 años no puede ser mayor a la suma de rangos etarios menor de 20 años.", "")</f>
        <v/>
      </c>
      <c r="CE11" s="1323" t="str">
        <f>IF(AND($C11&gt;0,T11=""),"* No olvide ingresar la variable "&amp;T$9&amp;""&amp;". Digite CERO si no tiene","")</f>
        <v/>
      </c>
      <c r="CF11" s="1323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324"/>
      <c r="CH11" s="1323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323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323" t="str">
        <f>IF(($S11)&gt;SUM(F11:M11), "*El total de migrantes de 20 años y más no puede ser mayor a la suma de rangos etarios de 20 años y más.", "")</f>
        <v/>
      </c>
      <c r="CP11" s="1038">
        <f>IF(AND($C11&lt;&gt;0,$Q11=""),1,IF($Q11&gt;$C11,1,0))</f>
        <v>0</v>
      </c>
      <c r="CQ11" s="1038">
        <f>IF(AND($C11&lt;&gt;0,ISBLANK($R11)),1,0)</f>
        <v>0</v>
      </c>
      <c r="CR11" s="1038">
        <f>IF(AND($C11&lt;&gt;0,ISBLANK($S11)),1,0)</f>
        <v>0</v>
      </c>
      <c r="CS11" s="1038">
        <f>IF(($R11)&gt;SUM(D11+E11),1,0)</f>
        <v>0</v>
      </c>
      <c r="CT11" s="1038">
        <f>IF(AND($C11&lt;&gt;0,$T11=""),1,IF($T11&gt;$C11,1,0))</f>
        <v>0</v>
      </c>
      <c r="CU11" s="1038">
        <f>IF(AND($C11&lt;&gt;0,$U11=""),1,IF($U11&gt;$C11,1,0))</f>
        <v>0</v>
      </c>
      <c r="CV11" s="1077"/>
      <c r="CW11" s="1038">
        <f t="shared" ref="CW11:CW24" si="3">IF(AND($C11&lt;&gt;0,W11=""),1,IF(W11&gt;$C11,1,0))</f>
        <v>0</v>
      </c>
      <c r="CX11" s="1038">
        <f t="shared" ref="CX11:CX24" si="4">IF(AND($C11&lt;&gt;0,X11=""),1,IF(X11&gt;$C11,1,0))</f>
        <v>0</v>
      </c>
      <c r="CY11" s="1038">
        <f>IF(($S11)&gt;SUM(F11:M11),1,0)</f>
        <v>0</v>
      </c>
    </row>
    <row r="12" spans="1:103" ht="15" customHeight="1" x14ac:dyDescent="0.15">
      <c r="A12" s="1237" t="s">
        <v>80</v>
      </c>
      <c r="B12" s="1238"/>
      <c r="C12" s="266">
        <f t="shared" ref="C12:C18" si="5">SUM(D12:M12)</f>
        <v>101</v>
      </c>
      <c r="D12" s="262">
        <v>0</v>
      </c>
      <c r="E12" s="262">
        <v>1</v>
      </c>
      <c r="F12" s="262">
        <v>10</v>
      </c>
      <c r="G12" s="262">
        <v>25</v>
      </c>
      <c r="H12" s="262">
        <v>40</v>
      </c>
      <c r="I12" s="262">
        <v>14</v>
      </c>
      <c r="J12" s="262">
        <v>6</v>
      </c>
      <c r="K12" s="262">
        <v>5</v>
      </c>
      <c r="L12" s="262">
        <v>0</v>
      </c>
      <c r="M12" s="262">
        <v>0</v>
      </c>
      <c r="N12" s="632"/>
      <c r="O12" s="632"/>
      <c r="P12" s="271"/>
      <c r="Q12" s="1007">
        <v>20</v>
      </c>
      <c r="R12" s="745">
        <v>0</v>
      </c>
      <c r="S12" s="272">
        <v>2</v>
      </c>
      <c r="T12" s="272">
        <v>0</v>
      </c>
      <c r="U12" s="267">
        <v>0</v>
      </c>
      <c r="V12" s="925"/>
      <c r="W12" s="683">
        <v>0</v>
      </c>
      <c r="X12" s="683">
        <v>0</v>
      </c>
      <c r="Y12" s="1095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23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23" t="str">
        <f t="shared" ref="CB12:CB24" si="7">IF(AND($C12&gt;0,R12=""),"* No olvide ingresar la variable "&amp;R$9&amp;""&amp;" Menor de 20 años. Digite CERO si no tiene datos.","")</f>
        <v/>
      </c>
      <c r="CC12" s="1323" t="str">
        <f t="shared" ref="CC12:CC24" si="8">IF(AND($C12&gt;0,S12=""),"*No olvide ingresar la variable "&amp;R$9&amp;" 20 años y más. Digite CERO si no tiene datos.", "")</f>
        <v/>
      </c>
      <c r="CD12" s="1323" t="str">
        <f t="shared" ref="CD12:CD31" si="9">IF(($R12)&gt;SUM(D12+E12), "*El total de migrantes menor de 20 años no puede ser mayor a la suma de rangos etarios menor de 20 años.", "")</f>
        <v/>
      </c>
      <c r="CE12" s="1323" t="str">
        <f t="shared" ref="CE12:CE24" si="10">IF(AND($C12&gt;0,T12=""),"* No olvide ingresar la variable "&amp;T$9&amp;""&amp;". Digite CERO si no tiene","")</f>
        <v/>
      </c>
      <c r="CF12" s="1323" t="str">
        <f t="shared" si="0"/>
        <v/>
      </c>
      <c r="CG12" s="1324"/>
      <c r="CH12" s="1323" t="str">
        <f t="shared" si="1"/>
        <v/>
      </c>
      <c r="CI12" s="1323" t="str">
        <f t="shared" si="2"/>
        <v/>
      </c>
      <c r="CJ12" s="1323" t="str">
        <f t="shared" ref="CJ12:CJ31" si="11">IF(($S12)&gt;SUM(F12:M12), "*El total de migrantes de 20 años y más no puede ser mayor a la suma de rangos etarios de 20 años y más.", "")</f>
        <v/>
      </c>
      <c r="CP12" s="1038">
        <f t="shared" ref="CP12:CP31" si="12">IF(AND($C12&lt;&gt;0,$Q12=""),1,IF($Q12&gt;$C12,1,0))</f>
        <v>0</v>
      </c>
      <c r="CQ12" s="1038">
        <f t="shared" ref="CQ12:CQ24" si="13">IF(AND($C12&lt;&gt;0,ISBLANK($R12)),1,0)</f>
        <v>0</v>
      </c>
      <c r="CR12" s="1038">
        <f t="shared" ref="CR12:CR31" si="14">IF(AND($C12&lt;&gt;0,ISBLANK($S12)),1,0)</f>
        <v>0</v>
      </c>
      <c r="CS12" s="1038">
        <f t="shared" ref="CS12:CS31" si="15">IF(($R12)&gt;SUM(D12+E12),1,0)</f>
        <v>0</v>
      </c>
      <c r="CT12" s="1038">
        <f t="shared" ref="CT12:CT31" si="16">IF(AND($C12&lt;&gt;0,$T12=""),1,IF($T12&gt;$C12,1,0))</f>
        <v>0</v>
      </c>
      <c r="CU12" s="1038">
        <f t="shared" ref="CU12:CU31" si="17">IF(AND($C12&lt;&gt;0,$U12=""),1,IF($U12&gt;$C12,1,0))</f>
        <v>0</v>
      </c>
      <c r="CV12" s="1077"/>
      <c r="CW12" s="1038">
        <f t="shared" si="3"/>
        <v>0</v>
      </c>
      <c r="CX12" s="1038">
        <f t="shared" si="4"/>
        <v>0</v>
      </c>
      <c r="CY12" s="1038">
        <f t="shared" ref="CY12:CY31" si="18">IF(($S12)&gt;SUM(F12:M12),1,0)</f>
        <v>0</v>
      </c>
    </row>
    <row r="13" spans="1:103" ht="15" customHeight="1" x14ac:dyDescent="0.15">
      <c r="A13" s="1675" t="s">
        <v>81</v>
      </c>
      <c r="B13" s="38" t="s">
        <v>82</v>
      </c>
      <c r="C13" s="273">
        <f t="shared" si="5"/>
        <v>331</v>
      </c>
      <c r="D13" s="261">
        <v>11</v>
      </c>
      <c r="E13" s="1382">
        <v>67</v>
      </c>
      <c r="F13" s="1382">
        <v>84</v>
      </c>
      <c r="G13" s="1382">
        <v>64</v>
      </c>
      <c r="H13" s="1382">
        <v>60</v>
      </c>
      <c r="I13" s="1382">
        <v>31</v>
      </c>
      <c r="J13" s="1382">
        <v>13</v>
      </c>
      <c r="K13" s="1382">
        <v>1</v>
      </c>
      <c r="L13" s="1382">
        <v>0</v>
      </c>
      <c r="M13" s="1382">
        <v>0</v>
      </c>
      <c r="N13" s="633"/>
      <c r="O13" s="633"/>
      <c r="P13" s="821"/>
      <c r="Q13" s="1008">
        <v>54</v>
      </c>
      <c r="R13" s="288">
        <v>3</v>
      </c>
      <c r="S13" s="276">
        <v>19</v>
      </c>
      <c r="T13" s="276">
        <v>0</v>
      </c>
      <c r="U13" s="274">
        <v>0</v>
      </c>
      <c r="V13" s="1326"/>
      <c r="W13" s="684">
        <v>0</v>
      </c>
      <c r="X13" s="684">
        <v>0</v>
      </c>
      <c r="Y13" s="1095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23" t="str">
        <f t="shared" si="6"/>
        <v/>
      </c>
      <c r="CB13" s="1323" t="str">
        <f t="shared" si="7"/>
        <v/>
      </c>
      <c r="CC13" s="1323" t="str">
        <f t="shared" si="8"/>
        <v/>
      </c>
      <c r="CD13" s="1323" t="str">
        <f t="shared" si="9"/>
        <v/>
      </c>
      <c r="CE13" s="1323" t="str">
        <f t="shared" si="10"/>
        <v/>
      </c>
      <c r="CF13" s="1323" t="str">
        <f t="shared" si="0"/>
        <v/>
      </c>
      <c r="CG13" s="1324"/>
      <c r="CH13" s="1323" t="str">
        <f t="shared" si="1"/>
        <v/>
      </c>
      <c r="CI13" s="1323" t="str">
        <f t="shared" si="2"/>
        <v/>
      </c>
      <c r="CJ13" s="1323" t="str">
        <f t="shared" si="11"/>
        <v/>
      </c>
      <c r="CP13" s="1038">
        <f t="shared" si="12"/>
        <v>0</v>
      </c>
      <c r="CQ13" s="1038">
        <f t="shared" si="13"/>
        <v>0</v>
      </c>
      <c r="CR13" s="1038">
        <f t="shared" si="14"/>
        <v>0</v>
      </c>
      <c r="CS13" s="1038">
        <f t="shared" si="15"/>
        <v>0</v>
      </c>
      <c r="CT13" s="1038">
        <f t="shared" si="16"/>
        <v>0</v>
      </c>
      <c r="CU13" s="1038">
        <f t="shared" si="17"/>
        <v>0</v>
      </c>
      <c r="CV13" s="1077"/>
      <c r="CW13" s="1038">
        <f t="shared" si="3"/>
        <v>0</v>
      </c>
      <c r="CX13" s="1038">
        <f t="shared" si="4"/>
        <v>0</v>
      </c>
      <c r="CY13" s="1038">
        <f t="shared" si="18"/>
        <v>0</v>
      </c>
    </row>
    <row r="14" spans="1:103" ht="15" customHeight="1" x14ac:dyDescent="0.15">
      <c r="A14" s="1688"/>
      <c r="B14" s="39" t="s">
        <v>83</v>
      </c>
      <c r="C14" s="273">
        <f t="shared" si="5"/>
        <v>207</v>
      </c>
      <c r="D14" s="288">
        <v>0</v>
      </c>
      <c r="E14" s="282">
        <v>1</v>
      </c>
      <c r="F14" s="278">
        <v>11</v>
      </c>
      <c r="G14" s="277">
        <v>19</v>
      </c>
      <c r="H14" s="277">
        <v>33</v>
      </c>
      <c r="I14" s="277">
        <v>35</v>
      </c>
      <c r="J14" s="277">
        <v>48</v>
      </c>
      <c r="K14" s="277">
        <v>40</v>
      </c>
      <c r="L14" s="277">
        <v>20</v>
      </c>
      <c r="M14" s="277">
        <v>0</v>
      </c>
      <c r="N14" s="634"/>
      <c r="O14" s="634"/>
      <c r="P14" s="822"/>
      <c r="Q14" s="1008">
        <v>44</v>
      </c>
      <c r="R14" s="309">
        <v>0</v>
      </c>
      <c r="S14" s="280">
        <v>6</v>
      </c>
      <c r="T14" s="280">
        <v>0</v>
      </c>
      <c r="U14" s="274">
        <v>0</v>
      </c>
      <c r="V14" s="923"/>
      <c r="W14" s="310">
        <v>0</v>
      </c>
      <c r="X14" s="310">
        <v>0</v>
      </c>
      <c r="Y14" s="1095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23" t="str">
        <f t="shared" si="6"/>
        <v/>
      </c>
      <c r="CB14" s="1323" t="str">
        <f t="shared" si="7"/>
        <v/>
      </c>
      <c r="CC14" s="1323" t="str">
        <f t="shared" si="8"/>
        <v/>
      </c>
      <c r="CD14" s="1323" t="str">
        <f t="shared" si="9"/>
        <v/>
      </c>
      <c r="CE14" s="1323" t="str">
        <f t="shared" si="10"/>
        <v/>
      </c>
      <c r="CF14" s="1323" t="str">
        <f t="shared" si="0"/>
        <v/>
      </c>
      <c r="CG14" s="1324"/>
      <c r="CH14" s="1323" t="str">
        <f t="shared" si="1"/>
        <v/>
      </c>
      <c r="CI14" s="1323" t="str">
        <f t="shared" si="2"/>
        <v/>
      </c>
      <c r="CJ14" s="1323" t="str">
        <f t="shared" si="11"/>
        <v/>
      </c>
      <c r="CP14" s="1038">
        <f t="shared" si="12"/>
        <v>0</v>
      </c>
      <c r="CQ14" s="1038">
        <f t="shared" si="13"/>
        <v>0</v>
      </c>
      <c r="CR14" s="1038">
        <f t="shared" si="14"/>
        <v>0</v>
      </c>
      <c r="CS14" s="1038">
        <f t="shared" si="15"/>
        <v>0</v>
      </c>
      <c r="CT14" s="1038">
        <f t="shared" si="16"/>
        <v>0</v>
      </c>
      <c r="CU14" s="1038">
        <f t="shared" si="17"/>
        <v>0</v>
      </c>
      <c r="CV14" s="1077"/>
      <c r="CW14" s="1038">
        <f t="shared" si="3"/>
        <v>0</v>
      </c>
      <c r="CX14" s="1038">
        <f t="shared" si="4"/>
        <v>0</v>
      </c>
      <c r="CY14" s="1038">
        <f t="shared" si="18"/>
        <v>0</v>
      </c>
    </row>
    <row r="15" spans="1:103" ht="15" customHeight="1" x14ac:dyDescent="0.15">
      <c r="A15" s="1688"/>
      <c r="B15" s="39" t="s">
        <v>84</v>
      </c>
      <c r="C15" s="273">
        <f t="shared" si="5"/>
        <v>271</v>
      </c>
      <c r="D15" s="309">
        <v>10</v>
      </c>
      <c r="E15" s="278">
        <v>70</v>
      </c>
      <c r="F15" s="277">
        <v>56</v>
      </c>
      <c r="G15" s="277">
        <v>63</v>
      </c>
      <c r="H15" s="277">
        <v>46</v>
      </c>
      <c r="I15" s="277">
        <v>17</v>
      </c>
      <c r="J15" s="277">
        <v>7</v>
      </c>
      <c r="K15" s="277">
        <v>1</v>
      </c>
      <c r="L15" s="277">
        <v>1</v>
      </c>
      <c r="M15" s="277">
        <v>0</v>
      </c>
      <c r="N15" s="634"/>
      <c r="O15" s="634"/>
      <c r="P15" s="822"/>
      <c r="Q15" s="1008">
        <v>56</v>
      </c>
      <c r="R15" s="309">
        <v>1</v>
      </c>
      <c r="S15" s="280">
        <v>4</v>
      </c>
      <c r="T15" s="280">
        <v>0</v>
      </c>
      <c r="U15" s="274">
        <v>0</v>
      </c>
      <c r="V15" s="923"/>
      <c r="W15" s="310">
        <v>0</v>
      </c>
      <c r="X15" s="310">
        <v>0</v>
      </c>
      <c r="Y15" s="1095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23" t="str">
        <f t="shared" si="6"/>
        <v/>
      </c>
      <c r="CB15" s="1323" t="str">
        <f t="shared" si="7"/>
        <v/>
      </c>
      <c r="CC15" s="1323" t="str">
        <f t="shared" si="8"/>
        <v/>
      </c>
      <c r="CD15" s="1323" t="str">
        <f t="shared" si="9"/>
        <v/>
      </c>
      <c r="CE15" s="1323" t="str">
        <f t="shared" si="10"/>
        <v/>
      </c>
      <c r="CF15" s="1323" t="str">
        <f t="shared" si="0"/>
        <v/>
      </c>
      <c r="CG15" s="1324"/>
      <c r="CH15" s="1323" t="str">
        <f t="shared" si="1"/>
        <v/>
      </c>
      <c r="CI15" s="1323" t="str">
        <f t="shared" si="2"/>
        <v/>
      </c>
      <c r="CJ15" s="1323" t="str">
        <f t="shared" si="11"/>
        <v/>
      </c>
      <c r="CP15" s="1038">
        <f t="shared" si="12"/>
        <v>0</v>
      </c>
      <c r="CQ15" s="1038">
        <f t="shared" si="13"/>
        <v>0</v>
      </c>
      <c r="CR15" s="1038">
        <f t="shared" si="14"/>
        <v>0</v>
      </c>
      <c r="CS15" s="1038">
        <f t="shared" si="15"/>
        <v>0</v>
      </c>
      <c r="CT15" s="1038">
        <f t="shared" si="16"/>
        <v>0</v>
      </c>
      <c r="CU15" s="1038">
        <f t="shared" si="17"/>
        <v>0</v>
      </c>
      <c r="CV15" s="1077"/>
      <c r="CW15" s="1038">
        <f t="shared" si="3"/>
        <v>0</v>
      </c>
      <c r="CX15" s="1038">
        <f t="shared" si="4"/>
        <v>0</v>
      </c>
      <c r="CY15" s="1038">
        <f t="shared" si="18"/>
        <v>0</v>
      </c>
    </row>
    <row r="16" spans="1:103" ht="15" customHeight="1" x14ac:dyDescent="0.15">
      <c r="A16" s="1688"/>
      <c r="B16" s="39" t="s">
        <v>85</v>
      </c>
      <c r="C16" s="273">
        <f t="shared" si="5"/>
        <v>565</v>
      </c>
      <c r="D16" s="309">
        <v>2</v>
      </c>
      <c r="E16" s="277">
        <v>63</v>
      </c>
      <c r="F16" s="277">
        <v>81</v>
      </c>
      <c r="G16" s="277">
        <v>107</v>
      </c>
      <c r="H16" s="277">
        <v>123</v>
      </c>
      <c r="I16" s="277">
        <v>75</v>
      </c>
      <c r="J16" s="277">
        <v>58</v>
      </c>
      <c r="K16" s="277">
        <v>37</v>
      </c>
      <c r="L16" s="277">
        <v>19</v>
      </c>
      <c r="M16" s="277">
        <v>0</v>
      </c>
      <c r="N16" s="635"/>
      <c r="O16" s="635"/>
      <c r="P16" s="823"/>
      <c r="Q16" s="1008">
        <v>131</v>
      </c>
      <c r="R16" s="372">
        <v>0</v>
      </c>
      <c r="S16" s="283">
        <v>28</v>
      </c>
      <c r="T16" s="283">
        <v>0</v>
      </c>
      <c r="U16" s="274">
        <v>0</v>
      </c>
      <c r="V16" s="1327"/>
      <c r="W16" s="373">
        <v>0</v>
      </c>
      <c r="X16" s="373">
        <v>1</v>
      </c>
      <c r="Y16" s="1095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23" t="str">
        <f t="shared" si="6"/>
        <v/>
      </c>
      <c r="CB16" s="1323" t="str">
        <f t="shared" si="7"/>
        <v/>
      </c>
      <c r="CC16" s="1323" t="str">
        <f t="shared" si="8"/>
        <v/>
      </c>
      <c r="CD16" s="1323" t="str">
        <f t="shared" si="9"/>
        <v/>
      </c>
      <c r="CE16" s="1323" t="str">
        <f t="shared" si="10"/>
        <v/>
      </c>
      <c r="CF16" s="1323" t="str">
        <f t="shared" si="0"/>
        <v/>
      </c>
      <c r="CG16" s="1324"/>
      <c r="CH16" s="1323" t="str">
        <f t="shared" si="1"/>
        <v/>
      </c>
      <c r="CI16" s="1323" t="str">
        <f t="shared" si="2"/>
        <v/>
      </c>
      <c r="CJ16" s="1323" t="str">
        <f t="shared" si="11"/>
        <v/>
      </c>
      <c r="CP16" s="1038">
        <f t="shared" si="12"/>
        <v>0</v>
      </c>
      <c r="CQ16" s="1038">
        <f t="shared" si="13"/>
        <v>0</v>
      </c>
      <c r="CR16" s="1038">
        <f t="shared" si="14"/>
        <v>0</v>
      </c>
      <c r="CS16" s="1038">
        <f t="shared" si="15"/>
        <v>0</v>
      </c>
      <c r="CT16" s="1038">
        <f t="shared" si="16"/>
        <v>0</v>
      </c>
      <c r="CU16" s="1038">
        <f t="shared" si="17"/>
        <v>0</v>
      </c>
      <c r="CV16" s="1077"/>
      <c r="CW16" s="1038">
        <f t="shared" si="3"/>
        <v>0</v>
      </c>
      <c r="CX16" s="1038">
        <f t="shared" si="4"/>
        <v>0</v>
      </c>
      <c r="CY16" s="1038">
        <f t="shared" si="18"/>
        <v>0</v>
      </c>
    </row>
    <row r="17" spans="1:103" ht="21" customHeight="1" x14ac:dyDescent="0.15">
      <c r="A17" s="1688"/>
      <c r="B17" s="39" t="s">
        <v>86</v>
      </c>
      <c r="C17" s="273">
        <f t="shared" si="5"/>
        <v>338</v>
      </c>
      <c r="D17" s="309">
        <v>15</v>
      </c>
      <c r="E17" s="277">
        <v>107</v>
      </c>
      <c r="F17" s="277">
        <v>70</v>
      </c>
      <c r="G17" s="277">
        <v>55</v>
      </c>
      <c r="H17" s="277">
        <v>43</v>
      </c>
      <c r="I17" s="277">
        <v>27</v>
      </c>
      <c r="J17" s="277">
        <v>13</v>
      </c>
      <c r="K17" s="277">
        <v>6</v>
      </c>
      <c r="L17" s="277">
        <v>2</v>
      </c>
      <c r="M17" s="277">
        <v>0</v>
      </c>
      <c r="N17" s="634"/>
      <c r="O17" s="634"/>
      <c r="P17" s="822"/>
      <c r="Q17" s="296">
        <v>63</v>
      </c>
      <c r="R17" s="309">
        <v>2</v>
      </c>
      <c r="S17" s="280">
        <v>14</v>
      </c>
      <c r="T17" s="280">
        <v>0</v>
      </c>
      <c r="U17" s="277">
        <v>0</v>
      </c>
      <c r="V17" s="923"/>
      <c r="W17" s="310">
        <v>0</v>
      </c>
      <c r="X17" s="310">
        <v>0</v>
      </c>
      <c r="Y17" s="1095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23" t="str">
        <f t="shared" si="6"/>
        <v/>
      </c>
      <c r="CB17" s="1323" t="str">
        <f t="shared" si="7"/>
        <v/>
      </c>
      <c r="CC17" s="1323" t="str">
        <f t="shared" si="8"/>
        <v/>
      </c>
      <c r="CD17" s="1323" t="str">
        <f t="shared" si="9"/>
        <v/>
      </c>
      <c r="CE17" s="1323" t="str">
        <f t="shared" si="10"/>
        <v/>
      </c>
      <c r="CF17" s="1323" t="str">
        <f t="shared" si="0"/>
        <v/>
      </c>
      <c r="CG17" s="1324"/>
      <c r="CH17" s="1323" t="str">
        <f t="shared" si="1"/>
        <v/>
      </c>
      <c r="CI17" s="1323" t="str">
        <f t="shared" si="2"/>
        <v/>
      </c>
      <c r="CJ17" s="1323" t="str">
        <f t="shared" si="11"/>
        <v/>
      </c>
      <c r="CP17" s="1038">
        <f t="shared" si="12"/>
        <v>0</v>
      </c>
      <c r="CQ17" s="1038">
        <f t="shared" si="13"/>
        <v>0</v>
      </c>
      <c r="CR17" s="1038">
        <f t="shared" si="14"/>
        <v>0</v>
      </c>
      <c r="CS17" s="1038">
        <f t="shared" si="15"/>
        <v>0</v>
      </c>
      <c r="CT17" s="1038">
        <f t="shared" si="16"/>
        <v>0</v>
      </c>
      <c r="CU17" s="1038">
        <f t="shared" si="17"/>
        <v>0</v>
      </c>
      <c r="CV17" s="1077"/>
      <c r="CW17" s="1038">
        <f t="shared" si="3"/>
        <v>0</v>
      </c>
      <c r="CX17" s="1038">
        <f t="shared" si="4"/>
        <v>0</v>
      </c>
      <c r="CY17" s="1038">
        <f t="shared" si="18"/>
        <v>0</v>
      </c>
    </row>
    <row r="18" spans="1:103" ht="21" customHeight="1" x14ac:dyDescent="0.15">
      <c r="A18" s="1688"/>
      <c r="B18" s="39" t="s">
        <v>87</v>
      </c>
      <c r="C18" s="300">
        <f t="shared" si="5"/>
        <v>15</v>
      </c>
      <c r="D18" s="309">
        <v>0</v>
      </c>
      <c r="E18" s="277">
        <v>4</v>
      </c>
      <c r="F18" s="277">
        <v>4</v>
      </c>
      <c r="G18" s="277">
        <v>1</v>
      </c>
      <c r="H18" s="277">
        <v>3</v>
      </c>
      <c r="I18" s="277">
        <v>1</v>
      </c>
      <c r="J18" s="277">
        <v>2</v>
      </c>
      <c r="K18" s="277">
        <v>0</v>
      </c>
      <c r="L18" s="277">
        <v>0</v>
      </c>
      <c r="M18" s="277">
        <v>0</v>
      </c>
      <c r="N18" s="634"/>
      <c r="O18" s="634"/>
      <c r="P18" s="822"/>
      <c r="Q18" s="296">
        <v>1</v>
      </c>
      <c r="R18" s="309">
        <v>0</v>
      </c>
      <c r="S18" s="280">
        <v>0</v>
      </c>
      <c r="T18" s="280">
        <v>0</v>
      </c>
      <c r="U18" s="277">
        <v>0</v>
      </c>
      <c r="V18" s="923"/>
      <c r="W18" s="310">
        <v>0</v>
      </c>
      <c r="X18" s="310">
        <v>0</v>
      </c>
      <c r="Y18" s="1095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23" t="str">
        <f t="shared" si="6"/>
        <v/>
      </c>
      <c r="CB18" s="1323" t="str">
        <f t="shared" si="7"/>
        <v/>
      </c>
      <c r="CC18" s="1323" t="str">
        <f t="shared" si="8"/>
        <v/>
      </c>
      <c r="CD18" s="1323" t="str">
        <f t="shared" si="9"/>
        <v/>
      </c>
      <c r="CE18" s="1323" t="str">
        <f t="shared" si="10"/>
        <v/>
      </c>
      <c r="CF18" s="1323" t="str">
        <f t="shared" si="0"/>
        <v/>
      </c>
      <c r="CG18" s="1324"/>
      <c r="CH18" s="1323" t="str">
        <f t="shared" si="1"/>
        <v/>
      </c>
      <c r="CI18" s="1323" t="str">
        <f t="shared" si="2"/>
        <v/>
      </c>
      <c r="CJ18" s="1323" t="str">
        <f t="shared" si="11"/>
        <v/>
      </c>
      <c r="CP18" s="1038">
        <f t="shared" si="12"/>
        <v>0</v>
      </c>
      <c r="CQ18" s="1038">
        <f t="shared" si="13"/>
        <v>0</v>
      </c>
      <c r="CR18" s="1038">
        <f t="shared" si="14"/>
        <v>0</v>
      </c>
      <c r="CS18" s="1038">
        <f t="shared" si="15"/>
        <v>0</v>
      </c>
      <c r="CT18" s="1038">
        <f t="shared" si="16"/>
        <v>0</v>
      </c>
      <c r="CU18" s="1038">
        <f t="shared" si="17"/>
        <v>0</v>
      </c>
      <c r="CV18" s="1077"/>
      <c r="CW18" s="1038">
        <f t="shared" si="3"/>
        <v>0</v>
      </c>
      <c r="CX18" s="1038">
        <f t="shared" si="4"/>
        <v>0</v>
      </c>
      <c r="CY18" s="1038">
        <f t="shared" si="18"/>
        <v>0</v>
      </c>
    </row>
    <row r="19" spans="1:103" ht="15" customHeight="1" x14ac:dyDescent="0.15">
      <c r="A19" s="1676"/>
      <c r="B19" s="830" t="s">
        <v>88</v>
      </c>
      <c r="C19" s="273">
        <f>SUM(D19:M19)</f>
        <v>12</v>
      </c>
      <c r="D19" s="274">
        <v>0</v>
      </c>
      <c r="E19" s="274">
        <v>2</v>
      </c>
      <c r="F19" s="274">
        <v>3</v>
      </c>
      <c r="G19" s="274">
        <v>3</v>
      </c>
      <c r="H19" s="274">
        <v>2</v>
      </c>
      <c r="I19" s="274">
        <v>2</v>
      </c>
      <c r="J19" s="274">
        <v>0</v>
      </c>
      <c r="K19" s="274">
        <v>0</v>
      </c>
      <c r="L19" s="274">
        <v>0</v>
      </c>
      <c r="M19" s="274">
        <v>0</v>
      </c>
      <c r="N19" s="636"/>
      <c r="O19" s="636"/>
      <c r="P19" s="824"/>
      <c r="Q19" s="1009">
        <v>0</v>
      </c>
      <c r="R19" s="746">
        <v>0</v>
      </c>
      <c r="S19" s="287">
        <v>0</v>
      </c>
      <c r="T19" s="287">
        <v>0</v>
      </c>
      <c r="U19" s="285">
        <v>0</v>
      </c>
      <c r="V19" s="996"/>
      <c r="W19" s="685">
        <v>0</v>
      </c>
      <c r="X19" s="685">
        <v>0</v>
      </c>
      <c r="Y19" s="1095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23" t="str">
        <f t="shared" si="6"/>
        <v/>
      </c>
      <c r="CB19" s="1323" t="str">
        <f t="shared" si="7"/>
        <v/>
      </c>
      <c r="CC19" s="1323" t="str">
        <f t="shared" si="8"/>
        <v/>
      </c>
      <c r="CD19" s="1323" t="str">
        <f t="shared" si="9"/>
        <v/>
      </c>
      <c r="CE19" s="1323" t="str">
        <f t="shared" si="10"/>
        <v/>
      </c>
      <c r="CF19" s="1323" t="str">
        <f t="shared" si="0"/>
        <v/>
      </c>
      <c r="CG19" s="1324"/>
      <c r="CH19" s="1323" t="str">
        <f t="shared" si="1"/>
        <v/>
      </c>
      <c r="CI19" s="1323" t="str">
        <f t="shared" si="2"/>
        <v/>
      </c>
      <c r="CJ19" s="1323" t="str">
        <f t="shared" si="11"/>
        <v/>
      </c>
      <c r="CP19" s="1038">
        <f t="shared" si="12"/>
        <v>0</v>
      </c>
      <c r="CQ19" s="1038">
        <f t="shared" si="13"/>
        <v>0</v>
      </c>
      <c r="CR19" s="1038">
        <f t="shared" si="14"/>
        <v>0</v>
      </c>
      <c r="CS19" s="1038">
        <f t="shared" si="15"/>
        <v>0</v>
      </c>
      <c r="CT19" s="1038">
        <f t="shared" si="16"/>
        <v>0</v>
      </c>
      <c r="CU19" s="1038">
        <f t="shared" si="17"/>
        <v>0</v>
      </c>
      <c r="CV19" s="1077"/>
      <c r="CW19" s="1038">
        <f t="shared" si="3"/>
        <v>0</v>
      </c>
      <c r="CX19" s="1038">
        <f t="shared" si="4"/>
        <v>0</v>
      </c>
      <c r="CY19" s="1038">
        <f t="shared" si="18"/>
        <v>0</v>
      </c>
    </row>
    <row r="20" spans="1:103" ht="15" customHeight="1" x14ac:dyDescent="0.15">
      <c r="A20" s="1655" t="s">
        <v>89</v>
      </c>
      <c r="B20" s="1239" t="s">
        <v>90</v>
      </c>
      <c r="C20" s="260">
        <f>SUM(D20:P20)</f>
        <v>103</v>
      </c>
      <c r="D20" s="261">
        <v>0</v>
      </c>
      <c r="E20" s="263">
        <v>11</v>
      </c>
      <c r="F20" s="1382">
        <v>23</v>
      </c>
      <c r="G20" s="1382">
        <v>21</v>
      </c>
      <c r="H20" s="1382">
        <v>18</v>
      </c>
      <c r="I20" s="263">
        <v>13</v>
      </c>
      <c r="J20" s="263">
        <v>7</v>
      </c>
      <c r="K20" s="263">
        <v>5</v>
      </c>
      <c r="L20" s="263">
        <v>5</v>
      </c>
      <c r="M20" s="263">
        <v>0</v>
      </c>
      <c r="N20" s="633"/>
      <c r="O20" s="633"/>
      <c r="P20" s="821"/>
      <c r="Q20" s="294">
        <v>19</v>
      </c>
      <c r="R20" s="261">
        <v>2</v>
      </c>
      <c r="S20" s="265">
        <v>8</v>
      </c>
      <c r="T20" s="265">
        <v>0</v>
      </c>
      <c r="U20" s="262">
        <v>0</v>
      </c>
      <c r="V20" s="921"/>
      <c r="W20" s="308">
        <v>0</v>
      </c>
      <c r="X20" s="308">
        <v>0</v>
      </c>
      <c r="Y20" s="1095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23" t="str">
        <f t="shared" si="6"/>
        <v/>
      </c>
      <c r="CB20" s="1323" t="str">
        <f t="shared" si="7"/>
        <v/>
      </c>
      <c r="CC20" s="1323" t="str">
        <f t="shared" si="8"/>
        <v/>
      </c>
      <c r="CD20" s="1323" t="str">
        <f t="shared" si="9"/>
        <v/>
      </c>
      <c r="CE20" s="1323" t="str">
        <f t="shared" si="10"/>
        <v/>
      </c>
      <c r="CF20" s="1323" t="str">
        <f t="shared" si="0"/>
        <v/>
      </c>
      <c r="CG20" s="1324"/>
      <c r="CH20" s="1323" t="str">
        <f t="shared" si="1"/>
        <v/>
      </c>
      <c r="CI20" s="1323" t="str">
        <f t="shared" si="2"/>
        <v/>
      </c>
      <c r="CJ20" s="1323" t="str">
        <f t="shared" si="11"/>
        <v/>
      </c>
      <c r="CP20" s="1038">
        <f t="shared" si="12"/>
        <v>0</v>
      </c>
      <c r="CQ20" s="1038">
        <f t="shared" si="13"/>
        <v>0</v>
      </c>
      <c r="CR20" s="1038">
        <f t="shared" si="14"/>
        <v>0</v>
      </c>
      <c r="CS20" s="1038">
        <f t="shared" si="15"/>
        <v>0</v>
      </c>
      <c r="CT20" s="1038">
        <f t="shared" si="16"/>
        <v>0</v>
      </c>
      <c r="CU20" s="1038">
        <f t="shared" si="17"/>
        <v>0</v>
      </c>
      <c r="CV20" s="1077"/>
      <c r="CW20" s="1038">
        <f t="shared" si="3"/>
        <v>0</v>
      </c>
      <c r="CX20" s="1038">
        <f t="shared" si="4"/>
        <v>0</v>
      </c>
      <c r="CY20" s="1038">
        <f t="shared" si="18"/>
        <v>0</v>
      </c>
    </row>
    <row r="21" spans="1:103" ht="15" customHeight="1" x14ac:dyDescent="0.15">
      <c r="A21" s="1656"/>
      <c r="B21" s="1240" t="s">
        <v>91</v>
      </c>
      <c r="C21" s="266">
        <f>SUM(D21:P21)</f>
        <v>39</v>
      </c>
      <c r="D21" s="274">
        <v>1</v>
      </c>
      <c r="E21" s="274">
        <v>30</v>
      </c>
      <c r="F21" s="269">
        <v>3</v>
      </c>
      <c r="G21" s="269">
        <v>3</v>
      </c>
      <c r="H21" s="269">
        <v>0</v>
      </c>
      <c r="I21" s="274">
        <v>0</v>
      </c>
      <c r="J21" s="274">
        <v>2</v>
      </c>
      <c r="K21" s="274">
        <v>0</v>
      </c>
      <c r="L21" s="274">
        <v>0</v>
      </c>
      <c r="M21" s="274">
        <v>0</v>
      </c>
      <c r="N21" s="636"/>
      <c r="O21" s="636"/>
      <c r="P21" s="824"/>
      <c r="Q21" s="1007">
        <v>5</v>
      </c>
      <c r="R21" s="745">
        <v>0</v>
      </c>
      <c r="S21" s="272">
        <v>0</v>
      </c>
      <c r="T21" s="272">
        <v>0</v>
      </c>
      <c r="U21" s="925"/>
      <c r="V21" s="267">
        <v>0</v>
      </c>
      <c r="W21" s="683">
        <v>0</v>
      </c>
      <c r="X21" s="683">
        <v>0</v>
      </c>
      <c r="Y21" s="1095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23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323" t="str">
        <f t="shared" si="7"/>
        <v/>
      </c>
      <c r="CC21" s="1323" t="str">
        <f t="shared" si="8"/>
        <v/>
      </c>
      <c r="CD21" s="1323" t="str">
        <f t="shared" si="9"/>
        <v/>
      </c>
      <c r="CE21" s="1323" t="str">
        <f t="shared" si="10"/>
        <v/>
      </c>
      <c r="CF21" s="1324"/>
      <c r="CG21" s="1323" t="str">
        <f>IF(AND($C21&lt;&gt;0,V21=""),"* No olvide ingresar la variable "&amp;V$10&amp;""&amp;". Digite CERO si no tiene.",IF(V21&gt;$C21,"* El Número de Trans Femenino no puede superar el Total. ",""))</f>
        <v/>
      </c>
      <c r="CH21" s="1323" t="str">
        <f t="shared" si="1"/>
        <v/>
      </c>
      <c r="CI21" s="1323" t="str">
        <f t="shared" si="2"/>
        <v/>
      </c>
      <c r="CJ21" s="1323" t="str">
        <f t="shared" si="11"/>
        <v/>
      </c>
      <c r="CP21" s="1038">
        <f t="shared" si="12"/>
        <v>0</v>
      </c>
      <c r="CQ21" s="1038">
        <f t="shared" si="13"/>
        <v>0</v>
      </c>
      <c r="CR21" s="1038">
        <f t="shared" si="14"/>
        <v>0</v>
      </c>
      <c r="CS21" s="1038">
        <f t="shared" si="15"/>
        <v>0</v>
      </c>
      <c r="CT21" s="1038">
        <f>IF(AND($C21&lt;&gt;0,$T21=""),1,IF($T21&gt;$C21,1,0))</f>
        <v>0</v>
      </c>
      <c r="CU21" s="1077"/>
      <c r="CV21" s="1038">
        <f>IF(AND($C21&lt;&gt;0,V21=""),1,IF(V21&gt;$C21,1,0))</f>
        <v>0</v>
      </c>
      <c r="CW21" s="1038">
        <f t="shared" si="3"/>
        <v>0</v>
      </c>
      <c r="CX21" s="1038">
        <f t="shared" si="4"/>
        <v>0</v>
      </c>
      <c r="CY21" s="1038">
        <f t="shared" si="18"/>
        <v>0</v>
      </c>
    </row>
    <row r="22" spans="1:103" ht="15" customHeight="1" x14ac:dyDescent="0.15">
      <c r="A22" s="1681" t="s">
        <v>92</v>
      </c>
      <c r="B22" s="1241" t="s">
        <v>90</v>
      </c>
      <c r="C22" s="273">
        <f>SUM(D22:M22)</f>
        <v>159</v>
      </c>
      <c r="D22" s="261">
        <v>0</v>
      </c>
      <c r="E22" s="263">
        <v>0</v>
      </c>
      <c r="F22" s="263">
        <v>1</v>
      </c>
      <c r="G22" s="1382">
        <v>3</v>
      </c>
      <c r="H22" s="263">
        <v>22</v>
      </c>
      <c r="I22" s="1382">
        <v>29</v>
      </c>
      <c r="J22" s="1382">
        <v>27</v>
      </c>
      <c r="K22" s="1382">
        <v>32</v>
      </c>
      <c r="L22" s="263">
        <v>30</v>
      </c>
      <c r="M22" s="1382">
        <v>15</v>
      </c>
      <c r="N22" s="633"/>
      <c r="O22" s="633"/>
      <c r="P22" s="821"/>
      <c r="Q22" s="1008">
        <v>0</v>
      </c>
      <c r="R22" s="288">
        <v>0</v>
      </c>
      <c r="S22" s="276">
        <v>1</v>
      </c>
      <c r="T22" s="276">
        <v>0</v>
      </c>
      <c r="U22" s="274">
        <v>0</v>
      </c>
      <c r="V22" s="1326"/>
      <c r="W22" s="684">
        <v>0</v>
      </c>
      <c r="X22" s="684">
        <v>0</v>
      </c>
      <c r="Y22" s="1095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23" t="str">
        <f t="shared" si="20"/>
        <v/>
      </c>
      <c r="CB22" s="1323" t="str">
        <f t="shared" si="7"/>
        <v/>
      </c>
      <c r="CC22" s="1323" t="str">
        <f t="shared" si="8"/>
        <v/>
      </c>
      <c r="CD22" s="1323" t="str">
        <f t="shared" si="9"/>
        <v/>
      </c>
      <c r="CE22" s="1323" t="str">
        <f t="shared" si="10"/>
        <v/>
      </c>
      <c r="CF22" s="1323" t="str">
        <f>IF(AND($C22&lt;&gt;0,U22=""),"* No olvide ingresar la variable "&amp;U$10&amp;""&amp;". Digite CERO si no tiene.",IF(U22&gt;$C22,"* El Número de Trans masculino no puede superar el Total. ",""))</f>
        <v/>
      </c>
      <c r="CG22" s="1324"/>
      <c r="CH22" s="1323" t="str">
        <f t="shared" si="1"/>
        <v/>
      </c>
      <c r="CI22" s="1323" t="str">
        <f t="shared" si="2"/>
        <v/>
      </c>
      <c r="CJ22" s="1323" t="str">
        <f t="shared" si="11"/>
        <v/>
      </c>
      <c r="CP22" s="1038">
        <f t="shared" si="12"/>
        <v>0</v>
      </c>
      <c r="CQ22" s="1038">
        <f t="shared" si="13"/>
        <v>0</v>
      </c>
      <c r="CR22" s="1038">
        <f t="shared" si="14"/>
        <v>0</v>
      </c>
      <c r="CS22" s="1038">
        <f t="shared" si="15"/>
        <v>0</v>
      </c>
      <c r="CT22" s="1038">
        <f t="shared" si="16"/>
        <v>0</v>
      </c>
      <c r="CU22" s="1038">
        <f t="shared" si="17"/>
        <v>0</v>
      </c>
      <c r="CV22" s="1077"/>
      <c r="CW22" s="1038">
        <f t="shared" si="3"/>
        <v>0</v>
      </c>
      <c r="CX22" s="1038">
        <f t="shared" si="4"/>
        <v>0</v>
      </c>
      <c r="CY22" s="1038">
        <f t="shared" si="18"/>
        <v>0</v>
      </c>
    </row>
    <row r="23" spans="1:103" ht="15" customHeight="1" x14ac:dyDescent="0.15">
      <c r="A23" s="1682"/>
      <c r="B23" s="1242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4"/>
      <c r="Q23" s="1010">
        <v>0</v>
      </c>
      <c r="R23" s="290">
        <v>0</v>
      </c>
      <c r="S23" s="284">
        <v>0</v>
      </c>
      <c r="T23" s="284">
        <v>0</v>
      </c>
      <c r="U23" s="1328"/>
      <c r="V23" s="268">
        <v>0</v>
      </c>
      <c r="W23" s="311">
        <v>0</v>
      </c>
      <c r="X23" s="311">
        <v>0</v>
      </c>
      <c r="Y23" s="1095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23" t="str">
        <f t="shared" si="20"/>
        <v/>
      </c>
      <c r="CB23" s="1323" t="str">
        <f t="shared" si="7"/>
        <v/>
      </c>
      <c r="CC23" s="1323" t="str">
        <f t="shared" si="8"/>
        <v/>
      </c>
      <c r="CD23" s="1323" t="str">
        <f t="shared" si="9"/>
        <v/>
      </c>
      <c r="CE23" s="1323" t="str">
        <f t="shared" si="10"/>
        <v/>
      </c>
      <c r="CF23" s="1324"/>
      <c r="CG23" s="1323" t="str">
        <f>IF(AND($C23&lt;&gt;0,V23=""),"* No olvide ingresar la variable "&amp;V$10&amp;""&amp;". Digite CERO si no tiene.",IF(V23&gt;$C23,"* El Número de Trans femenino no puede superar el Total. ",""))</f>
        <v/>
      </c>
      <c r="CH23" s="1323" t="str">
        <f t="shared" si="1"/>
        <v/>
      </c>
      <c r="CI23" s="1323" t="str">
        <f t="shared" si="2"/>
        <v/>
      </c>
      <c r="CJ23" s="1323" t="str">
        <f t="shared" si="11"/>
        <v/>
      </c>
      <c r="CP23" s="1038">
        <f t="shared" si="12"/>
        <v>0</v>
      </c>
      <c r="CQ23" s="1038">
        <f t="shared" si="13"/>
        <v>0</v>
      </c>
      <c r="CR23" s="1038">
        <f t="shared" si="14"/>
        <v>0</v>
      </c>
      <c r="CS23" s="1038">
        <f t="shared" si="15"/>
        <v>0</v>
      </c>
      <c r="CT23" s="1038">
        <f t="shared" si="16"/>
        <v>0</v>
      </c>
      <c r="CU23" s="1077"/>
      <c r="CV23" s="1038">
        <f>IF(AND($C23&lt;&gt;0,V23=""),1,IF(V23&gt;$C23,1,0))</f>
        <v>0</v>
      </c>
      <c r="CW23" s="1038">
        <f t="shared" si="3"/>
        <v>0</v>
      </c>
      <c r="CX23" s="1038">
        <f t="shared" si="4"/>
        <v>0</v>
      </c>
      <c r="CY23" s="1038">
        <f t="shared" si="18"/>
        <v>0</v>
      </c>
    </row>
    <row r="24" spans="1:103" ht="15" customHeight="1" x14ac:dyDescent="0.15">
      <c r="A24" s="1677" t="s">
        <v>93</v>
      </c>
      <c r="B24" s="1678"/>
      <c r="C24" s="1302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5"/>
      <c r="O24" s="996"/>
      <c r="P24" s="997"/>
      <c r="Q24" s="1009">
        <v>0</v>
      </c>
      <c r="R24" s="746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5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23" t="str">
        <f t="shared" si="20"/>
        <v/>
      </c>
      <c r="CB24" s="1323" t="str">
        <f t="shared" si="7"/>
        <v/>
      </c>
      <c r="CC24" s="1323" t="str">
        <f t="shared" si="8"/>
        <v/>
      </c>
      <c r="CD24" s="1323" t="str">
        <f t="shared" si="9"/>
        <v/>
      </c>
      <c r="CE24" s="1323" t="str">
        <f t="shared" si="10"/>
        <v/>
      </c>
      <c r="CF24" s="1323" t="str">
        <f>IF(AND($C24&lt;&gt;0,U24=""),"* No olvide ingresar la variable "&amp;U$10&amp;""&amp;". Digite CERO si no tiene.",IF(U24&gt;$C24,"* El Número de Trans masculino no puede superar el Total. ",""))</f>
        <v/>
      </c>
      <c r="CG24" s="1323" t="str">
        <f>IF(AND($C24&lt;&gt;0,V24=""),"* No olvide ingresar la variable "&amp;V$10&amp;""&amp;". Digite CERO si no tiene.",IF(V24&gt;$C24,"* El Número de Trans femenino no puede superar el Total. ",""))</f>
        <v/>
      </c>
      <c r="CH24" s="1323" t="str">
        <f t="shared" si="1"/>
        <v/>
      </c>
      <c r="CI24" s="1323" t="str">
        <f t="shared" si="2"/>
        <v/>
      </c>
      <c r="CJ24" s="1323" t="str">
        <f t="shared" si="11"/>
        <v/>
      </c>
      <c r="CP24" s="1038">
        <f t="shared" si="12"/>
        <v>0</v>
      </c>
      <c r="CQ24" s="1038">
        <f t="shared" si="13"/>
        <v>0</v>
      </c>
      <c r="CR24" s="1038">
        <f t="shared" si="14"/>
        <v>0</v>
      </c>
      <c r="CS24" s="1038">
        <f t="shared" si="15"/>
        <v>0</v>
      </c>
      <c r="CT24" s="1038">
        <f t="shared" si="16"/>
        <v>0</v>
      </c>
      <c r="CU24" s="1038">
        <f t="shared" si="17"/>
        <v>0</v>
      </c>
      <c r="CV24" s="1038">
        <f>IF(AND($C24&lt;&gt;0,V24=""),1,IF(V24&gt;$C24,1,0))</f>
        <v>0</v>
      </c>
      <c r="CW24" s="1038">
        <f t="shared" si="3"/>
        <v>0</v>
      </c>
      <c r="CX24" s="1038">
        <f t="shared" si="4"/>
        <v>0</v>
      </c>
      <c r="CY24" s="1038">
        <f t="shared" si="18"/>
        <v>0</v>
      </c>
    </row>
    <row r="25" spans="1:103" ht="15" customHeight="1" thickBot="1" x14ac:dyDescent="0.2">
      <c r="A25" s="1666" t="s">
        <v>94</v>
      </c>
      <c r="B25" s="1667"/>
      <c r="C25" s="1383">
        <f>SUM(D25:P25)</f>
        <v>2250</v>
      </c>
      <c r="D25" s="1384">
        <f>SUM(D11:D24)</f>
        <v>39</v>
      </c>
      <c r="E25" s="1385">
        <f t="shared" ref="E25:M25" si="21">SUM(E11:E24)</f>
        <v>356</v>
      </c>
      <c r="F25" s="1385">
        <f t="shared" si="21"/>
        <v>351</v>
      </c>
      <c r="G25" s="1385">
        <f t="shared" si="21"/>
        <v>376</v>
      </c>
      <c r="H25" s="1385">
        <f t="shared" si="21"/>
        <v>425</v>
      </c>
      <c r="I25" s="1385">
        <f t="shared" si="21"/>
        <v>266</v>
      </c>
      <c r="J25" s="1385">
        <f t="shared" si="21"/>
        <v>201</v>
      </c>
      <c r="K25" s="1385">
        <f t="shared" si="21"/>
        <v>140</v>
      </c>
      <c r="L25" s="1385">
        <f t="shared" si="21"/>
        <v>81</v>
      </c>
      <c r="M25" s="1385">
        <f t="shared" si="21"/>
        <v>15</v>
      </c>
      <c r="N25" s="826"/>
      <c r="O25" s="827"/>
      <c r="P25" s="828"/>
      <c r="Q25" s="1011">
        <f t="shared" ref="Q25" si="22">SUM(Q11:Q24)</f>
        <v>418</v>
      </c>
      <c r="R25" s="1016">
        <f t="shared" ref="R25:S25" si="23">SUM(R11:R24)</f>
        <v>8</v>
      </c>
      <c r="S25" s="813">
        <f t="shared" si="23"/>
        <v>89</v>
      </c>
      <c r="T25" s="813">
        <f t="shared" ref="T25" si="24">SUM(T11:T24)</f>
        <v>0</v>
      </c>
      <c r="U25" s="812">
        <f t="shared" ref="U25" si="25">SUM(U11:U24)</f>
        <v>0</v>
      </c>
      <c r="V25" s="812">
        <f t="shared" ref="V25" si="26">SUM(V11:V24)</f>
        <v>0</v>
      </c>
      <c r="W25" s="813">
        <f>SUM(W11:W24)</f>
        <v>0</v>
      </c>
      <c r="X25" s="813">
        <f t="shared" ref="X25" si="27">SUM(X11:X24)</f>
        <v>1</v>
      </c>
      <c r="Y25" s="1095"/>
      <c r="Z25" s="107"/>
      <c r="AA25" s="107"/>
      <c r="AB25" s="107"/>
      <c r="AC25" s="172"/>
      <c r="BJ25" s="176"/>
      <c r="BK25" s="176"/>
      <c r="BL25" s="176"/>
      <c r="BM25" s="176"/>
      <c r="BN25" s="176"/>
      <c r="CA25" s="1325"/>
      <c r="CB25" s="1325"/>
      <c r="CC25" s="1325"/>
      <c r="CD25" s="1325"/>
      <c r="CE25" s="1325"/>
      <c r="CF25" s="1095"/>
      <c r="CG25" s="1095"/>
      <c r="CH25" s="1095"/>
    </row>
    <row r="26" spans="1:103" ht="15" customHeight="1" thickTop="1" x14ac:dyDescent="0.15">
      <c r="A26" s="1670" t="s">
        <v>95</v>
      </c>
      <c r="B26" s="1671"/>
      <c r="C26" s="291">
        <f>SUM(D26:P26)</f>
        <v>139</v>
      </c>
      <c r="D26" s="825">
        <v>0</v>
      </c>
      <c r="E26" s="292">
        <v>1</v>
      </c>
      <c r="F26" s="292">
        <v>1</v>
      </c>
      <c r="G26" s="292">
        <v>5</v>
      </c>
      <c r="H26" s="292">
        <v>21</v>
      </c>
      <c r="I26" s="292">
        <v>32</v>
      </c>
      <c r="J26" s="292">
        <v>31</v>
      </c>
      <c r="K26" s="292">
        <v>26</v>
      </c>
      <c r="L26" s="292">
        <v>22</v>
      </c>
      <c r="M26" s="292">
        <v>0</v>
      </c>
      <c r="N26" s="632"/>
      <c r="O26" s="632"/>
      <c r="P26" s="271"/>
      <c r="Q26" s="1007">
        <v>22</v>
      </c>
      <c r="R26" s="745">
        <v>0</v>
      </c>
      <c r="S26" s="272">
        <v>5</v>
      </c>
      <c r="T26" s="272">
        <v>0</v>
      </c>
      <c r="U26" s="267">
        <v>0</v>
      </c>
      <c r="V26" s="925"/>
      <c r="W26" s="683">
        <v>0</v>
      </c>
      <c r="X26" s="683">
        <v>0</v>
      </c>
      <c r="Y26" s="1095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23" t="str">
        <f>IF(AND($C26&lt;&gt;0,Q26=""),"* No olvide ingresar la variable "&amp;Q$9&amp;""&amp;". Digite CERO si no tiene.",IF(Q26&gt;$C26,"* El Número de Pueblos Originarios no puede superar el Total. ",""))</f>
        <v/>
      </c>
      <c r="CB26" s="1323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23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23" t="str">
        <f t="shared" si="9"/>
        <v/>
      </c>
      <c r="CE26" s="1323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323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324"/>
      <c r="CH26" s="1323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323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323" t="str">
        <f t="shared" si="11"/>
        <v/>
      </c>
      <c r="CP26" s="1038">
        <f t="shared" si="12"/>
        <v>0</v>
      </c>
      <c r="CQ26" s="1038">
        <f t="shared" ref="CQ26:CQ31" si="32">IF(AND($C26&lt;&gt;0,$R26),1,IF($R26&gt;$C26,1,0))</f>
        <v>0</v>
      </c>
      <c r="CR26" s="1038">
        <f t="shared" si="14"/>
        <v>0</v>
      </c>
      <c r="CS26" s="1038">
        <f t="shared" si="15"/>
        <v>0</v>
      </c>
      <c r="CT26" s="1038">
        <f t="shared" si="16"/>
        <v>0</v>
      </c>
      <c r="CU26" s="1038">
        <f t="shared" si="17"/>
        <v>0</v>
      </c>
      <c r="CV26" s="1077"/>
      <c r="CW26" s="1038">
        <f t="shared" ref="CW26:CX31" si="33">IF(AND($C26&lt;&gt;0,W26=""),1,IF(W26&gt;$C26,1,0))</f>
        <v>0</v>
      </c>
      <c r="CX26" s="1038">
        <f t="shared" si="33"/>
        <v>0</v>
      </c>
      <c r="CY26" s="1038">
        <f t="shared" si="18"/>
        <v>0</v>
      </c>
    </row>
    <row r="27" spans="1:103" ht="15" customHeight="1" x14ac:dyDescent="0.15">
      <c r="A27" s="1688" t="s">
        <v>96</v>
      </c>
      <c r="B27" s="831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1"/>
      <c r="Q27" s="1012">
        <v>0</v>
      </c>
      <c r="R27" s="1017">
        <v>0</v>
      </c>
      <c r="S27" s="1018">
        <v>0</v>
      </c>
      <c r="T27" s="806">
        <v>0</v>
      </c>
      <c r="U27" s="814">
        <v>0</v>
      </c>
      <c r="V27" s="1329"/>
      <c r="W27" s="806">
        <v>0</v>
      </c>
      <c r="X27" s="806">
        <v>0</v>
      </c>
      <c r="Y27" s="1095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23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323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323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323" t="str">
        <f t="shared" si="9"/>
        <v/>
      </c>
      <c r="CE27" s="1323" t="str">
        <f t="shared" si="28"/>
        <v/>
      </c>
      <c r="CF27" s="1323" t="str">
        <f t="shared" si="29"/>
        <v/>
      </c>
      <c r="CG27" s="1324"/>
      <c r="CH27" s="1323" t="str">
        <f t="shared" si="30"/>
        <v/>
      </c>
      <c r="CI27" s="1323" t="str">
        <f t="shared" si="31"/>
        <v/>
      </c>
      <c r="CJ27" s="1323" t="str">
        <f t="shared" si="11"/>
        <v/>
      </c>
      <c r="CP27" s="1038">
        <f t="shared" si="12"/>
        <v>0</v>
      </c>
      <c r="CQ27" s="1038">
        <f t="shared" si="32"/>
        <v>0</v>
      </c>
      <c r="CR27" s="1038">
        <f t="shared" si="14"/>
        <v>0</v>
      </c>
      <c r="CS27" s="1038">
        <f t="shared" si="15"/>
        <v>0</v>
      </c>
      <c r="CT27" s="1038">
        <f t="shared" si="16"/>
        <v>0</v>
      </c>
      <c r="CU27" s="1038">
        <f>IF(AND($C27&lt;&gt;0,$U27=""),1,IF($U27&gt;$C27,1,0))</f>
        <v>0</v>
      </c>
      <c r="CV27" s="1077"/>
      <c r="CW27" s="1038">
        <f t="shared" si="33"/>
        <v>0</v>
      </c>
      <c r="CX27" s="1038">
        <f t="shared" si="33"/>
        <v>0</v>
      </c>
      <c r="CY27" s="1038">
        <f t="shared" si="18"/>
        <v>0</v>
      </c>
    </row>
    <row r="28" spans="1:103" ht="15" customHeight="1" x14ac:dyDescent="0.15">
      <c r="A28" s="1676"/>
      <c r="B28" s="832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1013">
        <v>0</v>
      </c>
      <c r="R28" s="1000">
        <v>0</v>
      </c>
      <c r="S28" s="1019">
        <v>0</v>
      </c>
      <c r="T28" s="809">
        <v>0</v>
      </c>
      <c r="U28" s="815">
        <v>0</v>
      </c>
      <c r="V28" s="1330"/>
      <c r="W28" s="809">
        <v>0</v>
      </c>
      <c r="X28" s="809">
        <v>0</v>
      </c>
      <c r="Y28" s="1095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23" t="str">
        <f t="shared" si="34"/>
        <v/>
      </c>
      <c r="CB28" s="1323" t="str">
        <f t="shared" si="35"/>
        <v/>
      </c>
      <c r="CC28" s="1323" t="str">
        <f t="shared" si="36"/>
        <v/>
      </c>
      <c r="CD28" s="1323" t="str">
        <f t="shared" si="9"/>
        <v/>
      </c>
      <c r="CE28" s="1323" t="str">
        <f t="shared" si="28"/>
        <v/>
      </c>
      <c r="CF28" s="1323" t="str">
        <f t="shared" si="29"/>
        <v/>
      </c>
      <c r="CG28" s="1324"/>
      <c r="CH28" s="1323" t="str">
        <f t="shared" si="30"/>
        <v/>
      </c>
      <c r="CI28" s="1323" t="str">
        <f t="shared" si="31"/>
        <v/>
      </c>
      <c r="CJ28" s="1323" t="str">
        <f t="shared" si="11"/>
        <v/>
      </c>
      <c r="CP28" s="1038">
        <f t="shared" si="12"/>
        <v>0</v>
      </c>
      <c r="CQ28" s="1038">
        <f t="shared" si="32"/>
        <v>0</v>
      </c>
      <c r="CR28" s="1038">
        <f t="shared" si="14"/>
        <v>0</v>
      </c>
      <c r="CS28" s="1038">
        <f t="shared" si="15"/>
        <v>0</v>
      </c>
      <c r="CT28" s="1038">
        <f t="shared" si="16"/>
        <v>0</v>
      </c>
      <c r="CU28" s="1038">
        <f t="shared" si="17"/>
        <v>0</v>
      </c>
      <c r="CV28" s="1077"/>
      <c r="CW28" s="1038">
        <f t="shared" si="33"/>
        <v>0</v>
      </c>
      <c r="CX28" s="1038">
        <f t="shared" si="33"/>
        <v>0</v>
      </c>
      <c r="CY28" s="1038">
        <f t="shared" si="18"/>
        <v>0</v>
      </c>
    </row>
    <row r="29" spans="1:103" ht="15" customHeight="1" x14ac:dyDescent="0.15">
      <c r="A29" s="1675" t="s">
        <v>99</v>
      </c>
      <c r="B29" s="833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20"/>
      <c r="Q29" s="1014">
        <v>0</v>
      </c>
      <c r="R29" s="1020">
        <v>0</v>
      </c>
      <c r="S29" s="1021">
        <v>0</v>
      </c>
      <c r="T29" s="810">
        <v>0</v>
      </c>
      <c r="U29" s="816">
        <v>0</v>
      </c>
      <c r="V29" s="1331"/>
      <c r="W29" s="810">
        <v>0</v>
      </c>
      <c r="X29" s="810">
        <v>0</v>
      </c>
      <c r="Y29" s="1095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23" t="str">
        <f t="shared" si="34"/>
        <v/>
      </c>
      <c r="CB29" s="1323" t="str">
        <f t="shared" si="35"/>
        <v/>
      </c>
      <c r="CC29" s="1323" t="str">
        <f t="shared" si="36"/>
        <v/>
      </c>
      <c r="CD29" s="1323" t="str">
        <f t="shared" si="9"/>
        <v/>
      </c>
      <c r="CE29" s="1323" t="str">
        <f t="shared" si="28"/>
        <v/>
      </c>
      <c r="CF29" s="1323" t="str">
        <f t="shared" si="29"/>
        <v/>
      </c>
      <c r="CG29" s="1324"/>
      <c r="CH29" s="1323" t="str">
        <f t="shared" si="30"/>
        <v/>
      </c>
      <c r="CI29" s="1323" t="str">
        <f t="shared" si="31"/>
        <v/>
      </c>
      <c r="CJ29" s="1323" t="str">
        <f t="shared" si="11"/>
        <v/>
      </c>
      <c r="CP29" s="1038">
        <f t="shared" si="12"/>
        <v>0</v>
      </c>
      <c r="CQ29" s="1038">
        <f t="shared" si="32"/>
        <v>0</v>
      </c>
      <c r="CR29" s="1038">
        <f t="shared" si="14"/>
        <v>0</v>
      </c>
      <c r="CS29" s="1038">
        <f t="shared" si="15"/>
        <v>0</v>
      </c>
      <c r="CT29" s="1038">
        <f t="shared" si="16"/>
        <v>0</v>
      </c>
      <c r="CU29" s="1038">
        <f t="shared" si="17"/>
        <v>0</v>
      </c>
      <c r="CV29" s="1077"/>
      <c r="CW29" s="1038">
        <f t="shared" si="33"/>
        <v>0</v>
      </c>
      <c r="CX29" s="1038">
        <f t="shared" si="33"/>
        <v>0</v>
      </c>
      <c r="CY29" s="1038">
        <f t="shared" si="18"/>
        <v>0</v>
      </c>
    </row>
    <row r="30" spans="1:103" ht="15" customHeight="1" x14ac:dyDescent="0.15">
      <c r="A30" s="1676"/>
      <c r="B30" s="832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1013">
        <v>0</v>
      </c>
      <c r="R30" s="1000">
        <v>0</v>
      </c>
      <c r="S30" s="1019">
        <v>0</v>
      </c>
      <c r="T30" s="809">
        <v>0</v>
      </c>
      <c r="U30" s="815">
        <v>0</v>
      </c>
      <c r="V30" s="1330"/>
      <c r="W30" s="809">
        <v>0</v>
      </c>
      <c r="X30" s="809">
        <v>0</v>
      </c>
      <c r="Y30" s="1095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23" t="str">
        <f>IF(AND($C30&lt;&gt;0,Q30=""),"* No olvide ingresar la variable "&amp;Q$9&amp;""&amp;". Digite CERO si no tiene.",IF(Q30&gt;$C30,"* El Número de Pueblos Originarios no puede superar el Total. ",""))</f>
        <v/>
      </c>
      <c r="CB30" s="1323" t="str">
        <f t="shared" si="35"/>
        <v/>
      </c>
      <c r="CC30" s="1323" t="str">
        <f t="shared" si="36"/>
        <v/>
      </c>
      <c r="CD30" s="1323" t="str">
        <f t="shared" si="9"/>
        <v/>
      </c>
      <c r="CE30" s="1323" t="str">
        <f t="shared" si="28"/>
        <v/>
      </c>
      <c r="CF30" s="1323" t="str">
        <f t="shared" si="29"/>
        <v/>
      </c>
      <c r="CG30" s="1324"/>
      <c r="CH30" s="1323" t="str">
        <f t="shared" si="30"/>
        <v/>
      </c>
      <c r="CI30" s="1323" t="str">
        <f t="shared" si="31"/>
        <v/>
      </c>
      <c r="CJ30" s="1323" t="str">
        <f t="shared" si="11"/>
        <v/>
      </c>
      <c r="CP30" s="1038">
        <f t="shared" si="12"/>
        <v>0</v>
      </c>
      <c r="CQ30" s="1038">
        <f t="shared" si="32"/>
        <v>0</v>
      </c>
      <c r="CR30" s="1038">
        <f t="shared" si="14"/>
        <v>0</v>
      </c>
      <c r="CS30" s="1038">
        <f t="shared" si="15"/>
        <v>0</v>
      </c>
      <c r="CT30" s="1038">
        <f t="shared" si="16"/>
        <v>0</v>
      </c>
      <c r="CU30" s="1038">
        <f t="shared" si="17"/>
        <v>0</v>
      </c>
      <c r="CV30" s="1077"/>
      <c r="CW30" s="1038">
        <f t="shared" si="33"/>
        <v>0</v>
      </c>
      <c r="CX30" s="1038">
        <f t="shared" si="33"/>
        <v>0</v>
      </c>
      <c r="CY30" s="1038">
        <f t="shared" si="18"/>
        <v>0</v>
      </c>
    </row>
    <row r="31" spans="1:103" ht="15" customHeight="1" x14ac:dyDescent="0.15">
      <c r="A31" s="1668" t="s">
        <v>100</v>
      </c>
      <c r="B31" s="1669"/>
      <c r="C31" s="1386">
        <f>SUM(D31:M31)</f>
        <v>466</v>
      </c>
      <c r="D31" s="277">
        <v>11</v>
      </c>
      <c r="E31" s="277">
        <v>116</v>
      </c>
      <c r="F31" s="277">
        <v>103</v>
      </c>
      <c r="G31" s="277">
        <v>79</v>
      </c>
      <c r="H31" s="277">
        <v>66</v>
      </c>
      <c r="I31" s="277">
        <v>46</v>
      </c>
      <c r="J31" s="277">
        <v>24</v>
      </c>
      <c r="K31" s="277">
        <v>15</v>
      </c>
      <c r="L31" s="277">
        <v>6</v>
      </c>
      <c r="M31" s="277">
        <v>0</v>
      </c>
      <c r="N31" s="808"/>
      <c r="O31" s="808"/>
      <c r="P31" s="1387"/>
      <c r="Q31" s="1015">
        <v>100</v>
      </c>
      <c r="R31" s="1388">
        <v>0</v>
      </c>
      <c r="S31" s="1389">
        <v>14</v>
      </c>
      <c r="T31" s="1389">
        <v>0</v>
      </c>
      <c r="U31" s="1390">
        <v>0</v>
      </c>
      <c r="V31" s="1391"/>
      <c r="W31" s="811">
        <v>0</v>
      </c>
      <c r="X31" s="811">
        <v>0</v>
      </c>
      <c r="Y31" s="1095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23" t="str">
        <f>IF(AND($C31&lt;&gt;0,Q31=""),"* No olvide ingresar la variable "&amp;Q$9&amp;""&amp;". Digite CERO si no tiene.",IF(Q31&gt;$C31,"* El Número de Pueblos Originarios no puede superar el Total. ",""))</f>
        <v/>
      </c>
      <c r="CB31" s="1323" t="str">
        <f t="shared" si="35"/>
        <v/>
      </c>
      <c r="CC31" s="1323" t="str">
        <f t="shared" si="36"/>
        <v/>
      </c>
      <c r="CD31" s="1323" t="str">
        <f t="shared" si="9"/>
        <v/>
      </c>
      <c r="CE31" s="1323" t="str">
        <f t="shared" si="28"/>
        <v/>
      </c>
      <c r="CF31" s="1323" t="str">
        <f t="shared" si="29"/>
        <v/>
      </c>
      <c r="CG31" s="1324"/>
      <c r="CH31" s="1323" t="str">
        <f t="shared" si="30"/>
        <v/>
      </c>
      <c r="CI31" s="1323" t="str">
        <f t="shared" si="31"/>
        <v/>
      </c>
      <c r="CJ31" s="1323" t="str">
        <f t="shared" si="11"/>
        <v/>
      </c>
      <c r="CP31" s="1038">
        <f t="shared" si="12"/>
        <v>0</v>
      </c>
      <c r="CQ31" s="107">
        <f t="shared" si="32"/>
        <v>0</v>
      </c>
      <c r="CR31" s="1038">
        <f t="shared" si="14"/>
        <v>0</v>
      </c>
      <c r="CS31" s="1038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8">
        <f t="shared" si="18"/>
        <v>0</v>
      </c>
    </row>
    <row r="32" spans="1:103" ht="17.100000000000001" customHeight="1" x14ac:dyDescent="0.15">
      <c r="A32" s="1607" t="s">
        <v>101</v>
      </c>
      <c r="B32" s="1608"/>
      <c r="C32" s="1608"/>
      <c r="D32" s="1608"/>
      <c r="E32" s="1608"/>
      <c r="F32" s="1608"/>
      <c r="G32" s="1608"/>
      <c r="H32" s="1608"/>
      <c r="I32" s="1608"/>
      <c r="J32" s="1608"/>
      <c r="K32" s="1608"/>
      <c r="L32" s="1608"/>
      <c r="M32" s="1608"/>
      <c r="N32" s="1393"/>
      <c r="O32" s="1393"/>
      <c r="P32" s="1393"/>
      <c r="Q32" s="1393"/>
      <c r="R32" s="1393"/>
      <c r="S32" s="1393"/>
      <c r="Y32" s="107"/>
    </row>
    <row r="33" spans="1:100" ht="15" customHeight="1" x14ac:dyDescent="0.15">
      <c r="A33" s="1620" t="s">
        <v>53</v>
      </c>
      <c r="B33" s="1621"/>
      <c r="C33" s="1689" t="s">
        <v>54</v>
      </c>
      <c r="D33" s="1672" t="s">
        <v>55</v>
      </c>
      <c r="E33" s="1673"/>
      <c r="F33" s="1673"/>
      <c r="G33" s="1673"/>
      <c r="H33" s="1673"/>
      <c r="I33" s="1673"/>
      <c r="J33" s="1673"/>
      <c r="K33" s="1673"/>
      <c r="L33" s="1673"/>
      <c r="M33" s="1673"/>
      <c r="N33" s="1673"/>
      <c r="O33" s="1673"/>
      <c r="P33" s="1674"/>
      <c r="Q33" s="1626" t="s">
        <v>56</v>
      </c>
      <c r="R33" s="1648" t="s">
        <v>57</v>
      </c>
      <c r="S33" s="1650"/>
      <c r="T33" s="1653" t="s">
        <v>58</v>
      </c>
      <c r="U33" s="1648" t="s">
        <v>59</v>
      </c>
      <c r="V33" s="1649"/>
      <c r="W33" s="1650"/>
      <c r="X33" s="1655" t="s">
        <v>60</v>
      </c>
      <c r="Y33" s="107"/>
      <c r="BJ33" s="176"/>
    </row>
    <row r="34" spans="1:100" ht="24" customHeight="1" x14ac:dyDescent="0.15">
      <c r="A34" s="1622"/>
      <c r="B34" s="1623"/>
      <c r="C34" s="1690"/>
      <c r="D34" s="1379" t="s">
        <v>61</v>
      </c>
      <c r="E34" s="817" t="s">
        <v>62</v>
      </c>
      <c r="F34" s="817" t="s">
        <v>63</v>
      </c>
      <c r="G34" s="818" t="s">
        <v>64</v>
      </c>
      <c r="H34" s="818" t="s">
        <v>65</v>
      </c>
      <c r="I34" s="818" t="s">
        <v>66</v>
      </c>
      <c r="J34" s="818" t="s">
        <v>67</v>
      </c>
      <c r="K34" s="818" t="s">
        <v>68</v>
      </c>
      <c r="L34" s="818" t="s">
        <v>69</v>
      </c>
      <c r="M34" s="998" t="s">
        <v>70</v>
      </c>
      <c r="N34" s="818" t="s">
        <v>71</v>
      </c>
      <c r="O34" s="818" t="s">
        <v>72</v>
      </c>
      <c r="P34" s="124" t="s">
        <v>73</v>
      </c>
      <c r="Q34" s="1627"/>
      <c r="R34" s="1234" t="s">
        <v>74</v>
      </c>
      <c r="S34" s="1232" t="s">
        <v>75</v>
      </c>
      <c r="T34" s="1654"/>
      <c r="U34" s="1381" t="s">
        <v>76</v>
      </c>
      <c r="V34" s="1235" t="s">
        <v>77</v>
      </c>
      <c r="W34" s="1244" t="s">
        <v>78</v>
      </c>
      <c r="X34" s="1656"/>
      <c r="Y34" s="107"/>
      <c r="BJ34" s="176"/>
    </row>
    <row r="35" spans="1:100" ht="15" customHeight="1" x14ac:dyDescent="0.15">
      <c r="A35" s="1616" t="s">
        <v>102</v>
      </c>
      <c r="B35" s="38" t="s">
        <v>90</v>
      </c>
      <c r="C35" s="260">
        <f>SUM(D35:P35)</f>
        <v>209</v>
      </c>
      <c r="D35" s="261">
        <v>3</v>
      </c>
      <c r="E35" s="263">
        <v>49</v>
      </c>
      <c r="F35" s="263">
        <v>47</v>
      </c>
      <c r="G35" s="263">
        <v>36</v>
      </c>
      <c r="H35" s="263">
        <v>27</v>
      </c>
      <c r="I35" s="263">
        <v>21</v>
      </c>
      <c r="J35" s="263">
        <v>14</v>
      </c>
      <c r="K35" s="263">
        <v>7</v>
      </c>
      <c r="L35" s="263">
        <v>4</v>
      </c>
      <c r="M35" s="263">
        <v>1</v>
      </c>
      <c r="N35" s="263">
        <v>0</v>
      </c>
      <c r="O35" s="263">
        <v>0</v>
      </c>
      <c r="P35" s="577">
        <v>0</v>
      </c>
      <c r="Q35" s="294">
        <v>42</v>
      </c>
      <c r="R35" s="261">
        <v>0</v>
      </c>
      <c r="S35" s="308">
        <v>4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7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8">
        <f>IF(AND($C35&lt;&gt;0,$Q35=""),1,IF($Q35&gt;$C35,1,0))</f>
        <v>0</v>
      </c>
      <c r="CP35" s="1038">
        <f>IF(AND($C35&lt;&gt;0,$R35=""),1,IF($R35&gt;SUM(D35+E35),1,0))</f>
        <v>0</v>
      </c>
      <c r="CQ35" s="1038">
        <f>IF(AND($C35&lt;&gt;0,$S35=""),1,IF($S35&gt;SUM(F35:P35),1,0))</f>
        <v>0</v>
      </c>
      <c r="CR35" s="1038">
        <f>IF(AND($C35&lt;&gt;0,$T35=""),1,IF($T35&gt;$C35,1,0))</f>
        <v>0</v>
      </c>
      <c r="CS35" s="1038">
        <f>IF(AND($C35&lt;&gt;0,$U35=""),1,IF($U35&gt;$C35,1,0))</f>
        <v>0</v>
      </c>
      <c r="CT35" s="1077"/>
      <c r="CU35" s="1038">
        <f t="shared" ref="CU35:CV40" si="41">IF(AND($C35&lt;&gt;0,W35=""),1,IF(W35&gt;$C35,1,0))</f>
        <v>0</v>
      </c>
      <c r="CV35" s="1038">
        <f t="shared" si="41"/>
        <v>0</v>
      </c>
    </row>
    <row r="36" spans="1:100" ht="15" customHeight="1" x14ac:dyDescent="0.15">
      <c r="A36" s="1617"/>
      <c r="B36" s="602" t="s">
        <v>91</v>
      </c>
      <c r="C36" s="1302">
        <f>SUM(D36:P36)</f>
        <v>0</v>
      </c>
      <c r="D36" s="746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09">
        <v>0</v>
      </c>
      <c r="R36" s="746">
        <v>0</v>
      </c>
      <c r="S36" s="685">
        <v>0</v>
      </c>
      <c r="T36" s="287">
        <v>0</v>
      </c>
      <c r="U36" s="1332"/>
      <c r="V36" s="286">
        <v>0</v>
      </c>
      <c r="W36" s="685">
        <v>0</v>
      </c>
      <c r="X36" s="1303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8">
        <f t="shared" ref="CO36:CO40" si="45">IF(AND($C36&lt;&gt;0,$Q36=""),1,IF($Q36&gt;$C36,1,0))</f>
        <v>0</v>
      </c>
      <c r="CP36" s="1038">
        <f t="shared" ref="CP36:CP40" si="46">IF(AND($C36&lt;&gt;0,$R36=""),1,IF($R36&gt;SUM(D36+E36),1,0))</f>
        <v>0</v>
      </c>
      <c r="CQ36" s="1038">
        <f t="shared" ref="CQ36:CQ40" si="47">IF(AND($C36&lt;&gt;0,$S36=""),1,IF($S36&gt;SUM(F36:P36),1,0))</f>
        <v>0</v>
      </c>
      <c r="CR36" s="1038">
        <f t="shared" ref="CR36:CR40" si="48">IF(AND($C36&lt;&gt;0,$T36=""),1,IF($T36&gt;$C36,1,0))</f>
        <v>0</v>
      </c>
      <c r="CS36" s="1077"/>
      <c r="CT36" s="1038">
        <f>IF(AND($C36&lt;&gt;0,V36=""),1,IF(V36&gt;$C36,1,0))</f>
        <v>0</v>
      </c>
      <c r="CU36" s="1038">
        <f t="shared" si="41"/>
        <v>0</v>
      </c>
      <c r="CV36" s="1038">
        <f t="shared" si="41"/>
        <v>0</v>
      </c>
    </row>
    <row r="37" spans="1:100" ht="15" customHeight="1" x14ac:dyDescent="0.15">
      <c r="A37" s="1616" t="s">
        <v>103</v>
      </c>
      <c r="B37" s="38" t="s">
        <v>90</v>
      </c>
      <c r="C37" s="260">
        <f>SUM(D37:P37)</f>
        <v>5</v>
      </c>
      <c r="D37" s="261">
        <v>0</v>
      </c>
      <c r="E37" s="263">
        <v>0</v>
      </c>
      <c r="F37" s="263">
        <v>1</v>
      </c>
      <c r="G37" s="263">
        <v>2</v>
      </c>
      <c r="H37" s="263">
        <v>0</v>
      </c>
      <c r="I37" s="263">
        <v>0</v>
      </c>
      <c r="J37" s="263">
        <v>1</v>
      </c>
      <c r="K37" s="263">
        <v>1</v>
      </c>
      <c r="L37" s="263">
        <v>0</v>
      </c>
      <c r="M37" s="263">
        <v>0</v>
      </c>
      <c r="N37" s="263">
        <v>0</v>
      </c>
      <c r="O37" s="263">
        <v>0</v>
      </c>
      <c r="P37" s="263">
        <v>0</v>
      </c>
      <c r="Q37" s="294">
        <v>2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7"/>
      <c r="CG37" s="191" t="str">
        <f t="shared" si="39"/>
        <v/>
      </c>
      <c r="CH37" s="191" t="str">
        <f t="shared" si="40"/>
        <v/>
      </c>
      <c r="CO37" s="1038">
        <f t="shared" si="45"/>
        <v>0</v>
      </c>
      <c r="CP37" s="1038">
        <f t="shared" si="46"/>
        <v>0</v>
      </c>
      <c r="CQ37" s="1038">
        <f t="shared" si="47"/>
        <v>0</v>
      </c>
      <c r="CR37" s="1038">
        <f t="shared" si="48"/>
        <v>0</v>
      </c>
      <c r="CS37" s="1038">
        <f t="shared" ref="CS37:CS40" si="50">IF(AND($C37&lt;&gt;0,$U37=""),1,IF($U37&gt;$C37,1,0))</f>
        <v>0</v>
      </c>
      <c r="CT37" s="1077"/>
      <c r="CU37" s="1038">
        <f t="shared" si="41"/>
        <v>0</v>
      </c>
      <c r="CV37" s="1038">
        <f t="shared" si="41"/>
        <v>0</v>
      </c>
    </row>
    <row r="38" spans="1:100" ht="15" customHeight="1" x14ac:dyDescent="0.15">
      <c r="A38" s="1617"/>
      <c r="B38" s="603" t="s">
        <v>91</v>
      </c>
      <c r="C38" s="266">
        <f>SUM(D38:P38)</f>
        <v>0</v>
      </c>
      <c r="D38" s="745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7">
        <v>0</v>
      </c>
      <c r="R38" s="745">
        <v>0</v>
      </c>
      <c r="S38" s="683">
        <v>0</v>
      </c>
      <c r="T38" s="272">
        <v>0</v>
      </c>
      <c r="U38" s="987"/>
      <c r="V38" s="270">
        <v>0</v>
      </c>
      <c r="W38" s="683">
        <v>0</v>
      </c>
      <c r="X38" s="1001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8">
        <f t="shared" si="45"/>
        <v>0</v>
      </c>
      <c r="CP38" s="1038">
        <f t="shared" si="46"/>
        <v>0</v>
      </c>
      <c r="CQ38" s="1038">
        <f t="shared" si="47"/>
        <v>0</v>
      </c>
      <c r="CR38" s="1038">
        <f t="shared" si="48"/>
        <v>0</v>
      </c>
      <c r="CS38" s="1077"/>
      <c r="CT38" s="1038">
        <f>IF(AND($C38&lt;&gt;0,V38=""),1,IF(V38&gt;$C38,1,0))</f>
        <v>0</v>
      </c>
      <c r="CU38" s="1038">
        <f t="shared" si="41"/>
        <v>0</v>
      </c>
      <c r="CV38" s="1038">
        <f t="shared" si="41"/>
        <v>0</v>
      </c>
    </row>
    <row r="39" spans="1:100" ht="15" customHeight="1" x14ac:dyDescent="0.15">
      <c r="A39" s="1686" t="s">
        <v>104</v>
      </c>
      <c r="B39" s="1687"/>
      <c r="C39" s="266">
        <f>SUM(D39:P39)</f>
        <v>0</v>
      </c>
      <c r="D39" s="745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1007">
        <v>0</v>
      </c>
      <c r="R39" s="745">
        <v>0</v>
      </c>
      <c r="S39" s="683">
        <v>0</v>
      </c>
      <c r="T39" s="272">
        <v>0</v>
      </c>
      <c r="U39" s="745">
        <v>0</v>
      </c>
      <c r="V39" s="632"/>
      <c r="W39" s="683">
        <v>0</v>
      </c>
      <c r="X39" s="1001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7"/>
      <c r="CG39" s="191" t="str">
        <f t="shared" si="39"/>
        <v/>
      </c>
      <c r="CH39" s="191" t="str">
        <f t="shared" si="40"/>
        <v/>
      </c>
      <c r="CO39" s="1038">
        <f t="shared" si="45"/>
        <v>0</v>
      </c>
      <c r="CP39" s="1038">
        <f t="shared" si="46"/>
        <v>0</v>
      </c>
      <c r="CQ39" s="1038">
        <f t="shared" si="47"/>
        <v>0</v>
      </c>
      <c r="CR39" s="1038">
        <f t="shared" si="48"/>
        <v>0</v>
      </c>
      <c r="CS39" s="1038">
        <f t="shared" si="50"/>
        <v>0</v>
      </c>
      <c r="CT39" s="1077"/>
      <c r="CU39" s="1038">
        <f t="shared" si="41"/>
        <v>0</v>
      </c>
      <c r="CV39" s="1038">
        <f t="shared" si="41"/>
        <v>0</v>
      </c>
    </row>
    <row r="40" spans="1:100" ht="15" customHeight="1" x14ac:dyDescent="0.15">
      <c r="A40" s="1679" t="s">
        <v>105</v>
      </c>
      <c r="B40" s="1680"/>
      <c r="C40" s="266">
        <f>SUM(D40:M40)</f>
        <v>21</v>
      </c>
      <c r="D40" s="745">
        <v>0</v>
      </c>
      <c r="E40" s="270">
        <v>0</v>
      </c>
      <c r="F40" s="270">
        <v>2</v>
      </c>
      <c r="G40" s="270">
        <v>9</v>
      </c>
      <c r="H40" s="270">
        <v>7</v>
      </c>
      <c r="I40" s="270">
        <v>2</v>
      </c>
      <c r="J40" s="270">
        <v>1</v>
      </c>
      <c r="K40" s="270"/>
      <c r="L40" s="270">
        <v>0</v>
      </c>
      <c r="M40" s="270">
        <v>0</v>
      </c>
      <c r="N40" s="632"/>
      <c r="O40" s="632"/>
      <c r="P40" s="999"/>
      <c r="Q40" s="1013">
        <v>8</v>
      </c>
      <c r="R40" s="745">
        <v>0</v>
      </c>
      <c r="S40" s="683">
        <v>2</v>
      </c>
      <c r="T40" s="272">
        <v>0</v>
      </c>
      <c r="U40" s="1000">
        <v>0</v>
      </c>
      <c r="V40" s="632"/>
      <c r="W40" s="683">
        <v>0</v>
      </c>
      <c r="X40" s="1001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7"/>
      <c r="CG40" s="191" t="str">
        <f t="shared" si="39"/>
        <v/>
      </c>
      <c r="CH40" s="191" t="str">
        <f t="shared" si="40"/>
        <v/>
      </c>
      <c r="CO40" s="1038">
        <f t="shared" si="45"/>
        <v>0</v>
      </c>
      <c r="CP40" s="1038">
        <f t="shared" si="46"/>
        <v>0</v>
      </c>
      <c r="CQ40" s="1038">
        <f t="shared" si="47"/>
        <v>0</v>
      </c>
      <c r="CR40" s="1038">
        <f t="shared" si="48"/>
        <v>0</v>
      </c>
      <c r="CS40" s="1038">
        <f t="shared" si="50"/>
        <v>0</v>
      </c>
      <c r="CT40" s="1077"/>
      <c r="CU40" s="1038">
        <f t="shared" si="41"/>
        <v>0</v>
      </c>
      <c r="CV40" s="1038">
        <f t="shared" si="41"/>
        <v>0</v>
      </c>
    </row>
    <row r="41" spans="1:100" ht="17.100000000000001" customHeight="1" x14ac:dyDescent="0.15">
      <c r="A41" s="1243" t="s">
        <v>106</v>
      </c>
      <c r="B41" s="1392"/>
      <c r="C41" s="1392"/>
      <c r="D41" s="1231"/>
      <c r="E41" s="1231"/>
      <c r="F41" s="1231"/>
      <c r="G41" s="35"/>
      <c r="H41" s="35"/>
    </row>
    <row r="42" spans="1:100" ht="15" customHeight="1" x14ac:dyDescent="0.15">
      <c r="A42" s="1662" t="s">
        <v>107</v>
      </c>
      <c r="B42" s="1685" t="s">
        <v>108</v>
      </c>
      <c r="C42" s="1665" t="s">
        <v>109</v>
      </c>
      <c r="D42" s="1663" t="s">
        <v>110</v>
      </c>
      <c r="E42" s="1663" t="s">
        <v>111</v>
      </c>
      <c r="F42" s="1683" t="s">
        <v>112</v>
      </c>
      <c r="G42" s="1657" t="s">
        <v>56</v>
      </c>
      <c r="H42" s="1683" t="s">
        <v>113</v>
      </c>
      <c r="I42" s="1659" t="s">
        <v>59</v>
      </c>
      <c r="J42" s="1619"/>
      <c r="K42" s="1660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62"/>
      <c r="B43" s="1685"/>
      <c r="C43" s="1665"/>
      <c r="D43" s="1664"/>
      <c r="E43" s="1664"/>
      <c r="F43" s="1684"/>
      <c r="G43" s="1658"/>
      <c r="H43" s="1684"/>
      <c r="I43" s="1233" t="s">
        <v>76</v>
      </c>
      <c r="J43" s="1245" t="s">
        <v>78</v>
      </c>
      <c r="K43" s="166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0</v>
      </c>
      <c r="C44" s="1168">
        <v>0</v>
      </c>
      <c r="D44" s="263">
        <v>0</v>
      </c>
      <c r="E44" s="263">
        <v>0</v>
      </c>
      <c r="F44" s="264">
        <v>0</v>
      </c>
      <c r="G44" s="1168">
        <v>0</v>
      </c>
      <c r="H44" s="264">
        <v>0</v>
      </c>
      <c r="I44" s="116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8">
        <f>IF($B44&lt;$C44,1,0)</f>
        <v>0</v>
      </c>
      <c r="CO44" s="1038">
        <f>IF($C44&lt;$E44,1,0)</f>
        <v>0</v>
      </c>
      <c r="CP44" s="1038">
        <f>IF($B44&lt;$D44,1,0)</f>
        <v>0</v>
      </c>
      <c r="CQ44" s="1038">
        <f>IF($B44&lt;$F44,1,0)</f>
        <v>0</v>
      </c>
      <c r="CR44" s="1038">
        <f>IF(AND($B44&lt;&gt;0,G44=""),1,IF(G44&gt;$B44,1,0))</f>
        <v>0</v>
      </c>
      <c r="CS44" s="1038">
        <f>IF(AND($B44&lt;&gt;0,$H44=""),1,IF($H44&gt;$B44,1,0))</f>
        <v>0</v>
      </c>
      <c r="CT44" s="1038">
        <f>IF(AND($B44&lt;&gt;0,$I44=""),1,IF($I44&gt;$B44,1,0))</f>
        <v>0</v>
      </c>
      <c r="CU44" s="1038">
        <f>IF(AND($B44&lt;&gt;0,$J44=""),1,IF($J44&gt;$B44,1,0))</f>
        <v>0</v>
      </c>
      <c r="CV44" s="1038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5</v>
      </c>
      <c r="C45" s="1169">
        <v>4</v>
      </c>
      <c r="D45" s="278">
        <v>0</v>
      </c>
      <c r="E45" s="278">
        <v>0</v>
      </c>
      <c r="F45" s="279">
        <v>0</v>
      </c>
      <c r="G45" s="1169">
        <v>1</v>
      </c>
      <c r="H45" s="279">
        <v>0</v>
      </c>
      <c r="I45" s="1169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8">
        <f t="shared" ref="CN45:CN52" si="58">IF($B45&lt;$C45,1,0)</f>
        <v>0</v>
      </c>
      <c r="CO45" s="1038">
        <f t="shared" ref="CO45:CO52" si="59">IF($C45&lt;$E45,1,0)</f>
        <v>0</v>
      </c>
      <c r="CP45" s="1038">
        <f t="shared" ref="CP45:CP52" si="60">IF($B45&lt;$D45,1,0)</f>
        <v>0</v>
      </c>
      <c r="CQ45" s="1038">
        <f t="shared" ref="CQ45:CQ52" si="61">IF($B45&lt;$F45,1,0)</f>
        <v>0</v>
      </c>
      <c r="CR45" s="1038">
        <f t="shared" ref="CR45:CR52" si="62">IF(AND($B45&lt;&gt;0,G45=""),1,IF(G45&gt;$B45,1,0))</f>
        <v>0</v>
      </c>
      <c r="CS45" s="1038">
        <f t="shared" ref="CS45:CS52" si="63">IF(AND($B45&lt;&gt;0,$H45=""),1,IF($H45&gt;$B45,1,0))</f>
        <v>0</v>
      </c>
      <c r="CT45" s="1038">
        <f t="shared" ref="CT45:CT52" si="64">IF(AND($B45&lt;&gt;0,$I45=""),1,IF($I45&gt;$B45,1,0))</f>
        <v>0</v>
      </c>
      <c r="CU45" s="1038">
        <f t="shared" ref="CU45:CU52" si="65">IF(AND($B45&lt;&gt;0,$J45=""),1,IF($J45&gt;$B45,1,0))</f>
        <v>0</v>
      </c>
      <c r="CV45" s="1038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17</v>
      </c>
      <c r="C46" s="1169">
        <v>13</v>
      </c>
      <c r="D46" s="278">
        <v>3</v>
      </c>
      <c r="E46" s="278">
        <v>2</v>
      </c>
      <c r="F46" s="279">
        <v>4</v>
      </c>
      <c r="G46" s="1169">
        <v>3</v>
      </c>
      <c r="H46" s="279">
        <v>1</v>
      </c>
      <c r="I46" s="1169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8">
        <f t="shared" si="58"/>
        <v>0</v>
      </c>
      <c r="CO46" s="1038">
        <f t="shared" si="59"/>
        <v>0</v>
      </c>
      <c r="CP46" s="1038">
        <f t="shared" si="60"/>
        <v>0</v>
      </c>
      <c r="CQ46" s="1038">
        <f t="shared" si="61"/>
        <v>0</v>
      </c>
      <c r="CR46" s="1038">
        <f t="shared" si="62"/>
        <v>0</v>
      </c>
      <c r="CS46" s="1038">
        <f t="shared" si="63"/>
        <v>0</v>
      </c>
      <c r="CT46" s="1038">
        <f t="shared" si="64"/>
        <v>0</v>
      </c>
      <c r="CU46" s="1038">
        <f t="shared" si="65"/>
        <v>0</v>
      </c>
      <c r="CV46" s="1038">
        <f t="shared" si="66"/>
        <v>0</v>
      </c>
    </row>
    <row r="47" spans="1:100" ht="15" customHeight="1" x14ac:dyDescent="0.15">
      <c r="A47" s="41" t="s">
        <v>64</v>
      </c>
      <c r="B47" s="297">
        <v>40</v>
      </c>
      <c r="C47" s="1170">
        <v>24</v>
      </c>
      <c r="D47" s="282">
        <v>1</v>
      </c>
      <c r="E47" s="282">
        <v>2</v>
      </c>
      <c r="F47" s="1172">
        <v>18</v>
      </c>
      <c r="G47" s="1170">
        <v>9</v>
      </c>
      <c r="H47" s="1172">
        <v>2</v>
      </c>
      <c r="I47" s="1170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8">
        <f t="shared" si="58"/>
        <v>0</v>
      </c>
      <c r="CO47" s="1038">
        <f t="shared" si="59"/>
        <v>0</v>
      </c>
      <c r="CP47" s="1038">
        <f t="shared" si="60"/>
        <v>0</v>
      </c>
      <c r="CQ47" s="1038">
        <f t="shared" si="61"/>
        <v>0</v>
      </c>
      <c r="CR47" s="1038">
        <f t="shared" si="62"/>
        <v>0</v>
      </c>
      <c r="CS47" s="1038">
        <f t="shared" si="63"/>
        <v>0</v>
      </c>
      <c r="CT47" s="1038">
        <f t="shared" si="64"/>
        <v>0</v>
      </c>
      <c r="CU47" s="1038">
        <f t="shared" si="65"/>
        <v>0</v>
      </c>
      <c r="CV47" s="1038">
        <f t="shared" si="66"/>
        <v>0</v>
      </c>
    </row>
    <row r="48" spans="1:100" ht="15" customHeight="1" x14ac:dyDescent="0.15">
      <c r="A48" s="41" t="s">
        <v>65</v>
      </c>
      <c r="B48" s="297">
        <v>24</v>
      </c>
      <c r="C48" s="1170">
        <v>13</v>
      </c>
      <c r="D48" s="282">
        <v>1</v>
      </c>
      <c r="E48" s="282">
        <v>0</v>
      </c>
      <c r="F48" s="1172">
        <v>4</v>
      </c>
      <c r="G48" s="1170">
        <v>9</v>
      </c>
      <c r="H48" s="1172">
        <v>1</v>
      </c>
      <c r="I48" s="1170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8">
        <f t="shared" si="58"/>
        <v>0</v>
      </c>
      <c r="CO48" s="1038">
        <f t="shared" si="59"/>
        <v>0</v>
      </c>
      <c r="CP48" s="1038">
        <f t="shared" si="60"/>
        <v>0</v>
      </c>
      <c r="CQ48" s="1038">
        <f t="shared" si="61"/>
        <v>0</v>
      </c>
      <c r="CR48" s="1038">
        <f t="shared" si="62"/>
        <v>0</v>
      </c>
      <c r="CS48" s="1038">
        <f t="shared" si="63"/>
        <v>0</v>
      </c>
      <c r="CT48" s="1038">
        <f t="shared" si="64"/>
        <v>0</v>
      </c>
      <c r="CU48" s="1038">
        <f t="shared" si="65"/>
        <v>0</v>
      </c>
      <c r="CV48" s="1038">
        <f t="shared" si="66"/>
        <v>0</v>
      </c>
    </row>
    <row r="49" spans="1:100" ht="15" customHeight="1" x14ac:dyDescent="0.15">
      <c r="A49" s="41" t="s">
        <v>66</v>
      </c>
      <c r="B49" s="297">
        <v>15</v>
      </c>
      <c r="C49" s="1170">
        <v>9</v>
      </c>
      <c r="D49" s="282">
        <v>2</v>
      </c>
      <c r="E49" s="282">
        <v>0</v>
      </c>
      <c r="F49" s="1172">
        <v>5</v>
      </c>
      <c r="G49" s="1170">
        <v>2</v>
      </c>
      <c r="H49" s="1172">
        <v>3</v>
      </c>
      <c r="I49" s="1170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8">
        <f t="shared" si="58"/>
        <v>0</v>
      </c>
      <c r="CO49" s="1038">
        <f t="shared" si="59"/>
        <v>0</v>
      </c>
      <c r="CP49" s="1038">
        <f t="shared" si="60"/>
        <v>0</v>
      </c>
      <c r="CQ49" s="1038">
        <f t="shared" si="61"/>
        <v>0</v>
      </c>
      <c r="CR49" s="1038">
        <f t="shared" si="62"/>
        <v>0</v>
      </c>
      <c r="CS49" s="1038">
        <f t="shared" si="63"/>
        <v>0</v>
      </c>
      <c r="CT49" s="1038">
        <f t="shared" si="64"/>
        <v>0</v>
      </c>
      <c r="CU49" s="1038">
        <f t="shared" si="65"/>
        <v>0</v>
      </c>
      <c r="CV49" s="1038">
        <f t="shared" si="66"/>
        <v>0</v>
      </c>
    </row>
    <row r="50" spans="1:100" ht="15" customHeight="1" x14ac:dyDescent="0.15">
      <c r="A50" s="41" t="s">
        <v>67</v>
      </c>
      <c r="B50" s="297">
        <v>3</v>
      </c>
      <c r="C50" s="1170">
        <v>2</v>
      </c>
      <c r="D50" s="282">
        <v>1</v>
      </c>
      <c r="E50" s="282">
        <v>0</v>
      </c>
      <c r="F50" s="1172">
        <v>1</v>
      </c>
      <c r="G50" s="1170">
        <v>2</v>
      </c>
      <c r="H50" s="1172">
        <v>0</v>
      </c>
      <c r="I50" s="1170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8">
        <f t="shared" si="58"/>
        <v>0</v>
      </c>
      <c r="CO50" s="1038">
        <f t="shared" si="59"/>
        <v>0</v>
      </c>
      <c r="CP50" s="1038">
        <f t="shared" si="60"/>
        <v>0</v>
      </c>
      <c r="CQ50" s="1038">
        <f t="shared" si="61"/>
        <v>0</v>
      </c>
      <c r="CR50" s="1038">
        <f t="shared" si="62"/>
        <v>0</v>
      </c>
      <c r="CS50" s="1038">
        <f t="shared" si="63"/>
        <v>0</v>
      </c>
      <c r="CT50" s="1038">
        <f t="shared" si="64"/>
        <v>0</v>
      </c>
      <c r="CU50" s="1038">
        <f t="shared" si="65"/>
        <v>0</v>
      </c>
      <c r="CV50" s="1038">
        <f t="shared" si="66"/>
        <v>0</v>
      </c>
    </row>
    <row r="51" spans="1:100" ht="15" customHeight="1" x14ac:dyDescent="0.15">
      <c r="A51" s="41" t="s">
        <v>68</v>
      </c>
      <c r="B51" s="297">
        <v>0</v>
      </c>
      <c r="C51" s="1170">
        <v>0</v>
      </c>
      <c r="D51" s="282">
        <v>0</v>
      </c>
      <c r="E51" s="282">
        <v>0</v>
      </c>
      <c r="F51" s="1172">
        <v>0</v>
      </c>
      <c r="G51" s="1170">
        <v>0</v>
      </c>
      <c r="H51" s="1172">
        <v>0</v>
      </c>
      <c r="I51" s="1170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8">
        <f t="shared" si="58"/>
        <v>0</v>
      </c>
      <c r="CO51" s="1038">
        <f t="shared" si="59"/>
        <v>0</v>
      </c>
      <c r="CP51" s="1038">
        <f t="shared" si="60"/>
        <v>0</v>
      </c>
      <c r="CQ51" s="1038">
        <f t="shared" si="61"/>
        <v>0</v>
      </c>
      <c r="CR51" s="1038">
        <f t="shared" si="62"/>
        <v>0</v>
      </c>
      <c r="CS51" s="1038">
        <f t="shared" si="63"/>
        <v>0</v>
      </c>
      <c r="CT51" s="1038">
        <f t="shared" si="64"/>
        <v>0</v>
      </c>
      <c r="CU51" s="1038">
        <f t="shared" si="65"/>
        <v>0</v>
      </c>
      <c r="CV51" s="1038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70">
        <v>0</v>
      </c>
      <c r="D52" s="282">
        <v>0</v>
      </c>
      <c r="E52" s="282">
        <v>0</v>
      </c>
      <c r="F52" s="1172">
        <v>0</v>
      </c>
      <c r="G52" s="1170">
        <v>0</v>
      </c>
      <c r="H52" s="1172">
        <v>0</v>
      </c>
      <c r="I52" s="117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8">
        <f t="shared" si="58"/>
        <v>0</v>
      </c>
      <c r="CO52" s="1038">
        <f t="shared" si="59"/>
        <v>0</v>
      </c>
      <c r="CP52" s="1038">
        <f t="shared" si="60"/>
        <v>0</v>
      </c>
      <c r="CQ52" s="1038">
        <f t="shared" si="61"/>
        <v>0</v>
      </c>
      <c r="CR52" s="1038">
        <f t="shared" si="62"/>
        <v>0</v>
      </c>
      <c r="CS52" s="1038">
        <f t="shared" si="63"/>
        <v>0</v>
      </c>
      <c r="CT52" s="1038">
        <f t="shared" si="64"/>
        <v>0</v>
      </c>
      <c r="CU52" s="1038">
        <f t="shared" si="65"/>
        <v>0</v>
      </c>
      <c r="CV52" s="1038">
        <f t="shared" si="66"/>
        <v>0</v>
      </c>
    </row>
    <row r="53" spans="1:100" ht="15" customHeight="1" x14ac:dyDescent="0.15">
      <c r="A53" s="1396" t="s">
        <v>94</v>
      </c>
      <c r="B53" s="1397">
        <f t="shared" ref="B53:K53" si="67">SUM(B44:B52)</f>
        <v>104</v>
      </c>
      <c r="C53" s="1171">
        <f t="shared" si="67"/>
        <v>65</v>
      </c>
      <c r="D53" s="1173">
        <f>SUM(D44:D52)</f>
        <v>8</v>
      </c>
      <c r="E53" s="1173">
        <f t="shared" si="67"/>
        <v>4</v>
      </c>
      <c r="F53" s="1398">
        <f t="shared" si="67"/>
        <v>32</v>
      </c>
      <c r="G53" s="1171">
        <f t="shared" si="67"/>
        <v>26</v>
      </c>
      <c r="H53" s="1398">
        <f t="shared" si="67"/>
        <v>7</v>
      </c>
      <c r="I53" s="1171">
        <f t="shared" si="67"/>
        <v>0</v>
      </c>
      <c r="J53" s="1397">
        <f t="shared" si="67"/>
        <v>0</v>
      </c>
      <c r="K53" s="1397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03" t="s">
        <v>115</v>
      </c>
      <c r="B54" s="1604"/>
      <c r="C54" s="1604"/>
      <c r="D54" s="1604"/>
      <c r="E54" s="1604"/>
      <c r="F54" s="220"/>
      <c r="G54" s="220"/>
      <c r="H54" s="220"/>
      <c r="I54" s="220"/>
      <c r="J54" s="220"/>
      <c r="K54" s="220"/>
    </row>
    <row r="55" spans="1:100" ht="18" customHeight="1" x14ac:dyDescent="0.15">
      <c r="A55" s="1662" t="s">
        <v>116</v>
      </c>
      <c r="B55" s="1662" t="s">
        <v>117</v>
      </c>
      <c r="C55" s="1662" t="s">
        <v>118</v>
      </c>
      <c r="D55" s="1662" t="s">
        <v>119</v>
      </c>
      <c r="E55" s="33"/>
    </row>
    <row r="56" spans="1:100" ht="18" customHeight="1" x14ac:dyDescent="0.15">
      <c r="A56" s="1662"/>
      <c r="B56" s="1662"/>
      <c r="C56" s="1662"/>
      <c r="D56" s="1662"/>
      <c r="E56" s="33"/>
    </row>
    <row r="57" spans="1:100" ht="15" customHeight="1" x14ac:dyDescent="0.15">
      <c r="A57" s="40" t="s">
        <v>120</v>
      </c>
      <c r="B57" s="298">
        <v>66</v>
      </c>
      <c r="C57" s="260">
        <f>B57*1</f>
        <v>66</v>
      </c>
      <c r="D57" s="298">
        <v>6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8">
        <f>IF($C$57&lt;&gt;$B$57*1,1,0)</f>
        <v>0</v>
      </c>
      <c r="CO57" s="1038">
        <f>IF(AND($B57&lt;&gt;0,$D57=""),1,0)</f>
        <v>0</v>
      </c>
    </row>
    <row r="58" spans="1:100" ht="15" customHeight="1" x14ac:dyDescent="0.15">
      <c r="A58" s="41" t="s">
        <v>121</v>
      </c>
      <c r="B58" s="299">
        <v>18</v>
      </c>
      <c r="C58" s="300">
        <f>B58*2</f>
        <v>36</v>
      </c>
      <c r="D58" s="299">
        <v>3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8">
        <f>IF($C$58&lt;&gt;$B$58*2,1,0)</f>
        <v>0</v>
      </c>
      <c r="CO58" s="1038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4</v>
      </c>
      <c r="C59" s="289">
        <f>B59*3</f>
        <v>12</v>
      </c>
      <c r="D59" s="299">
        <v>1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8">
        <f>IF($C$59&lt;&gt;$B$59*3,1,0)</f>
        <v>0</v>
      </c>
      <c r="CO59" s="1038">
        <f t="shared" si="70"/>
        <v>0</v>
      </c>
    </row>
    <row r="60" spans="1:100" ht="15" customHeight="1" x14ac:dyDescent="0.15">
      <c r="A60" s="42" t="s">
        <v>123</v>
      </c>
      <c r="B60" s="301">
        <v>7</v>
      </c>
      <c r="C60" s="301">
        <v>28</v>
      </c>
      <c r="D60" s="301">
        <v>5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8"/>
      <c r="CO60" s="1038">
        <f>IF(AND($B60&lt;&gt;0,$D60=""),1,0)</f>
        <v>0</v>
      </c>
    </row>
    <row r="61" spans="1:100" ht="15" customHeight="1" x14ac:dyDescent="0.15">
      <c r="A61" s="1396" t="s">
        <v>94</v>
      </c>
      <c r="B61" s="1386">
        <f>SUM(B57:B60)</f>
        <v>95</v>
      </c>
      <c r="C61" s="1386">
        <f>SUM(C57:C60)</f>
        <v>142</v>
      </c>
      <c r="D61" s="1386">
        <f>SUM(D57:D60)</f>
        <v>15</v>
      </c>
      <c r="E61" s="33"/>
    </row>
    <row r="62" spans="1:100" ht="17.100000000000001" customHeight="1" x14ac:dyDescent="0.15">
      <c r="A62" s="1605" t="s">
        <v>124</v>
      </c>
      <c r="B62" s="1606"/>
      <c r="C62" s="1606"/>
      <c r="D62" s="1606"/>
      <c r="E62" s="1606"/>
      <c r="F62" s="1606"/>
      <c r="G62" s="1606"/>
      <c r="H62" s="1606"/>
      <c r="I62" s="1606"/>
      <c r="J62" s="1606"/>
      <c r="K62" s="1606"/>
      <c r="L62" s="1606"/>
    </row>
    <row r="63" spans="1:100" ht="15" customHeight="1" x14ac:dyDescent="0.15">
      <c r="A63" s="1689" t="s">
        <v>125</v>
      </c>
      <c r="B63" s="1616" t="s">
        <v>126</v>
      </c>
      <c r="C63" s="1616" t="s">
        <v>54</v>
      </c>
      <c r="D63" s="1618" t="s">
        <v>55</v>
      </c>
      <c r="E63" s="1659"/>
      <c r="F63" s="1659"/>
      <c r="G63" s="1659"/>
      <c r="H63" s="1659"/>
      <c r="I63" s="1659"/>
      <c r="J63" s="1659"/>
      <c r="K63" s="1659"/>
      <c r="L63" s="1619"/>
    </row>
    <row r="64" spans="1:100" ht="15" customHeight="1" x14ac:dyDescent="0.15">
      <c r="A64" s="1690"/>
      <c r="B64" s="1617"/>
      <c r="C64" s="1617"/>
      <c r="D64" s="1200" t="s">
        <v>127</v>
      </c>
      <c r="E64" s="1183" t="s">
        <v>62</v>
      </c>
      <c r="F64" s="1183" t="s">
        <v>63</v>
      </c>
      <c r="G64" s="818" t="s">
        <v>64</v>
      </c>
      <c r="H64" s="818" t="s">
        <v>65</v>
      </c>
      <c r="I64" s="818" t="s">
        <v>66</v>
      </c>
      <c r="J64" s="818" t="s">
        <v>67</v>
      </c>
      <c r="K64" s="818" t="s">
        <v>68</v>
      </c>
      <c r="L64" s="1400" t="s">
        <v>69</v>
      </c>
      <c r="M64" s="33"/>
    </row>
    <row r="65" spans="1:100" ht="15" customHeight="1" x14ac:dyDescent="0.15">
      <c r="A65" s="1616" t="s">
        <v>128</v>
      </c>
      <c r="B65" s="43" t="s">
        <v>129</v>
      </c>
      <c r="C65" s="302">
        <f>SUM(D65:L65)</f>
        <v>48</v>
      </c>
      <c r="D65" s="261">
        <v>0</v>
      </c>
      <c r="E65" s="263">
        <v>2</v>
      </c>
      <c r="F65" s="263">
        <v>3</v>
      </c>
      <c r="G65" s="263">
        <v>23</v>
      </c>
      <c r="H65" s="263">
        <v>11</v>
      </c>
      <c r="I65" s="263">
        <v>9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95"/>
      <c r="B66" s="44" t="s">
        <v>130</v>
      </c>
      <c r="C66" s="303">
        <f>SUM(D66:L66)</f>
        <v>43</v>
      </c>
      <c r="D66" s="309">
        <v>0</v>
      </c>
      <c r="E66" s="278">
        <v>3</v>
      </c>
      <c r="F66" s="278">
        <v>10</v>
      </c>
      <c r="G66" s="278">
        <v>13</v>
      </c>
      <c r="H66" s="278">
        <v>10</v>
      </c>
      <c r="I66" s="278">
        <v>5</v>
      </c>
      <c r="J66" s="278">
        <v>2</v>
      </c>
      <c r="K66" s="278">
        <v>0</v>
      </c>
      <c r="L66" s="280">
        <v>0</v>
      </c>
    </row>
    <row r="67" spans="1:100" ht="15" customHeight="1" x14ac:dyDescent="0.15">
      <c r="A67" s="1695"/>
      <c r="B67" s="44" t="s">
        <v>131</v>
      </c>
      <c r="C67" s="303">
        <f t="shared" ref="C67:C73" si="71">SUM(D67:L67)</f>
        <v>13</v>
      </c>
      <c r="D67" s="309">
        <v>0</v>
      </c>
      <c r="E67" s="278">
        <v>0</v>
      </c>
      <c r="F67" s="278">
        <v>4</v>
      </c>
      <c r="G67" s="278">
        <v>4</v>
      </c>
      <c r="H67" s="278">
        <v>3</v>
      </c>
      <c r="I67" s="278">
        <v>1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95"/>
      <c r="B68" s="45" t="s">
        <v>132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7"/>
      <c r="B69" s="1396" t="s">
        <v>94</v>
      </c>
      <c r="C69" s="1386">
        <f>SUM(D69:L69)</f>
        <v>104</v>
      </c>
      <c r="D69" s="1201">
        <f>SUM(D65:D68)</f>
        <v>0</v>
      </c>
      <c r="E69" s="1173">
        <f t="shared" ref="E69:L69" si="72">SUM(E65:E68)</f>
        <v>5</v>
      </c>
      <c r="F69" s="1173">
        <f t="shared" si="72"/>
        <v>17</v>
      </c>
      <c r="G69" s="1173">
        <f t="shared" si="72"/>
        <v>40</v>
      </c>
      <c r="H69" s="1173">
        <f t="shared" si="72"/>
        <v>24</v>
      </c>
      <c r="I69" s="1173">
        <f t="shared" si="72"/>
        <v>15</v>
      </c>
      <c r="J69" s="1173">
        <f t="shared" si="72"/>
        <v>3</v>
      </c>
      <c r="K69" s="1173">
        <f t="shared" si="72"/>
        <v>0</v>
      </c>
      <c r="L69" s="1397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8">
        <f>IF($B$44&lt;&gt;$D69,1,0)</f>
        <v>0</v>
      </c>
      <c r="CO69" s="1038">
        <f>IF($B$45&lt;&gt;$E69,1,0)</f>
        <v>0</v>
      </c>
      <c r="CP69" s="1038">
        <f>IF($B$46&lt;&gt;$F69,1,0)</f>
        <v>0</v>
      </c>
      <c r="CQ69" s="1038">
        <f>IF($B$47&lt;&gt;$G69,1,0)</f>
        <v>0</v>
      </c>
      <c r="CR69" s="1038">
        <f>IF($B$48&lt;&gt;$H69,1,0)</f>
        <v>0</v>
      </c>
      <c r="CS69" s="1038">
        <f>IF($B$49&lt;&gt;$I69,1,0)</f>
        <v>0</v>
      </c>
      <c r="CT69" s="1038">
        <f>IF($B$50&lt;&gt;$J69,1,0)</f>
        <v>0</v>
      </c>
      <c r="CU69" s="1038">
        <f>IF($B$51&lt;&gt;$K69,1,0)</f>
        <v>0</v>
      </c>
      <c r="CV69" s="1038">
        <f>IF($B$52&lt;&gt;$L69,1,0)</f>
        <v>0</v>
      </c>
    </row>
    <row r="70" spans="1:100" ht="15" customHeight="1" x14ac:dyDescent="0.15">
      <c r="A70" s="1616" t="s">
        <v>133</v>
      </c>
      <c r="B70" s="43" t="s">
        <v>129</v>
      </c>
      <c r="C70" s="302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95"/>
      <c r="B71" s="44" t="s">
        <v>130</v>
      </c>
      <c r="C71" s="303">
        <f t="shared" si="71"/>
        <v>0</v>
      </c>
      <c r="D71" s="309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95"/>
      <c r="B72" s="44" t="s">
        <v>131</v>
      </c>
      <c r="C72" s="303">
        <f t="shared" si="71"/>
        <v>0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95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17"/>
      <c r="B74" s="1396" t="s">
        <v>94</v>
      </c>
      <c r="C74" s="1401">
        <f>SUM(D74:L74)</f>
        <v>0</v>
      </c>
      <c r="D74" s="1202">
        <f>SUM(D70:D73)</f>
        <v>0</v>
      </c>
      <c r="E74" s="1184">
        <f>SUM(E70:E73)</f>
        <v>0</v>
      </c>
      <c r="F74" s="1184">
        <f t="shared" ref="F74:L74" si="73">SUM(F70:F73)</f>
        <v>0</v>
      </c>
      <c r="G74" s="1184">
        <f>SUM(G70:G73)</f>
        <v>0</v>
      </c>
      <c r="H74" s="1184">
        <f t="shared" si="73"/>
        <v>0</v>
      </c>
      <c r="I74" s="1184">
        <f t="shared" si="73"/>
        <v>0</v>
      </c>
      <c r="J74" s="1184">
        <f>SUM(J70:J73)</f>
        <v>0</v>
      </c>
      <c r="K74" s="1184">
        <f t="shared" si="73"/>
        <v>0</v>
      </c>
      <c r="L74" s="1402">
        <f t="shared" si="73"/>
        <v>0</v>
      </c>
    </row>
    <row r="75" spans="1:100" ht="17.100000000000001" customHeight="1" x14ac:dyDescent="0.15">
      <c r="A75" s="1603" t="s">
        <v>134</v>
      </c>
      <c r="B75" s="1604"/>
      <c r="C75" s="1604"/>
      <c r="D75" s="1403"/>
      <c r="E75" s="1403"/>
      <c r="F75" s="1403"/>
      <c r="G75" s="1403"/>
      <c r="H75" s="1403"/>
      <c r="I75" s="1403"/>
      <c r="J75" s="1403"/>
      <c r="K75" s="1403"/>
      <c r="L75" s="1403"/>
    </row>
    <row r="76" spans="1:100" ht="15" customHeight="1" x14ac:dyDescent="0.15">
      <c r="A76" s="1399" t="s">
        <v>135</v>
      </c>
      <c r="B76" s="1394" t="s">
        <v>54</v>
      </c>
      <c r="C76" s="1246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8">
        <f>IF($B$77&lt;=$C$68,0,1)</f>
        <v>0</v>
      </c>
    </row>
    <row r="78" spans="1:100" ht="15" customHeight="1" x14ac:dyDescent="0.15">
      <c r="A78" s="47" t="s">
        <v>137</v>
      </c>
      <c r="B78" s="299">
        <v>20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8">
        <f>IF($B$78&lt;=$C$65,0,1)</f>
        <v>0</v>
      </c>
    </row>
    <row r="79" spans="1:100" ht="15" customHeight="1" x14ac:dyDescent="0.15">
      <c r="A79" s="47" t="s">
        <v>138</v>
      </c>
      <c r="B79" s="299">
        <v>13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8">
        <f>IF($B$79&lt;=$C$66,0,1)</f>
        <v>0</v>
      </c>
    </row>
    <row r="80" spans="1:100" ht="15" customHeight="1" x14ac:dyDescent="0.15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05" t="s">
        <v>141</v>
      </c>
      <c r="B82" s="1606"/>
      <c r="C82" s="1606"/>
      <c r="D82" s="1107"/>
      <c r="E82" s="1107"/>
      <c r="F82" s="35"/>
      <c r="G82" s="35"/>
      <c r="H82" s="35"/>
    </row>
    <row r="83" spans="1:96" ht="26.25" customHeight="1" x14ac:dyDescent="0.15">
      <c r="A83" s="1394" t="s">
        <v>125</v>
      </c>
      <c r="B83" s="1200" t="s">
        <v>142</v>
      </c>
      <c r="C83" s="1404" t="s">
        <v>143</v>
      </c>
      <c r="D83" s="1233" t="s">
        <v>76</v>
      </c>
      <c r="E83" s="1183" t="s">
        <v>56</v>
      </c>
      <c r="F83" s="1395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405" t="s">
        <v>144</v>
      </c>
      <c r="B84" s="1388">
        <v>3</v>
      </c>
      <c r="C84" s="1406">
        <v>206</v>
      </c>
      <c r="D84" s="1174">
        <v>0</v>
      </c>
      <c r="E84" s="807">
        <v>19</v>
      </c>
      <c r="F84" s="1389">
        <v>1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8">
        <f t="shared" ref="CP84:CP88" si="74">IF(AND($B84+C84&lt;&gt;0,D84=""),1,IF(D84&gt;$B84+$C84,1,0))</f>
        <v>0</v>
      </c>
      <c r="CQ84" s="1038">
        <f t="shared" ref="CQ84:CQ89" si="75">IF(AND($B84+$C84&lt;&gt;0,E84=""),1,IF(E84&gt;$B84+$C84,1,0))</f>
        <v>0</v>
      </c>
      <c r="CR84" s="1038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3</v>
      </c>
      <c r="C85" s="717">
        <v>206</v>
      </c>
      <c r="D85" s="1175">
        <v>0</v>
      </c>
      <c r="E85" s="275">
        <v>5</v>
      </c>
      <c r="F85" s="276">
        <v>1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8">
        <f>IF($B85&gt;$B84,1,0)</f>
        <v>0</v>
      </c>
      <c r="CO85" s="1038">
        <f>IF($C85&gt;$C84,1,0)</f>
        <v>0</v>
      </c>
      <c r="CP85" s="1038">
        <f t="shared" si="74"/>
        <v>0</v>
      </c>
      <c r="CQ85" s="1038">
        <f t="shared" si="75"/>
        <v>0</v>
      </c>
      <c r="CR85" s="1038">
        <f t="shared" si="76"/>
        <v>0</v>
      </c>
    </row>
    <row r="86" spans="1:96" ht="15" customHeight="1" x14ac:dyDescent="0.15">
      <c r="A86" s="174" t="s">
        <v>146</v>
      </c>
      <c r="B86" s="309">
        <v>3</v>
      </c>
      <c r="C86" s="279">
        <v>77</v>
      </c>
      <c r="D86" s="1169">
        <v>0</v>
      </c>
      <c r="E86" s="278">
        <v>3</v>
      </c>
      <c r="F86" s="280">
        <v>1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8"/>
      <c r="CO86" s="1038"/>
      <c r="CP86" s="1038">
        <f t="shared" si="74"/>
        <v>0</v>
      </c>
      <c r="CQ86" s="1038">
        <f t="shared" si="75"/>
        <v>0</v>
      </c>
      <c r="CR86" s="1038">
        <f t="shared" si="76"/>
        <v>0</v>
      </c>
    </row>
    <row r="87" spans="1:96" ht="15" customHeight="1" x14ac:dyDescent="0.15">
      <c r="A87" s="174" t="s">
        <v>147</v>
      </c>
      <c r="B87" s="309">
        <v>0</v>
      </c>
      <c r="C87" s="279">
        <v>128</v>
      </c>
      <c r="D87" s="1169">
        <v>0</v>
      </c>
      <c r="E87" s="278">
        <v>2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8"/>
      <c r="CO87" s="1038"/>
      <c r="CP87" s="1038">
        <f t="shared" si="74"/>
        <v>0</v>
      </c>
      <c r="CQ87" s="1038">
        <f t="shared" si="75"/>
        <v>0</v>
      </c>
      <c r="CR87" s="1038">
        <f t="shared" si="76"/>
        <v>0</v>
      </c>
    </row>
    <row r="88" spans="1:96" ht="15" customHeight="1" x14ac:dyDescent="0.15">
      <c r="A88" s="1002" t="s">
        <v>148</v>
      </c>
      <c r="B88" s="746">
        <v>0</v>
      </c>
      <c r="C88" s="1178">
        <v>117</v>
      </c>
      <c r="D88" s="1176">
        <v>0</v>
      </c>
      <c r="E88" s="286">
        <v>2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8">
        <f>IF($B88&gt;$B85,1,0)</f>
        <v>0</v>
      </c>
      <c r="CO88" s="1038">
        <f>IF($C88&gt;$C85,1,0)</f>
        <v>0</v>
      </c>
      <c r="CP88" s="1038">
        <f t="shared" si="74"/>
        <v>0</v>
      </c>
      <c r="CQ88" s="1038">
        <f t="shared" si="75"/>
        <v>0</v>
      </c>
      <c r="CR88" s="1038">
        <f t="shared" si="76"/>
        <v>0</v>
      </c>
    </row>
    <row r="89" spans="1:96" ht="21.75" customHeight="1" x14ac:dyDescent="0.15">
      <c r="A89" s="174" t="s">
        <v>149</v>
      </c>
      <c r="B89" s="309">
        <v>0</v>
      </c>
      <c r="C89" s="279">
        <v>15</v>
      </c>
      <c r="D89" s="1333"/>
      <c r="E89" s="278">
        <v>3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8">
        <f>IF($B89&gt;$B88,1,0)</f>
        <v>0</v>
      </c>
      <c r="CO89" s="1038">
        <f>IF($B89&gt;$B88,1,0)</f>
        <v>0</v>
      </c>
      <c r="CP89" s="1041"/>
      <c r="CQ89" s="1038">
        <f t="shared" si="75"/>
        <v>0</v>
      </c>
      <c r="CR89" s="1038">
        <f t="shared" si="76"/>
        <v>0</v>
      </c>
    </row>
    <row r="90" spans="1:96" ht="21" customHeight="1" x14ac:dyDescent="0.15">
      <c r="A90" s="1247" t="s">
        <v>150</v>
      </c>
      <c r="B90" s="309">
        <v>0</v>
      </c>
      <c r="C90" s="279">
        <v>1</v>
      </c>
      <c r="D90" s="1333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1"/>
      <c r="CQ90" s="1038">
        <f>IF(AND($B90+$C90&lt;&gt;0,E90=""),1,IF(E90&gt;$B90+$C90,1,0))</f>
        <v>0</v>
      </c>
      <c r="CR90" s="1038">
        <f>IF(AND($B90+C90&lt;&gt;0,F90=""),1,IF(F90&gt;$B90+$C90,1,0))</f>
        <v>0</v>
      </c>
    </row>
    <row r="91" spans="1:96" ht="15" customHeight="1" x14ac:dyDescent="0.15">
      <c r="A91" s="834" t="s">
        <v>151</v>
      </c>
      <c r="B91" s="745">
        <v>0</v>
      </c>
      <c r="C91" s="1026">
        <v>51</v>
      </c>
      <c r="D91" s="117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8">
        <f>IF(AND($B91+C91&lt;&gt;0,D91=""),1,IF(D91&gt;$B91+$C91,1,0))</f>
        <v>0</v>
      </c>
      <c r="CQ91" s="1038">
        <f>IF(AND($B91+$C91&lt;&gt;0,E91=""),1,IF(E91&gt;$B91+$C91,1,0))</f>
        <v>0</v>
      </c>
      <c r="CR91" s="1038">
        <f>IF(AND($B91+C91&lt;&gt;0,F91=""),1,IF(F91&gt;$B91+$C91,1,0))</f>
        <v>0</v>
      </c>
    </row>
    <row r="92" spans="1:96" ht="17.100000000000001" customHeight="1" x14ac:dyDescent="0.15">
      <c r="A92" s="1694" t="s">
        <v>152</v>
      </c>
      <c r="B92" s="1694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5" t="s">
        <v>153</v>
      </c>
      <c r="B93" s="1606"/>
      <c r="C93" s="1606"/>
      <c r="D93" s="1606"/>
      <c r="E93" s="1606"/>
      <c r="F93" s="1606"/>
      <c r="G93" s="1606"/>
      <c r="H93" s="1606"/>
      <c r="I93" s="219"/>
      <c r="J93" s="219"/>
      <c r="K93" s="220"/>
      <c r="L93" s="220"/>
      <c r="M93" s="220"/>
      <c r="N93" s="220"/>
    </row>
    <row r="94" spans="1:96" ht="15" customHeight="1" x14ac:dyDescent="0.15">
      <c r="A94" s="1620" t="s">
        <v>53</v>
      </c>
      <c r="B94" s="1621"/>
      <c r="C94" s="1624" t="s">
        <v>54</v>
      </c>
      <c r="D94" s="1672" t="s">
        <v>55</v>
      </c>
      <c r="E94" s="1673"/>
      <c r="F94" s="1673"/>
      <c r="G94" s="1673"/>
      <c r="H94" s="1674"/>
      <c r="I94" s="1626" t="s">
        <v>56</v>
      </c>
      <c r="J94" s="1653" t="s">
        <v>57</v>
      </c>
    </row>
    <row r="95" spans="1:96" ht="21" x14ac:dyDescent="0.15">
      <c r="A95" s="1622"/>
      <c r="B95" s="1623"/>
      <c r="C95" s="1625"/>
      <c r="D95" s="1210" t="s">
        <v>154</v>
      </c>
      <c r="E95" s="817" t="s">
        <v>68</v>
      </c>
      <c r="F95" s="817" t="s">
        <v>69</v>
      </c>
      <c r="G95" s="818" t="s">
        <v>70</v>
      </c>
      <c r="H95" s="818" t="s">
        <v>71</v>
      </c>
      <c r="I95" s="1627"/>
      <c r="J95" s="1654"/>
    </row>
    <row r="96" spans="1:96" ht="15" customHeight="1" x14ac:dyDescent="0.15">
      <c r="A96" s="1611" t="s">
        <v>155</v>
      </c>
      <c r="B96" s="1612"/>
      <c r="C96" s="260">
        <f>SUM(D96:H96)</f>
        <v>1</v>
      </c>
      <c r="D96" s="261">
        <v>0</v>
      </c>
      <c r="E96" s="262">
        <v>0</v>
      </c>
      <c r="F96" s="262">
        <v>0</v>
      </c>
      <c r="G96" s="262">
        <v>1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8">
        <f>IF(AND($C96&lt;&gt;0,$I96=""),1,IF($I96&gt;$C96,1,0))</f>
        <v>0</v>
      </c>
      <c r="CO96" s="1038">
        <f>IF(AND($C96&lt;&gt;0,J96=""),1,IF(J96&gt;$C96,1,0))</f>
        <v>0</v>
      </c>
    </row>
    <row r="97" spans="1:93" ht="15" customHeight="1" x14ac:dyDescent="0.15">
      <c r="A97" s="1248" t="s">
        <v>156</v>
      </c>
      <c r="B97" s="1249"/>
      <c r="C97" s="300">
        <f t="shared" ref="C97:C102" si="78">SUM(D97:H97)</f>
        <v>13</v>
      </c>
      <c r="D97" s="277">
        <v>1</v>
      </c>
      <c r="E97" s="277">
        <v>3</v>
      </c>
      <c r="F97" s="278">
        <v>3</v>
      </c>
      <c r="G97" s="278">
        <v>6</v>
      </c>
      <c r="H97" s="278">
        <v>0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8">
        <f t="shared" ref="CN97:CN102" si="80">IF(AND($C97&lt;&gt;0,$I97=""),1,IF($I97&gt;$C97,1,0))</f>
        <v>0</v>
      </c>
      <c r="CO97" s="1038">
        <f t="shared" ref="CO97:CO101" si="81">IF(AND($C97&lt;&gt;0,J97=""),1,IF(J97&gt;$C97,1,0))</f>
        <v>0</v>
      </c>
    </row>
    <row r="98" spans="1:93" ht="15" customHeight="1" x14ac:dyDescent="0.15">
      <c r="A98" s="1646" t="s">
        <v>157</v>
      </c>
      <c r="B98" s="1647"/>
      <c r="C98" s="273">
        <f t="shared" si="78"/>
        <v>8</v>
      </c>
      <c r="D98" s="274">
        <v>1</v>
      </c>
      <c r="E98" s="274">
        <v>2</v>
      </c>
      <c r="F98" s="274">
        <v>1</v>
      </c>
      <c r="G98" s="274">
        <v>4</v>
      </c>
      <c r="H98" s="274">
        <v>0</v>
      </c>
      <c r="I98" s="1008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8">
        <f t="shared" si="80"/>
        <v>0</v>
      </c>
      <c r="CO98" s="1038">
        <f t="shared" si="81"/>
        <v>0</v>
      </c>
    </row>
    <row r="99" spans="1:93" ht="15" customHeight="1" x14ac:dyDescent="0.15">
      <c r="A99" s="1609" t="s">
        <v>158</v>
      </c>
      <c r="B99" s="1610"/>
      <c r="C99" s="300">
        <f t="shared" si="78"/>
        <v>4</v>
      </c>
      <c r="D99" s="277">
        <v>0</v>
      </c>
      <c r="E99" s="277">
        <v>1</v>
      </c>
      <c r="F99" s="277">
        <v>3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8">
        <f t="shared" si="80"/>
        <v>0</v>
      </c>
      <c r="CO99" s="1038">
        <f t="shared" si="81"/>
        <v>0</v>
      </c>
    </row>
    <row r="100" spans="1:93" ht="15" customHeight="1" x14ac:dyDescent="0.15">
      <c r="A100" s="1609" t="s">
        <v>159</v>
      </c>
      <c r="B100" s="1610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8">
        <f t="shared" si="80"/>
        <v>0</v>
      </c>
      <c r="CO100" s="1038">
        <f t="shared" si="81"/>
        <v>0</v>
      </c>
    </row>
    <row r="101" spans="1:93" ht="15" customHeight="1" x14ac:dyDescent="0.15">
      <c r="A101" s="1609" t="s">
        <v>160</v>
      </c>
      <c r="B101" s="1610"/>
      <c r="C101" s="300">
        <f t="shared" si="78"/>
        <v>12</v>
      </c>
      <c r="D101" s="277">
        <v>0</v>
      </c>
      <c r="E101" s="277">
        <v>0</v>
      </c>
      <c r="F101" s="277">
        <v>7</v>
      </c>
      <c r="G101" s="277">
        <v>5</v>
      </c>
      <c r="H101" s="277">
        <v>0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8">
        <f>IF(AND($C101&lt;&gt;0,$I101=""),1,IF($I101&gt;$C101,1,0))</f>
        <v>0</v>
      </c>
      <c r="CO101" s="1038">
        <f t="shared" si="81"/>
        <v>0</v>
      </c>
    </row>
    <row r="102" spans="1:93" ht="15" customHeight="1" x14ac:dyDescent="0.15">
      <c r="A102" s="1691" t="s">
        <v>161</v>
      </c>
      <c r="B102" s="1692"/>
      <c r="C102" s="371">
        <f t="shared" si="78"/>
        <v>2</v>
      </c>
      <c r="D102" s="268">
        <v>0</v>
      </c>
      <c r="E102" s="268">
        <v>0</v>
      </c>
      <c r="F102" s="268">
        <v>0</v>
      </c>
      <c r="G102" s="268">
        <v>2</v>
      </c>
      <c r="H102" s="268">
        <v>0</v>
      </c>
      <c r="I102" s="101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8">
        <f t="shared" si="80"/>
        <v>0</v>
      </c>
      <c r="CO102" s="1038">
        <f>IF(AND($C102&lt;&gt;0,J102=""),1,IF(J102&gt;$C102,1,0))</f>
        <v>0</v>
      </c>
    </row>
    <row r="103" spans="1:93" ht="17.100000000000001" customHeight="1" x14ac:dyDescent="0.15">
      <c r="A103" s="1607" t="s">
        <v>162</v>
      </c>
      <c r="B103" s="1608"/>
      <c r="C103" s="1608"/>
      <c r="D103" s="1608"/>
      <c r="E103" s="1608"/>
      <c r="F103" s="220"/>
      <c r="G103" s="220"/>
      <c r="H103" s="220"/>
    </row>
    <row r="104" spans="1:93" ht="15" customHeight="1" x14ac:dyDescent="0.15">
      <c r="A104" s="1616" t="s">
        <v>125</v>
      </c>
      <c r="B104" s="1618" t="s">
        <v>163</v>
      </c>
      <c r="C104" s="1619"/>
      <c r="D104" s="1642" t="s">
        <v>164</v>
      </c>
      <c r="E104" s="1644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7"/>
      <c r="B105" s="1200" t="s">
        <v>166</v>
      </c>
      <c r="C105" s="1407" t="s">
        <v>167</v>
      </c>
      <c r="D105" s="1643"/>
      <c r="E105" s="1645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4</v>
      </c>
      <c r="C107" s="310">
        <v>4</v>
      </c>
      <c r="D107" s="309">
        <v>2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16</v>
      </c>
      <c r="C108" s="310">
        <v>10</v>
      </c>
      <c r="D108" s="309">
        <v>11</v>
      </c>
      <c r="E108" s="310">
        <v>6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38</v>
      </c>
      <c r="C109" s="310">
        <v>32</v>
      </c>
      <c r="D109" s="309">
        <v>25</v>
      </c>
      <c r="E109" s="310">
        <v>6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24</v>
      </c>
      <c r="C110" s="310">
        <v>18</v>
      </c>
      <c r="D110" s="309">
        <v>13</v>
      </c>
      <c r="E110" s="310">
        <v>3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13</v>
      </c>
      <c r="C111" s="310">
        <v>15</v>
      </c>
      <c r="D111" s="309">
        <v>8</v>
      </c>
      <c r="E111" s="310">
        <v>2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3</v>
      </c>
      <c r="C112" s="310">
        <v>2</v>
      </c>
      <c r="D112" s="309">
        <v>2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201">
        <f>SUM(B106:B114)</f>
        <v>98</v>
      </c>
      <c r="C115" s="742">
        <f>SUM(C106:C114)</f>
        <v>81</v>
      </c>
      <c r="D115" s="1040">
        <f>SUM(D106:D114)</f>
        <v>61</v>
      </c>
      <c r="E115" s="742">
        <f>SUM(E106:E114)</f>
        <v>17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78" t="s">
        <v>177</v>
      </c>
      <c r="B116" s="1388">
        <v>29</v>
      </c>
      <c r="C116" s="811">
        <v>7</v>
      </c>
      <c r="D116" s="1388">
        <v>2</v>
      </c>
      <c r="E116" s="811">
        <v>2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5" t="s">
        <v>178</v>
      </c>
      <c r="B117" s="1606"/>
      <c r="C117" s="1606"/>
      <c r="D117" s="1606"/>
      <c r="E117" s="1606"/>
      <c r="F117" s="1606"/>
      <c r="G117" s="1606"/>
      <c r="H117" s="1606"/>
      <c r="I117" s="1606"/>
      <c r="J117" s="1606"/>
      <c r="K117" s="1606"/>
      <c r="L117" s="1606"/>
    </row>
    <row r="118" spans="1:95" ht="15" customHeight="1" x14ac:dyDescent="0.15">
      <c r="A118" s="1616" t="s">
        <v>125</v>
      </c>
      <c r="B118" s="1616" t="s">
        <v>126</v>
      </c>
      <c r="C118" s="1616" t="s">
        <v>54</v>
      </c>
      <c r="D118" s="1693" t="s">
        <v>55</v>
      </c>
      <c r="E118" s="1693"/>
      <c r="F118" s="1693"/>
      <c r="G118" s="1693"/>
      <c r="H118" s="1693"/>
      <c r="I118" s="1693"/>
      <c r="J118" s="1693"/>
      <c r="K118" s="1693"/>
      <c r="L118" s="1693"/>
    </row>
    <row r="119" spans="1:95" ht="15" customHeight="1" x14ac:dyDescent="0.15">
      <c r="A119" s="1617"/>
      <c r="B119" s="1617"/>
      <c r="C119" s="1617"/>
      <c r="D119" s="1200" t="s">
        <v>127</v>
      </c>
      <c r="E119" s="1183" t="s">
        <v>62</v>
      </c>
      <c r="F119" s="1183" t="s">
        <v>63</v>
      </c>
      <c r="G119" s="1183" t="s">
        <v>64</v>
      </c>
      <c r="H119" s="1183" t="s">
        <v>65</v>
      </c>
      <c r="I119" s="1183" t="s">
        <v>66</v>
      </c>
      <c r="J119" s="1183" t="s">
        <v>67</v>
      </c>
      <c r="K119" s="1183" t="s">
        <v>68</v>
      </c>
      <c r="L119" s="1185" t="s">
        <v>69</v>
      </c>
    </row>
    <row r="120" spans="1:95" ht="15" customHeight="1" x14ac:dyDescent="0.15">
      <c r="A120" s="1613" t="s">
        <v>179</v>
      </c>
      <c r="B120" s="610" t="s">
        <v>129</v>
      </c>
      <c r="C120" s="611">
        <f>SUM(D120:L120)</f>
        <v>931</v>
      </c>
      <c r="D120" s="622">
        <v>8</v>
      </c>
      <c r="E120" s="623">
        <v>91</v>
      </c>
      <c r="F120" s="623">
        <v>122</v>
      </c>
      <c r="G120" s="623">
        <v>168</v>
      </c>
      <c r="H120" s="623">
        <v>219</v>
      </c>
      <c r="I120" s="623">
        <v>133</v>
      </c>
      <c r="J120" s="623">
        <v>98</v>
      </c>
      <c r="K120" s="623">
        <v>62</v>
      </c>
      <c r="L120" s="624">
        <v>30</v>
      </c>
      <c r="M120" s="1250"/>
      <c r="O120" s="35"/>
      <c r="P120" s="35"/>
    </row>
    <row r="121" spans="1:95" ht="15" customHeight="1" x14ac:dyDescent="0.15">
      <c r="A121" s="1614"/>
      <c r="B121" s="612" t="s">
        <v>130</v>
      </c>
      <c r="C121" s="613">
        <f>SUM(D121:L121)</f>
        <v>633</v>
      </c>
      <c r="D121" s="625">
        <v>8</v>
      </c>
      <c r="E121" s="626">
        <v>97</v>
      </c>
      <c r="F121" s="626">
        <v>111</v>
      </c>
      <c r="G121" s="626">
        <v>116</v>
      </c>
      <c r="H121" s="626">
        <v>130</v>
      </c>
      <c r="I121" s="626">
        <v>69</v>
      </c>
      <c r="J121" s="626">
        <v>53</v>
      </c>
      <c r="K121" s="626">
        <v>34</v>
      </c>
      <c r="L121" s="627">
        <v>15</v>
      </c>
      <c r="M121" s="1250"/>
      <c r="O121" s="35"/>
      <c r="P121" s="35"/>
    </row>
    <row r="122" spans="1:95" ht="15" customHeight="1" x14ac:dyDescent="0.15">
      <c r="A122" s="1614"/>
      <c r="B122" s="612" t="s">
        <v>131</v>
      </c>
      <c r="C122" s="613">
        <f>SUM(D122:L122)</f>
        <v>436</v>
      </c>
      <c r="D122" s="625">
        <v>21</v>
      </c>
      <c r="E122" s="626">
        <v>120</v>
      </c>
      <c r="F122" s="626">
        <v>99</v>
      </c>
      <c r="G122" s="626">
        <v>76</v>
      </c>
      <c r="H122" s="626">
        <v>51</v>
      </c>
      <c r="I122" s="626">
        <v>33</v>
      </c>
      <c r="J122" s="626">
        <v>18</v>
      </c>
      <c r="K122" s="626">
        <v>12</v>
      </c>
      <c r="L122" s="627">
        <v>6</v>
      </c>
      <c r="M122" s="1250"/>
      <c r="N122" s="35"/>
      <c r="O122" s="35"/>
      <c r="P122" s="35"/>
    </row>
    <row r="123" spans="1:95" ht="15" customHeight="1" x14ac:dyDescent="0.15">
      <c r="A123" s="1614"/>
      <c r="B123" s="614" t="s">
        <v>180</v>
      </c>
      <c r="C123" s="615">
        <f>SUM(D123:L123)</f>
        <v>18</v>
      </c>
      <c r="D123" s="628">
        <v>1</v>
      </c>
      <c r="E123" s="629">
        <v>9</v>
      </c>
      <c r="F123" s="629">
        <v>4</v>
      </c>
      <c r="G123" s="629">
        <v>1</v>
      </c>
      <c r="H123" s="629">
        <v>2</v>
      </c>
      <c r="I123" s="629">
        <v>0</v>
      </c>
      <c r="J123" s="629">
        <v>1</v>
      </c>
      <c r="K123" s="629">
        <v>0</v>
      </c>
      <c r="L123" s="630">
        <v>0</v>
      </c>
      <c r="M123" s="1250"/>
      <c r="N123" s="35"/>
      <c r="O123" s="35"/>
      <c r="P123" s="35"/>
    </row>
    <row r="124" spans="1:95" ht="15" customHeight="1" x14ac:dyDescent="0.15">
      <c r="A124" s="1615"/>
      <c r="B124" s="1408" t="s">
        <v>94</v>
      </c>
      <c r="C124" s="1409">
        <f>SUM(D124:L124)</f>
        <v>2018</v>
      </c>
      <c r="D124" s="1203">
        <f>SUM(D120:D123)</f>
        <v>38</v>
      </c>
      <c r="E124" s="1186">
        <f t="shared" ref="E124:L124" si="82">SUM(E120:E123)</f>
        <v>317</v>
      </c>
      <c r="F124" s="1186">
        <f t="shared" si="82"/>
        <v>336</v>
      </c>
      <c r="G124" s="1186">
        <f t="shared" si="82"/>
        <v>361</v>
      </c>
      <c r="H124" s="1186">
        <f t="shared" si="82"/>
        <v>402</v>
      </c>
      <c r="I124" s="1186">
        <f t="shared" si="82"/>
        <v>235</v>
      </c>
      <c r="J124" s="1186">
        <f t="shared" si="82"/>
        <v>170</v>
      </c>
      <c r="K124" s="1186">
        <f t="shared" si="82"/>
        <v>108</v>
      </c>
      <c r="L124" s="1187">
        <f t="shared" si="82"/>
        <v>51</v>
      </c>
      <c r="N124" s="35"/>
      <c r="O124" s="35"/>
      <c r="P124" s="35"/>
    </row>
    <row r="125" spans="1:95" ht="17.100000000000001" customHeight="1" x14ac:dyDescent="0.15">
      <c r="A125" s="1599" t="s">
        <v>181</v>
      </c>
      <c r="B125" s="1600"/>
      <c r="C125" s="1600"/>
      <c r="D125" s="1600"/>
      <c r="E125" s="1600"/>
      <c r="F125" s="1600"/>
      <c r="G125" s="1600"/>
      <c r="H125" s="753"/>
      <c r="I125" s="753"/>
      <c r="J125" s="753"/>
      <c r="K125" s="753"/>
      <c r="L125" s="753"/>
      <c r="N125" s="35"/>
      <c r="O125" s="35"/>
      <c r="P125" s="35"/>
    </row>
    <row r="126" spans="1:95" ht="15" customHeight="1" x14ac:dyDescent="0.15">
      <c r="A126" s="1636" t="s">
        <v>125</v>
      </c>
      <c r="B126" s="1613" t="s">
        <v>182</v>
      </c>
      <c r="C126" s="1638" t="s">
        <v>183</v>
      </c>
      <c r="D126" s="1631" t="s">
        <v>184</v>
      </c>
      <c r="E126" s="1640" t="s">
        <v>185</v>
      </c>
      <c r="F126" s="1629" t="s">
        <v>186</v>
      </c>
      <c r="G126" s="1631" t="s">
        <v>187</v>
      </c>
      <c r="H126" s="1633" t="s">
        <v>56</v>
      </c>
      <c r="I126" s="1634"/>
      <c r="J126" s="1635" t="s">
        <v>113</v>
      </c>
      <c r="K126" s="1634"/>
      <c r="L126" s="753"/>
      <c r="M126" s="753"/>
      <c r="N126" s="753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7"/>
      <c r="B127" s="1615"/>
      <c r="C127" s="1639"/>
      <c r="D127" s="1632"/>
      <c r="E127" s="1641"/>
      <c r="F127" s="1630"/>
      <c r="G127" s="1632"/>
      <c r="H127" s="1251" t="s">
        <v>183</v>
      </c>
      <c r="I127" s="1410" t="s">
        <v>184</v>
      </c>
      <c r="J127" s="1381" t="s">
        <v>183</v>
      </c>
      <c r="K127" s="1410" t="s">
        <v>184</v>
      </c>
      <c r="L127" s="753"/>
      <c r="M127" s="753"/>
      <c r="N127" s="753"/>
      <c r="O127" s="753"/>
      <c r="P127" s="753"/>
      <c r="Q127" s="753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8" t="s">
        <v>168</v>
      </c>
      <c r="B128" s="1343">
        <v>0</v>
      </c>
      <c r="C128" s="1344">
        <v>0</v>
      </c>
      <c r="D128" s="1345">
        <v>0</v>
      </c>
      <c r="E128" s="1346">
        <v>0</v>
      </c>
      <c r="F128" s="1347">
        <v>0</v>
      </c>
      <c r="G128" s="1345">
        <v>0</v>
      </c>
      <c r="H128" s="1346">
        <v>0</v>
      </c>
      <c r="I128" s="1348">
        <v>0</v>
      </c>
      <c r="J128" s="1344">
        <v>0</v>
      </c>
      <c r="K128" s="1348">
        <v>0</v>
      </c>
      <c r="L128" s="107" t="str">
        <f>($CA128&amp;$CB128&amp;$CC128&amp;$CD128)</f>
        <v/>
      </c>
      <c r="M128" s="753"/>
      <c r="N128" s="753"/>
      <c r="O128" s="753"/>
      <c r="P128" s="753"/>
      <c r="Q128" s="753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8">
        <f>IF(AND($C128&lt;&gt;0,H128=""),1,IF(H128&gt;$C128,1,0))</f>
        <v>0</v>
      </c>
      <c r="CO128" s="1038">
        <f>IF(AND($D128&lt;&gt;0,I128=""),1,IF(I128&gt;$D128,1,0))</f>
        <v>0</v>
      </c>
      <c r="CP128" s="1038">
        <f>IF(AND($C128&lt;&gt;0,J128=""),1,IF(J128&gt;$C128,1,0))</f>
        <v>0</v>
      </c>
      <c r="CQ128" s="1038">
        <f>IF(AND($D128&lt;&gt;0,K128=""),1,IF(K128&gt;$D128,1,0))</f>
        <v>0</v>
      </c>
    </row>
    <row r="129" spans="1:95" ht="15" customHeight="1" x14ac:dyDescent="0.15">
      <c r="A129" s="835" t="s">
        <v>169</v>
      </c>
      <c r="B129" s="1349">
        <v>5</v>
      </c>
      <c r="C129" s="1350">
        <v>5</v>
      </c>
      <c r="D129" s="1351">
        <v>5</v>
      </c>
      <c r="E129" s="1352">
        <v>0</v>
      </c>
      <c r="F129" s="1353">
        <v>0</v>
      </c>
      <c r="G129" s="1351">
        <v>0</v>
      </c>
      <c r="H129" s="1352">
        <v>0</v>
      </c>
      <c r="I129" s="1354">
        <v>0</v>
      </c>
      <c r="J129" s="1350">
        <v>0</v>
      </c>
      <c r="K129" s="1354">
        <v>0</v>
      </c>
      <c r="L129" s="107" t="str">
        <f t="shared" ref="L129:L138" si="83">($CA129&amp;$CB129&amp;$CC129&amp;$CD129)</f>
        <v/>
      </c>
      <c r="M129" s="753"/>
      <c r="N129" s="753"/>
      <c r="O129" s="753"/>
      <c r="P129" s="753"/>
      <c r="Q129" s="753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8">
        <f t="shared" ref="CN129:CN135" si="87">IF(AND($C129&lt;&gt;0,H129=""),1,IF(H129&gt;$C129,1,0))</f>
        <v>0</v>
      </c>
      <c r="CO129" s="1038">
        <f>IF(AND($D129&lt;&gt;0,$I129=""),1,IF($I129&gt;$D129,1,0))</f>
        <v>0</v>
      </c>
      <c r="CP129" s="1038">
        <f>IF(AND($C129&lt;&gt;0,J129=""),1,IF(J129&gt;$C129,1,0))</f>
        <v>0</v>
      </c>
      <c r="CQ129" s="1038">
        <f t="shared" ref="CQ129:CQ135" si="88">IF(AND($D129&lt;&gt;0,K129=""),1,IF(K129&gt;$D129,1,0))</f>
        <v>0</v>
      </c>
    </row>
    <row r="130" spans="1:95" ht="15" customHeight="1" x14ac:dyDescent="0.15">
      <c r="A130" s="835" t="s">
        <v>170</v>
      </c>
      <c r="B130" s="1349">
        <v>17</v>
      </c>
      <c r="C130" s="1350">
        <v>17</v>
      </c>
      <c r="D130" s="1351">
        <v>17</v>
      </c>
      <c r="E130" s="1352">
        <v>4</v>
      </c>
      <c r="F130" s="1353">
        <v>4</v>
      </c>
      <c r="G130" s="1351">
        <v>4</v>
      </c>
      <c r="H130" s="1352">
        <v>2</v>
      </c>
      <c r="I130" s="1354">
        <v>0</v>
      </c>
      <c r="J130" s="1350">
        <v>0</v>
      </c>
      <c r="K130" s="1354">
        <v>0</v>
      </c>
      <c r="L130" s="107" t="str">
        <f t="shared" si="83"/>
        <v/>
      </c>
      <c r="M130" s="753"/>
      <c r="N130" s="753"/>
      <c r="O130" s="753"/>
      <c r="P130" s="753"/>
      <c r="Q130" s="753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8">
        <f t="shared" si="87"/>
        <v>0</v>
      </c>
      <c r="CO130" s="1038">
        <f t="shared" ref="CO130:CO135" si="89">IF(AND($D130&lt;&gt;0,I130=""),1,IF(I130&gt;$D130,1,0))</f>
        <v>0</v>
      </c>
      <c r="CP130" s="1038">
        <f>IF(AND($C130&lt;&gt;0,J130=""),1,IF(J130&gt;$C130,1,0))</f>
        <v>0</v>
      </c>
      <c r="CQ130" s="1038">
        <f t="shared" si="88"/>
        <v>0</v>
      </c>
    </row>
    <row r="131" spans="1:95" ht="15" customHeight="1" x14ac:dyDescent="0.15">
      <c r="A131" s="835" t="s">
        <v>171</v>
      </c>
      <c r="B131" s="1349">
        <v>40</v>
      </c>
      <c r="C131" s="1350">
        <v>40</v>
      </c>
      <c r="D131" s="1351">
        <v>40</v>
      </c>
      <c r="E131" s="1352">
        <v>10</v>
      </c>
      <c r="F131" s="1353">
        <v>10</v>
      </c>
      <c r="G131" s="1351">
        <v>10</v>
      </c>
      <c r="H131" s="1352">
        <v>5</v>
      </c>
      <c r="I131" s="1354">
        <v>0</v>
      </c>
      <c r="J131" s="1350">
        <v>0</v>
      </c>
      <c r="K131" s="1354">
        <v>0</v>
      </c>
      <c r="L131" s="107" t="str">
        <f t="shared" si="83"/>
        <v/>
      </c>
      <c r="M131" s="753"/>
      <c r="N131" s="753"/>
      <c r="O131" s="753"/>
      <c r="P131" s="753"/>
      <c r="Q131" s="753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8">
        <f t="shared" si="87"/>
        <v>0</v>
      </c>
      <c r="CO131" s="1038">
        <f t="shared" si="89"/>
        <v>0</v>
      </c>
      <c r="CP131" s="1038">
        <f t="shared" ref="CP131:CP135" si="91">IF(AND($C131&lt;&gt;0,J131=""),1,IF(J131&gt;$C131,1,0))</f>
        <v>0</v>
      </c>
      <c r="CQ131" s="1038">
        <f t="shared" si="88"/>
        <v>0</v>
      </c>
    </row>
    <row r="132" spans="1:95" ht="15" customHeight="1" x14ac:dyDescent="0.15">
      <c r="A132" s="835" t="s">
        <v>172</v>
      </c>
      <c r="B132" s="1349">
        <v>24</v>
      </c>
      <c r="C132" s="1350">
        <v>24</v>
      </c>
      <c r="D132" s="1351">
        <v>24</v>
      </c>
      <c r="E132" s="1352">
        <v>5</v>
      </c>
      <c r="F132" s="1353">
        <v>5</v>
      </c>
      <c r="G132" s="1351">
        <v>5</v>
      </c>
      <c r="H132" s="1352">
        <v>3</v>
      </c>
      <c r="I132" s="1354">
        <v>0</v>
      </c>
      <c r="J132" s="1350">
        <v>0</v>
      </c>
      <c r="K132" s="1354">
        <v>0</v>
      </c>
      <c r="L132" s="107" t="str">
        <f t="shared" si="83"/>
        <v/>
      </c>
      <c r="M132" s="753"/>
      <c r="N132" s="753"/>
      <c r="O132" s="753"/>
      <c r="P132" s="753"/>
      <c r="Q132" s="753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8">
        <f t="shared" si="87"/>
        <v>0</v>
      </c>
      <c r="CO132" s="1038">
        <f t="shared" si="89"/>
        <v>0</v>
      </c>
      <c r="CP132" s="1038">
        <f t="shared" si="91"/>
        <v>0</v>
      </c>
      <c r="CQ132" s="1038">
        <f t="shared" si="88"/>
        <v>0</v>
      </c>
    </row>
    <row r="133" spans="1:95" ht="15" customHeight="1" x14ac:dyDescent="0.15">
      <c r="A133" s="835" t="s">
        <v>173</v>
      </c>
      <c r="B133" s="1349">
        <v>15</v>
      </c>
      <c r="C133" s="1350">
        <v>15</v>
      </c>
      <c r="D133" s="1351">
        <v>15</v>
      </c>
      <c r="E133" s="1352">
        <v>2</v>
      </c>
      <c r="F133" s="1353">
        <v>2</v>
      </c>
      <c r="G133" s="1351">
        <v>2</v>
      </c>
      <c r="H133" s="1352">
        <v>0</v>
      </c>
      <c r="I133" s="1354">
        <v>0</v>
      </c>
      <c r="J133" s="1350">
        <v>0</v>
      </c>
      <c r="K133" s="1354">
        <v>0</v>
      </c>
      <c r="L133" s="107" t="str">
        <f t="shared" si="83"/>
        <v/>
      </c>
      <c r="M133" s="753"/>
      <c r="N133" s="753"/>
      <c r="O133" s="753"/>
      <c r="P133" s="753"/>
      <c r="Q133" s="753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8">
        <f t="shared" si="87"/>
        <v>0</v>
      </c>
      <c r="CO133" s="1038">
        <f t="shared" si="89"/>
        <v>0</v>
      </c>
      <c r="CP133" s="1038">
        <f t="shared" si="91"/>
        <v>0</v>
      </c>
      <c r="CQ133" s="1038">
        <f t="shared" si="88"/>
        <v>0</v>
      </c>
    </row>
    <row r="134" spans="1:95" ht="15" customHeight="1" x14ac:dyDescent="0.15">
      <c r="A134" s="835" t="s">
        <v>174</v>
      </c>
      <c r="B134" s="1349">
        <v>3</v>
      </c>
      <c r="C134" s="1350">
        <v>3</v>
      </c>
      <c r="D134" s="1351">
        <v>3</v>
      </c>
      <c r="E134" s="1352">
        <v>1</v>
      </c>
      <c r="F134" s="1353">
        <v>1</v>
      </c>
      <c r="G134" s="1351">
        <v>1</v>
      </c>
      <c r="H134" s="1352">
        <v>0</v>
      </c>
      <c r="I134" s="1354">
        <v>0</v>
      </c>
      <c r="J134" s="1350">
        <v>0</v>
      </c>
      <c r="K134" s="1354">
        <v>0</v>
      </c>
      <c r="L134" s="107" t="str">
        <f t="shared" si="83"/>
        <v/>
      </c>
      <c r="M134" s="753"/>
      <c r="N134" s="753"/>
      <c r="O134" s="753"/>
      <c r="P134" s="753"/>
      <c r="Q134" s="753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8">
        <f t="shared" si="87"/>
        <v>0</v>
      </c>
      <c r="CO134" s="1038">
        <f t="shared" si="89"/>
        <v>0</v>
      </c>
      <c r="CP134" s="1038">
        <f t="shared" si="91"/>
        <v>0</v>
      </c>
      <c r="CQ134" s="1038">
        <f t="shared" si="88"/>
        <v>0</v>
      </c>
    </row>
    <row r="135" spans="1:95" ht="15" customHeight="1" x14ac:dyDescent="0.15">
      <c r="A135" s="835" t="s">
        <v>175</v>
      </c>
      <c r="B135" s="1349">
        <v>0</v>
      </c>
      <c r="C135" s="1350">
        <v>0</v>
      </c>
      <c r="D135" s="1351">
        <v>0</v>
      </c>
      <c r="E135" s="1352">
        <v>0</v>
      </c>
      <c r="F135" s="1353">
        <v>0</v>
      </c>
      <c r="G135" s="1351">
        <v>0</v>
      </c>
      <c r="H135" s="1352">
        <v>0</v>
      </c>
      <c r="I135" s="1354">
        <v>0</v>
      </c>
      <c r="J135" s="1350">
        <v>0</v>
      </c>
      <c r="K135" s="1354">
        <v>0</v>
      </c>
      <c r="L135" s="107" t="str">
        <f t="shared" si="83"/>
        <v/>
      </c>
      <c r="M135" s="753"/>
      <c r="N135" s="753"/>
      <c r="O135" s="753"/>
      <c r="P135" s="753"/>
      <c r="Q135" s="753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8">
        <f t="shared" si="87"/>
        <v>0</v>
      </c>
      <c r="CO135" s="1038">
        <f t="shared" si="89"/>
        <v>0</v>
      </c>
      <c r="CP135" s="1038">
        <f t="shared" si="91"/>
        <v>0</v>
      </c>
      <c r="CQ135" s="1038">
        <f t="shared" si="88"/>
        <v>0</v>
      </c>
    </row>
    <row r="136" spans="1:95" ht="15" customHeight="1" x14ac:dyDescent="0.15">
      <c r="A136" s="829" t="s">
        <v>176</v>
      </c>
      <c r="B136" s="1355">
        <v>0</v>
      </c>
      <c r="C136" s="1356">
        <v>0</v>
      </c>
      <c r="D136" s="1357">
        <v>0</v>
      </c>
      <c r="E136" s="1358">
        <v>0</v>
      </c>
      <c r="F136" s="1359">
        <v>0</v>
      </c>
      <c r="G136" s="1357">
        <v>0</v>
      </c>
      <c r="H136" s="1358">
        <v>0</v>
      </c>
      <c r="I136" s="1360">
        <v>0</v>
      </c>
      <c r="J136" s="1356">
        <v>0</v>
      </c>
      <c r="K136" s="1360">
        <v>0</v>
      </c>
      <c r="L136" s="107" t="str">
        <f t="shared" si="83"/>
        <v/>
      </c>
      <c r="M136" s="753"/>
      <c r="N136" s="753"/>
      <c r="O136" s="753"/>
      <c r="P136" s="753"/>
      <c r="Q136" s="753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8">
        <f>IF(AND($C136&lt;&gt;0,H136=""),1,IF(H136&gt;$C136,1,0))</f>
        <v>0</v>
      </c>
      <c r="CO136" s="1038">
        <f>IF(AND($D136&lt;&gt;0,I136=""),1,IF(I136&gt;$D136,1,0))</f>
        <v>0</v>
      </c>
      <c r="CP136" s="1038">
        <f>IF(AND($C136&lt;&gt;0,J136=""),1,IF(J136&gt;$C136,1,0))</f>
        <v>0</v>
      </c>
      <c r="CQ136" s="1038">
        <f>IF(AND($D136&lt;&gt;0,K136=""),1,IF(K136&gt;$D136,1,0))</f>
        <v>0</v>
      </c>
    </row>
    <row r="137" spans="1:95" ht="15" customHeight="1" x14ac:dyDescent="0.15">
      <c r="A137" s="1411" t="s">
        <v>94</v>
      </c>
      <c r="B137" s="1412">
        <f>SUM(B128:B136)</f>
        <v>104</v>
      </c>
      <c r="C137" s="1204">
        <f t="shared" ref="C137:G137" si="92">SUM(C128:C136)</f>
        <v>104</v>
      </c>
      <c r="D137" s="1413">
        <f t="shared" si="92"/>
        <v>104</v>
      </c>
      <c r="E137" s="1180">
        <f t="shared" si="92"/>
        <v>22</v>
      </c>
      <c r="F137" s="1181">
        <f t="shared" si="92"/>
        <v>22</v>
      </c>
      <c r="G137" s="1414">
        <f t="shared" si="92"/>
        <v>22</v>
      </c>
      <c r="H137" s="1179">
        <f t="shared" ref="H137:I137" si="93">SUM(H128:H136)</f>
        <v>10</v>
      </c>
      <c r="I137" s="1415">
        <f t="shared" si="93"/>
        <v>0</v>
      </c>
      <c r="J137" s="1204">
        <f t="shared" ref="J137:K137" si="94">SUM(J128:J136)</f>
        <v>0</v>
      </c>
      <c r="K137" s="1415">
        <f t="shared" si="94"/>
        <v>0</v>
      </c>
      <c r="L137" s="753"/>
      <c r="M137" s="753"/>
      <c r="N137" s="753"/>
      <c r="O137" s="753"/>
      <c r="P137" s="753"/>
      <c r="Q137" s="753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11" t="s">
        <v>188</v>
      </c>
      <c r="B138" s="1416"/>
      <c r="C138" s="1361">
        <v>0</v>
      </c>
      <c r="D138" s="1417">
        <v>0</v>
      </c>
      <c r="E138" s="1182"/>
      <c r="F138" s="1362">
        <v>0</v>
      </c>
      <c r="G138" s="1417">
        <v>0</v>
      </c>
      <c r="H138" s="1363">
        <v>0</v>
      </c>
      <c r="I138" s="1418">
        <v>0</v>
      </c>
      <c r="J138" s="1361">
        <v>0</v>
      </c>
      <c r="K138" s="1418">
        <v>0</v>
      </c>
      <c r="L138" s="107" t="str">
        <f t="shared" si="83"/>
        <v/>
      </c>
      <c r="M138" s="753"/>
      <c r="N138" s="753"/>
      <c r="O138" s="753"/>
      <c r="P138" s="753"/>
      <c r="Q138" s="753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8">
        <f>IF(AND($C138&lt;&gt;0,H138=""),1,IF(H138&gt;$C138,1,0))</f>
        <v>0</v>
      </c>
      <c r="CO138" s="1038">
        <f>IF(AND($D138&lt;&gt;0,I138=""),1,IF(I138&gt;$D138,1,0))</f>
        <v>0</v>
      </c>
      <c r="CP138" s="1038">
        <f>IF(AND($C138&lt;&gt;0,J138=""),1,IF(J138&gt;$C138,1,0))</f>
        <v>0</v>
      </c>
      <c r="CQ138" s="1038">
        <f>IF(AND($D138&lt;&gt;0,K138=""),1,IF(K138&gt;$D138,1,0))</f>
        <v>0</v>
      </c>
    </row>
    <row r="139" spans="1:95" ht="17.100000000000001" customHeight="1" x14ac:dyDescent="0.15">
      <c r="A139" s="1304" t="s">
        <v>189</v>
      </c>
      <c r="B139" s="1037"/>
      <c r="C139" s="1037"/>
      <c r="D139" s="1037"/>
      <c r="E139" s="1037"/>
      <c r="F139" s="1037"/>
      <c r="G139" s="1037"/>
      <c r="H139" s="1037"/>
      <c r="N139" s="35"/>
      <c r="O139" s="35"/>
      <c r="P139" s="35"/>
    </row>
    <row r="140" spans="1:95" ht="17.100000000000001" customHeight="1" x14ac:dyDescent="0.15">
      <c r="A140" s="1601" t="s">
        <v>190</v>
      </c>
      <c r="B140" s="1602"/>
      <c r="C140" s="1602"/>
      <c r="D140" s="1107"/>
      <c r="E140" s="1107"/>
      <c r="F140" s="1107"/>
      <c r="G140" s="1107"/>
      <c r="H140" s="1107"/>
      <c r="N140" s="35"/>
      <c r="O140" s="35"/>
      <c r="P140" s="35"/>
    </row>
    <row r="141" spans="1:95" ht="15" customHeight="1" x14ac:dyDescent="0.15">
      <c r="A141" s="1394" t="s">
        <v>191</v>
      </c>
      <c r="B141" s="1394" t="s">
        <v>54</v>
      </c>
      <c r="C141" s="1305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>
        <v>0</v>
      </c>
      <c r="E143" s="1252"/>
      <c r="F143" s="35"/>
      <c r="G143" s="35"/>
      <c r="N143" s="35"/>
    </row>
    <row r="144" spans="1:95" ht="21" customHeight="1" x14ac:dyDescent="0.15">
      <c r="A144" s="57" t="s">
        <v>194</v>
      </c>
      <c r="B144" s="299">
        <v>0</v>
      </c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>
        <v>0</v>
      </c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>
        <v>0</v>
      </c>
      <c r="D146" s="35"/>
      <c r="E146" s="35"/>
    </row>
    <row r="147" spans="1:8" ht="15" customHeight="1" x14ac:dyDescent="0.15">
      <c r="A147" s="56" t="s">
        <v>197</v>
      </c>
      <c r="B147" s="299">
        <v>0</v>
      </c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>
        <v>0</v>
      </c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>
        <v>0</v>
      </c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>
        <v>0</v>
      </c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>
        <v>0</v>
      </c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>
        <v>0</v>
      </c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>
        <v>0</v>
      </c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>
        <v>0</v>
      </c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>
        <v>0</v>
      </c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>
        <v>0</v>
      </c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>
        <v>0</v>
      </c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>
        <v>0</v>
      </c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>
        <v>0</v>
      </c>
      <c r="D159" s="188"/>
      <c r="E159" s="35"/>
      <c r="F159" s="35"/>
      <c r="G159" s="35"/>
      <c r="H159" s="35"/>
    </row>
    <row r="160" spans="1:8" ht="15" customHeight="1" x14ac:dyDescent="0.15">
      <c r="A160" s="1108" t="s">
        <v>94</v>
      </c>
      <c r="B160" s="1386">
        <f>SUM(B142:B159)</f>
        <v>0</v>
      </c>
      <c r="C160" s="1306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9">
        <f>SUM(C11:C24,C26:C31,C35:C40,B44:F52,B57:B60,D57:D60,C65:C68,C70:C73,B77:B81,B84:C91,C96:C102,B106:E114,B116:E116,C120:C123,B128:G136,C138:D138,F138:G138,B142:B159)</f>
        <v>7093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9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I9" zoomScale="80" zoomScaleNormal="80" workbookViewId="0">
      <selection activeCell="A12" activeCellId="1" sqref="A39:XFD39 A12:XFD12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13" t="s">
        <v>212</v>
      </c>
      <c r="B6" s="1813"/>
      <c r="C6" s="1813"/>
      <c r="D6" s="1813"/>
      <c r="E6" s="1813"/>
      <c r="F6" s="1813"/>
      <c r="G6" s="1813"/>
      <c r="H6" s="1813"/>
      <c r="I6" s="1813"/>
      <c r="J6" s="1813"/>
      <c r="K6" s="1813"/>
      <c r="L6" s="1813"/>
      <c r="M6" s="1813"/>
      <c r="N6" s="1813"/>
      <c r="O6" s="1813"/>
      <c r="P6" s="1813"/>
      <c r="Q6" s="1813"/>
      <c r="R6" s="1813"/>
      <c r="S6" s="1813"/>
      <c r="T6" s="1813"/>
      <c r="U6" s="1813"/>
      <c r="V6" s="1813"/>
      <c r="W6" s="1813"/>
      <c r="X6" s="1813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3"/>
    </row>
    <row r="7" spans="1:151" ht="18" customHeight="1" x14ac:dyDescent="0.25">
      <c r="A7" s="1039"/>
      <c r="B7" s="1039"/>
      <c r="C7" s="1039"/>
      <c r="D7" s="1039"/>
      <c r="E7" s="1039"/>
      <c r="F7" s="1039"/>
      <c r="G7" s="1039"/>
      <c r="H7" s="1039"/>
      <c r="I7" s="1039"/>
      <c r="J7" s="1039"/>
      <c r="K7" s="1039"/>
      <c r="L7" s="1039"/>
      <c r="M7" s="1039"/>
      <c r="N7" s="1039"/>
      <c r="O7" s="1039"/>
      <c r="P7" s="1039"/>
      <c r="Q7" s="1039"/>
      <c r="R7" s="1039"/>
      <c r="S7" s="1039"/>
      <c r="T7" s="1039"/>
      <c r="U7" s="1039"/>
      <c r="V7" s="1039"/>
      <c r="W7" s="1039"/>
      <c r="X7" s="103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3"/>
    </row>
    <row r="8" spans="1:151" ht="17.100000000000001" customHeight="1" x14ac:dyDescent="0.25">
      <c r="A8" s="1835" t="s">
        <v>213</v>
      </c>
      <c r="B8" s="1835"/>
      <c r="C8" s="1835"/>
      <c r="D8" s="1835"/>
      <c r="E8" s="1835"/>
      <c r="F8" s="1835"/>
      <c r="G8" s="1835"/>
      <c r="H8" s="1835"/>
      <c r="I8" s="1835"/>
      <c r="J8" s="1835"/>
      <c r="K8" s="1835"/>
      <c r="L8" s="1835"/>
      <c r="M8" s="1835"/>
      <c r="N8" s="1835"/>
      <c r="O8" s="1835"/>
      <c r="P8" s="1835"/>
      <c r="Q8" s="1835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5" t="s">
        <v>214</v>
      </c>
      <c r="B9" s="1726"/>
      <c r="C9" s="1714" t="s">
        <v>54</v>
      </c>
      <c r="D9" s="1715"/>
      <c r="E9" s="1716"/>
      <c r="F9" s="1737" t="s">
        <v>215</v>
      </c>
      <c r="G9" s="1738"/>
      <c r="H9" s="1738"/>
      <c r="I9" s="1738"/>
      <c r="J9" s="1738"/>
      <c r="K9" s="1738"/>
      <c r="L9" s="1738"/>
      <c r="M9" s="1738"/>
      <c r="N9" s="1738"/>
      <c r="O9" s="1738"/>
      <c r="P9" s="1738"/>
      <c r="Q9" s="1738"/>
      <c r="R9" s="1738"/>
      <c r="S9" s="1738"/>
      <c r="T9" s="1738"/>
      <c r="U9" s="1738"/>
      <c r="V9" s="1738"/>
      <c r="W9" s="1738"/>
      <c r="X9" s="1738"/>
      <c r="Y9" s="1738"/>
      <c r="Z9" s="1738"/>
      <c r="AA9" s="1738"/>
      <c r="AB9" s="1738"/>
      <c r="AC9" s="1738"/>
      <c r="AD9" s="1738"/>
      <c r="AE9" s="1738"/>
      <c r="AF9" s="1738"/>
      <c r="AG9" s="1744"/>
      <c r="AH9" s="1696" t="s">
        <v>56</v>
      </c>
      <c r="AI9" s="1697"/>
      <c r="AJ9" s="1700" t="s">
        <v>57</v>
      </c>
      <c r="AK9" s="1653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4"/>
      <c r="CD9" s="1044"/>
      <c r="CE9" s="1044"/>
      <c r="CF9" s="104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7"/>
      <c r="B10" s="1728"/>
      <c r="C10" s="1717"/>
      <c r="D10" s="1718"/>
      <c r="E10" s="1719"/>
      <c r="F10" s="1702" t="s">
        <v>216</v>
      </c>
      <c r="G10" s="1703"/>
      <c r="H10" s="1702" t="s">
        <v>217</v>
      </c>
      <c r="I10" s="1703"/>
      <c r="J10" s="1702" t="s">
        <v>218</v>
      </c>
      <c r="K10" s="1703"/>
      <c r="L10" s="1702" t="s">
        <v>219</v>
      </c>
      <c r="M10" s="1703"/>
      <c r="N10" s="1702" t="s">
        <v>220</v>
      </c>
      <c r="O10" s="1703"/>
      <c r="P10" s="1702" t="s">
        <v>221</v>
      </c>
      <c r="Q10" s="1703"/>
      <c r="R10" s="1702" t="s">
        <v>222</v>
      </c>
      <c r="S10" s="1703"/>
      <c r="T10" s="1702" t="s">
        <v>223</v>
      </c>
      <c r="U10" s="1703"/>
      <c r="V10" s="1702" t="s">
        <v>224</v>
      </c>
      <c r="W10" s="1703"/>
      <c r="X10" s="1702" t="s">
        <v>225</v>
      </c>
      <c r="Y10" s="1703"/>
      <c r="Z10" s="1702" t="s">
        <v>226</v>
      </c>
      <c r="AA10" s="1703"/>
      <c r="AB10" s="1702" t="s">
        <v>227</v>
      </c>
      <c r="AC10" s="1704"/>
      <c r="AD10" s="1702" t="s">
        <v>228</v>
      </c>
      <c r="AE10" s="1703"/>
      <c r="AF10" s="1702" t="s">
        <v>229</v>
      </c>
      <c r="AG10" s="1703"/>
      <c r="AH10" s="1698"/>
      <c r="AI10" s="1699"/>
      <c r="AJ10" s="1701"/>
      <c r="AK10" s="1654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6"/>
      <c r="CD10" s="1046"/>
      <c r="CE10" s="104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29"/>
      <c r="B11" s="1730"/>
      <c r="C11" s="59" t="s">
        <v>230</v>
      </c>
      <c r="D11" s="1205" t="s">
        <v>91</v>
      </c>
      <c r="E11" s="1421" t="s">
        <v>231</v>
      </c>
      <c r="F11" s="1205" t="s">
        <v>91</v>
      </c>
      <c r="G11" s="1421" t="s">
        <v>231</v>
      </c>
      <c r="H11" s="1205" t="s">
        <v>91</v>
      </c>
      <c r="I11" s="889" t="s">
        <v>231</v>
      </c>
      <c r="J11" s="1205" t="s">
        <v>91</v>
      </c>
      <c r="K11" s="889" t="s">
        <v>231</v>
      </c>
      <c r="L11" s="1205" t="s">
        <v>91</v>
      </c>
      <c r="M11" s="889" t="s">
        <v>231</v>
      </c>
      <c r="N11" s="1205" t="s">
        <v>91</v>
      </c>
      <c r="O11" s="889" t="s">
        <v>231</v>
      </c>
      <c r="P11" s="1205" t="s">
        <v>91</v>
      </c>
      <c r="Q11" s="889" t="s">
        <v>231</v>
      </c>
      <c r="R11" s="1205" t="s">
        <v>91</v>
      </c>
      <c r="S11" s="889" t="s">
        <v>231</v>
      </c>
      <c r="T11" s="1205" t="s">
        <v>91</v>
      </c>
      <c r="U11" s="889" t="s">
        <v>231</v>
      </c>
      <c r="V11" s="1205" t="s">
        <v>91</v>
      </c>
      <c r="W11" s="889" t="s">
        <v>231</v>
      </c>
      <c r="X11" s="1205" t="s">
        <v>91</v>
      </c>
      <c r="Y11" s="889" t="s">
        <v>231</v>
      </c>
      <c r="Z11" s="1205" t="s">
        <v>91</v>
      </c>
      <c r="AA11" s="889" t="s">
        <v>231</v>
      </c>
      <c r="AB11" s="1205" t="s">
        <v>91</v>
      </c>
      <c r="AC11" s="864" t="s">
        <v>231</v>
      </c>
      <c r="AD11" s="1420" t="s">
        <v>91</v>
      </c>
      <c r="AE11" s="889" t="s">
        <v>231</v>
      </c>
      <c r="AF11" s="1205" t="s">
        <v>91</v>
      </c>
      <c r="AG11" s="889" t="s">
        <v>231</v>
      </c>
      <c r="AH11" s="190" t="s">
        <v>91</v>
      </c>
      <c r="AI11" s="1380" t="s">
        <v>231</v>
      </c>
      <c r="AJ11" s="1380" t="s">
        <v>91</v>
      </c>
      <c r="AK11" s="1400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11" t="s">
        <v>232</v>
      </c>
      <c r="B12" s="1812"/>
      <c r="C12" s="312">
        <f>SUM(D12:E12)</f>
        <v>968</v>
      </c>
      <c r="D12" s="361">
        <f>+F12+H12+J12+L12+N12+P12+R12+T12+V12+X12+Z12+AB12+AD12+AF12</f>
        <v>489</v>
      </c>
      <c r="E12" s="370">
        <f>+G12+I12+K12+M12+O12+Q12+S12+U12+W12+Y12+AA12+AC12+AE12+AG12</f>
        <v>479</v>
      </c>
      <c r="F12" s="314">
        <v>2</v>
      </c>
      <c r="G12" s="756">
        <v>1</v>
      </c>
      <c r="H12" s="314">
        <v>1</v>
      </c>
      <c r="I12" s="315">
        <v>2</v>
      </c>
      <c r="J12" s="314">
        <v>5</v>
      </c>
      <c r="K12" s="315">
        <v>8</v>
      </c>
      <c r="L12" s="314">
        <v>5</v>
      </c>
      <c r="M12" s="316">
        <v>8</v>
      </c>
      <c r="N12" s="1206">
        <v>7</v>
      </c>
      <c r="O12" s="948">
        <v>9</v>
      </c>
      <c r="P12" s="1206">
        <v>12</v>
      </c>
      <c r="Q12" s="948">
        <v>3</v>
      </c>
      <c r="R12" s="317">
        <v>4</v>
      </c>
      <c r="S12" s="315">
        <v>12</v>
      </c>
      <c r="T12" s="314">
        <v>36</v>
      </c>
      <c r="U12" s="316">
        <v>33</v>
      </c>
      <c r="V12" s="1206">
        <v>32</v>
      </c>
      <c r="W12" s="948">
        <v>40</v>
      </c>
      <c r="X12" s="1206">
        <v>69</v>
      </c>
      <c r="Y12" s="948">
        <v>60</v>
      </c>
      <c r="Z12" s="1206">
        <v>116</v>
      </c>
      <c r="AA12" s="948">
        <v>106</v>
      </c>
      <c r="AB12" s="1206">
        <v>53</v>
      </c>
      <c r="AC12" s="747">
        <v>44</v>
      </c>
      <c r="AD12" s="1422">
        <v>51</v>
      </c>
      <c r="AE12" s="948">
        <v>52</v>
      </c>
      <c r="AF12" s="1206">
        <v>96</v>
      </c>
      <c r="AG12" s="948">
        <v>101</v>
      </c>
      <c r="AH12" s="319">
        <v>72</v>
      </c>
      <c r="AI12" s="947">
        <v>73</v>
      </c>
      <c r="AJ12" s="1423">
        <v>4</v>
      </c>
      <c r="AK12" s="948">
        <v>5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8">
        <f>IF(H12&lt;&gt;SUM(H39:H40),1,0)</f>
        <v>0</v>
      </c>
      <c r="DQ12" s="1038">
        <f>IF(I12&lt;&gt;SUM(I39:I40),1,0)</f>
        <v>0</v>
      </c>
      <c r="DR12" s="1038">
        <f t="shared" ref="DR12:EK12" si="0">IF(J12&lt;&gt;SUM(J39:J40),1,0)</f>
        <v>0</v>
      </c>
      <c r="DS12" s="1038">
        <f t="shared" si="0"/>
        <v>0</v>
      </c>
      <c r="DT12" s="1038">
        <f t="shared" si="0"/>
        <v>0</v>
      </c>
      <c r="DU12" s="1038">
        <f t="shared" si="0"/>
        <v>0</v>
      </c>
      <c r="DV12" s="1038">
        <f t="shared" si="0"/>
        <v>0</v>
      </c>
      <c r="DW12" s="1038">
        <f t="shared" si="0"/>
        <v>0</v>
      </c>
      <c r="DX12" s="1038">
        <f t="shared" si="0"/>
        <v>0</v>
      </c>
      <c r="DY12" s="1038">
        <f t="shared" si="0"/>
        <v>0</v>
      </c>
      <c r="DZ12" s="1038">
        <f t="shared" si="0"/>
        <v>0</v>
      </c>
      <c r="EA12" s="1038">
        <f t="shared" si="0"/>
        <v>0</v>
      </c>
      <c r="EB12" s="1038">
        <f t="shared" si="0"/>
        <v>0</v>
      </c>
      <c r="EC12" s="1038">
        <f t="shared" si="0"/>
        <v>0</v>
      </c>
      <c r="ED12" s="1038">
        <f t="shared" si="0"/>
        <v>0</v>
      </c>
      <c r="EE12" s="1038">
        <f t="shared" si="0"/>
        <v>0</v>
      </c>
      <c r="EF12" s="1038">
        <f t="shared" si="0"/>
        <v>0</v>
      </c>
      <c r="EG12" s="1038">
        <f t="shared" si="0"/>
        <v>0</v>
      </c>
      <c r="EH12" s="1038">
        <f t="shared" si="0"/>
        <v>0</v>
      </c>
      <c r="EI12" s="1038">
        <f t="shared" si="0"/>
        <v>0</v>
      </c>
      <c r="EJ12" s="1038">
        <f t="shared" si="0"/>
        <v>0</v>
      </c>
      <c r="EK12" s="1038">
        <f t="shared" si="0"/>
        <v>0</v>
      </c>
      <c r="EL12" s="1038">
        <f t="shared" ref="EL12" si="1">IF(AD12&lt;&gt;SUM(AD39:AD40),1,0)</f>
        <v>0</v>
      </c>
      <c r="EM12" s="1038">
        <f t="shared" ref="EM12" si="2">IF(AE12&lt;&gt;SUM(AE39:AE40),1,0)</f>
        <v>0</v>
      </c>
      <c r="EN12" s="1038">
        <f t="shared" ref="EN12:EO12" si="3">IF(AF12&lt;&gt;SUM(AF39:AF40),1,0)</f>
        <v>0</v>
      </c>
      <c r="EO12" s="1038">
        <f t="shared" si="3"/>
        <v>0</v>
      </c>
      <c r="EP12" s="1038">
        <f>IF(AND(D12&gt;0,OR(AH12="")),1,IF(AH12&gt;D12,1,0))</f>
        <v>0</v>
      </c>
      <c r="EQ12" s="1038">
        <f>IF(AND(E12&gt;0,OR(AI12="")),1,IF(AI12&gt;E12,1,0))</f>
        <v>0</v>
      </c>
      <c r="ER12" s="1038">
        <f>IF(AND(D12&gt;0,OR(AJ12="")),1,IF(AJ12&gt;D12,1,0))</f>
        <v>0</v>
      </c>
      <c r="ES12" s="1038">
        <f>IF(AND(E12&gt;0,OR(AK12="")),1,IF(AK12&gt;E12,1,0))</f>
        <v>0</v>
      </c>
      <c r="ET12" s="1038">
        <f>IF($AH$12+$AI$12&lt;&gt;$AH$39+$AI$39,1,0)</f>
        <v>0</v>
      </c>
      <c r="EU12" s="1038">
        <f>IF($AJ$12+$AK$12&lt;&gt;$AJ$39+$AK$39,1,0)</f>
        <v>0</v>
      </c>
    </row>
    <row r="13" spans="1:151" ht="15" customHeight="1" x14ac:dyDescent="0.25">
      <c r="A13" s="1808" t="s">
        <v>233</v>
      </c>
      <c r="B13" s="60" t="s">
        <v>234</v>
      </c>
      <c r="C13" s="320">
        <f t="shared" ref="C13:C39" si="4">SUM(D13:E13)</f>
        <v>106</v>
      </c>
      <c r="D13" s="757">
        <f t="shared" ref="D13:D31" si="5">+F13+H13+J13+L13+N13+P13+R13+T13+V13+X13+Z13+AB13+AD13+AF13</f>
        <v>62</v>
      </c>
      <c r="E13" s="363">
        <f t="shared" ref="E13:E31" si="6">+G13+I13+K13+M13+O13+Q13+S13+U13+W13+Y13+AA13+AC13+AE13+AG13</f>
        <v>44</v>
      </c>
      <c r="F13" s="321">
        <v>0</v>
      </c>
      <c r="G13" s="697">
        <v>0</v>
      </c>
      <c r="H13" s="321">
        <v>0</v>
      </c>
      <c r="I13" s="322">
        <v>0</v>
      </c>
      <c r="J13" s="321">
        <v>0</v>
      </c>
      <c r="K13" s="322">
        <v>0</v>
      </c>
      <c r="L13" s="321">
        <v>0</v>
      </c>
      <c r="M13" s="323">
        <v>0</v>
      </c>
      <c r="N13" s="321">
        <v>1</v>
      </c>
      <c r="O13" s="322">
        <v>0</v>
      </c>
      <c r="P13" s="321">
        <v>0</v>
      </c>
      <c r="Q13" s="322">
        <v>0</v>
      </c>
      <c r="R13" s="324">
        <v>0</v>
      </c>
      <c r="S13" s="322">
        <v>0</v>
      </c>
      <c r="T13" s="321">
        <v>5</v>
      </c>
      <c r="U13" s="323">
        <v>3</v>
      </c>
      <c r="V13" s="321">
        <v>6</v>
      </c>
      <c r="W13" s="322">
        <v>5</v>
      </c>
      <c r="X13" s="321">
        <v>7</v>
      </c>
      <c r="Y13" s="322">
        <v>4</v>
      </c>
      <c r="Z13" s="321">
        <v>16</v>
      </c>
      <c r="AA13" s="322">
        <v>9</v>
      </c>
      <c r="AB13" s="321">
        <v>5</v>
      </c>
      <c r="AC13" s="335">
        <v>5</v>
      </c>
      <c r="AD13" s="949">
        <v>10</v>
      </c>
      <c r="AE13" s="322">
        <v>8</v>
      </c>
      <c r="AF13" s="321">
        <v>12</v>
      </c>
      <c r="AG13" s="322">
        <v>10</v>
      </c>
      <c r="AH13" s="325">
        <v>6</v>
      </c>
      <c r="AI13" s="374">
        <v>8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8">
        <f>IF(AND(D13&gt;0,OR(AH13="")),1,IF(AH13&gt;D13,1,0))</f>
        <v>0</v>
      </c>
      <c r="ES13" s="1038">
        <f>IF(AND(E13&gt;0,OR(AI13="")),1,IF(AI13&gt;E13,1,0))</f>
        <v>0</v>
      </c>
      <c r="ET13" s="1038">
        <f>IF(AND(D13&gt;0,OR(AJ13="")),1,IF(AJ13&gt;D13,1,0))</f>
        <v>0</v>
      </c>
      <c r="EU13" s="1038">
        <f>IF(AND(E13&gt;0,OR(AK13="")),1,IF(AK13&gt;E13,1,0))</f>
        <v>0</v>
      </c>
    </row>
    <row r="14" spans="1:151" ht="15" customHeight="1" x14ac:dyDescent="0.25">
      <c r="A14" s="1809"/>
      <c r="B14" s="61" t="s">
        <v>235</v>
      </c>
      <c r="C14" s="326">
        <f t="shared" si="4"/>
        <v>258</v>
      </c>
      <c r="D14" s="361">
        <f t="shared" si="5"/>
        <v>132</v>
      </c>
      <c r="E14" s="370">
        <f t="shared" si="6"/>
        <v>126</v>
      </c>
      <c r="F14" s="327">
        <v>0</v>
      </c>
      <c r="G14" s="702">
        <v>0</v>
      </c>
      <c r="H14" s="327">
        <v>0</v>
      </c>
      <c r="I14" s="328">
        <v>1</v>
      </c>
      <c r="J14" s="327">
        <v>1</v>
      </c>
      <c r="K14" s="328">
        <v>2</v>
      </c>
      <c r="L14" s="327">
        <v>1</v>
      </c>
      <c r="M14" s="329">
        <v>3</v>
      </c>
      <c r="N14" s="327">
        <v>3</v>
      </c>
      <c r="O14" s="328">
        <v>3</v>
      </c>
      <c r="P14" s="327">
        <v>4</v>
      </c>
      <c r="Q14" s="328">
        <v>0</v>
      </c>
      <c r="R14" s="330">
        <v>0</v>
      </c>
      <c r="S14" s="328">
        <v>5</v>
      </c>
      <c r="T14" s="327">
        <v>6</v>
      </c>
      <c r="U14" s="329">
        <v>5</v>
      </c>
      <c r="V14" s="327">
        <v>8</v>
      </c>
      <c r="W14" s="328">
        <v>15</v>
      </c>
      <c r="X14" s="327">
        <v>15</v>
      </c>
      <c r="Y14" s="328">
        <v>17</v>
      </c>
      <c r="Z14" s="327">
        <v>36</v>
      </c>
      <c r="AA14" s="328">
        <v>28</v>
      </c>
      <c r="AB14" s="327">
        <v>12</v>
      </c>
      <c r="AC14" s="336">
        <v>15</v>
      </c>
      <c r="AD14" s="950">
        <v>13</v>
      </c>
      <c r="AE14" s="328">
        <v>9</v>
      </c>
      <c r="AF14" s="327">
        <v>33</v>
      </c>
      <c r="AG14" s="328">
        <v>23</v>
      </c>
      <c r="AH14" s="331">
        <v>20</v>
      </c>
      <c r="AI14" s="378">
        <v>19</v>
      </c>
      <c r="AJ14" s="330">
        <v>0</v>
      </c>
      <c r="AK14" s="328">
        <v>1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8">
        <f>IF(AND(D14&gt;0,OR(AH14="")),1,IF(AH14&gt;D14,1,0))</f>
        <v>0</v>
      </c>
      <c r="ES14" s="1038">
        <f>IF(AND(E14&gt;0,OR(AI14="")),1,IF(AI14&gt;E14,1,0))</f>
        <v>0</v>
      </c>
      <c r="ET14" s="1038">
        <f>IF(AND(D14&gt;0,OR(AJ14="")),1,IF(AJ14&gt;D14,1,0))</f>
        <v>0</v>
      </c>
      <c r="EU14" s="1038">
        <f>IF(AND(E14&gt;0,OR(AK14="")),1,IF(AK14&gt;E14,1,0))</f>
        <v>0</v>
      </c>
    </row>
    <row r="15" spans="1:151" ht="15" customHeight="1" x14ac:dyDescent="0.25">
      <c r="A15" s="1809"/>
      <c r="B15" s="1424" t="s">
        <v>94</v>
      </c>
      <c r="C15" s="1425">
        <f t="shared" si="4"/>
        <v>364</v>
      </c>
      <c r="D15" s="361">
        <f t="shared" si="5"/>
        <v>194</v>
      </c>
      <c r="E15" s="370">
        <f t="shared" si="6"/>
        <v>170</v>
      </c>
      <c r="F15" s="1207">
        <f>+SUM(F13:F14)</f>
        <v>0</v>
      </c>
      <c r="G15" s="1426">
        <f>+SUM(G13:G14)</f>
        <v>0</v>
      </c>
      <c r="H15" s="1207">
        <f>+SUM(H13:H14)</f>
        <v>0</v>
      </c>
      <c r="I15" s="931">
        <f t="shared" ref="I15:T15" si="7">+SUM(I13:I14)</f>
        <v>1</v>
      </c>
      <c r="J15" s="1207">
        <f t="shared" si="7"/>
        <v>1</v>
      </c>
      <c r="K15" s="931">
        <f t="shared" si="7"/>
        <v>2</v>
      </c>
      <c r="L15" s="1207">
        <f t="shared" si="7"/>
        <v>1</v>
      </c>
      <c r="M15" s="333">
        <f t="shared" si="7"/>
        <v>3</v>
      </c>
      <c r="N15" s="1207">
        <f t="shared" si="7"/>
        <v>4</v>
      </c>
      <c r="O15" s="931">
        <f t="shared" si="7"/>
        <v>3</v>
      </c>
      <c r="P15" s="1207">
        <f t="shared" si="7"/>
        <v>4</v>
      </c>
      <c r="Q15" s="931">
        <f t="shared" si="7"/>
        <v>0</v>
      </c>
      <c r="R15" s="1426">
        <f t="shared" si="7"/>
        <v>0</v>
      </c>
      <c r="S15" s="931">
        <f t="shared" si="7"/>
        <v>5</v>
      </c>
      <c r="T15" s="1207">
        <f t="shared" si="7"/>
        <v>11</v>
      </c>
      <c r="U15" s="333">
        <f>+SUM(U13:U14)</f>
        <v>8</v>
      </c>
      <c r="V15" s="1207">
        <f>SUM(V13:V14)</f>
        <v>14</v>
      </c>
      <c r="W15" s="931">
        <f t="shared" ref="W15:AG15" si="8">SUM(W13:W14)</f>
        <v>20</v>
      </c>
      <c r="X15" s="1207">
        <f>SUM(X13:X14)</f>
        <v>22</v>
      </c>
      <c r="Y15" s="931">
        <f t="shared" si="8"/>
        <v>21</v>
      </c>
      <c r="Z15" s="1207">
        <f t="shared" si="8"/>
        <v>52</v>
      </c>
      <c r="AA15" s="931">
        <f t="shared" si="8"/>
        <v>37</v>
      </c>
      <c r="AB15" s="1426">
        <f t="shared" si="8"/>
        <v>17</v>
      </c>
      <c r="AC15" s="333">
        <f t="shared" si="8"/>
        <v>20</v>
      </c>
      <c r="AD15" s="1427">
        <f t="shared" si="8"/>
        <v>23</v>
      </c>
      <c r="AE15" s="931">
        <f t="shared" si="8"/>
        <v>17</v>
      </c>
      <c r="AF15" s="1207">
        <f>SUM(AF13:AF14)</f>
        <v>45</v>
      </c>
      <c r="AG15" s="931">
        <f t="shared" si="8"/>
        <v>33</v>
      </c>
      <c r="AH15" s="334">
        <f>+SUM(AH13:AH14)</f>
        <v>26</v>
      </c>
      <c r="AI15" s="1188">
        <f>+SUM(AI13:AI14)</f>
        <v>27</v>
      </c>
      <c r="AJ15" s="1426">
        <f>+SUM(AJ13:AJ14)</f>
        <v>0</v>
      </c>
      <c r="AK15" s="931">
        <f>+SUM(AK13:AK14)</f>
        <v>1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09"/>
      <c r="B16" s="63" t="s">
        <v>236</v>
      </c>
      <c r="C16" s="320">
        <f t="shared" si="4"/>
        <v>40</v>
      </c>
      <c r="D16" s="757">
        <f t="shared" si="5"/>
        <v>14</v>
      </c>
      <c r="E16" s="363">
        <f t="shared" si="6"/>
        <v>26</v>
      </c>
      <c r="F16" s="321">
        <v>0</v>
      </c>
      <c r="G16" s="697">
        <v>0</v>
      </c>
      <c r="H16" s="321">
        <v>0</v>
      </c>
      <c r="I16" s="324">
        <v>0</v>
      </c>
      <c r="J16" s="321">
        <v>0</v>
      </c>
      <c r="K16" s="324">
        <v>0</v>
      </c>
      <c r="L16" s="321">
        <v>0</v>
      </c>
      <c r="M16" s="323">
        <v>0</v>
      </c>
      <c r="N16" s="321">
        <v>1</v>
      </c>
      <c r="O16" s="322">
        <v>0</v>
      </c>
      <c r="P16" s="321">
        <v>0</v>
      </c>
      <c r="Q16" s="322">
        <v>0</v>
      </c>
      <c r="R16" s="324">
        <v>0</v>
      </c>
      <c r="S16" s="324">
        <v>1</v>
      </c>
      <c r="T16" s="321">
        <v>2</v>
      </c>
      <c r="U16" s="335">
        <v>1</v>
      </c>
      <c r="V16" s="321">
        <v>0</v>
      </c>
      <c r="W16" s="322">
        <v>2</v>
      </c>
      <c r="X16" s="321">
        <v>3</v>
      </c>
      <c r="Y16" s="322">
        <v>2</v>
      </c>
      <c r="Z16" s="321">
        <v>2</v>
      </c>
      <c r="AA16" s="322">
        <v>10</v>
      </c>
      <c r="AB16" s="324">
        <v>2</v>
      </c>
      <c r="AC16" s="335">
        <v>3</v>
      </c>
      <c r="AD16" s="949">
        <v>1</v>
      </c>
      <c r="AE16" s="322">
        <v>2</v>
      </c>
      <c r="AF16" s="321">
        <v>3</v>
      </c>
      <c r="AG16" s="322">
        <v>5</v>
      </c>
      <c r="AH16" s="325">
        <v>2</v>
      </c>
      <c r="AI16" s="374">
        <v>4</v>
      </c>
      <c r="AJ16" s="324">
        <v>2</v>
      </c>
      <c r="AK16" s="322">
        <v>2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8">
        <f>IF(AND(D16&gt;0,OR(AH16="")),1,IF(AH16&gt;D16,1,0))</f>
        <v>0</v>
      </c>
      <c r="ES16" s="1038">
        <f>IF(AND(E16&gt;0,OR(AI16="")),1,IF(AI16&gt;E16,1,0))</f>
        <v>0</v>
      </c>
      <c r="ET16" s="1038">
        <f>IF(AND(D16&gt;0,OR(AJ16="")),1,IF(AJ16&gt;D16,1,0))</f>
        <v>0</v>
      </c>
      <c r="EU16" s="1038">
        <f>IF(AND(E16&gt;0,OR(AK16="")),1,IF(AK16&gt;E16,1,0))</f>
        <v>0</v>
      </c>
    </row>
    <row r="17" spans="1:151" ht="15" customHeight="1" x14ac:dyDescent="0.25">
      <c r="A17" s="1809"/>
      <c r="B17" s="61" t="s">
        <v>237</v>
      </c>
      <c r="C17" s="1307">
        <f t="shared" si="4"/>
        <v>3</v>
      </c>
      <c r="D17" s="361">
        <f t="shared" si="5"/>
        <v>1</v>
      </c>
      <c r="E17" s="370">
        <f t="shared" si="6"/>
        <v>2</v>
      </c>
      <c r="F17" s="327">
        <v>0</v>
      </c>
      <c r="G17" s="702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0</v>
      </c>
      <c r="W17" s="328">
        <v>0</v>
      </c>
      <c r="X17" s="327">
        <v>0</v>
      </c>
      <c r="Y17" s="328">
        <v>1</v>
      </c>
      <c r="Z17" s="327">
        <v>0</v>
      </c>
      <c r="AA17" s="328">
        <v>1</v>
      </c>
      <c r="AB17" s="330">
        <v>1</v>
      </c>
      <c r="AC17" s="336">
        <v>0</v>
      </c>
      <c r="AD17" s="950">
        <v>0</v>
      </c>
      <c r="AE17" s="328">
        <v>0</v>
      </c>
      <c r="AF17" s="327">
        <v>0</v>
      </c>
      <c r="AG17" s="328">
        <v>0</v>
      </c>
      <c r="AH17" s="331">
        <v>0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8">
        <f>IF(AND(D17&gt;0,OR(AH17="")),1,IF(AH17&gt;D17,1,0))</f>
        <v>0</v>
      </c>
      <c r="ES17" s="1038">
        <f>IF(AND(E17&gt;0,OR(AI17="")),1,IF(AI17&gt;E17,1,0))</f>
        <v>0</v>
      </c>
      <c r="ET17" s="1038">
        <f>IF(AND(D17&gt;0,OR(AJ17="")),1,IF(AJ17&gt;D17,1,0))</f>
        <v>0</v>
      </c>
      <c r="EU17" s="1038">
        <f>IF(AND(E17&gt;0,OR(AK17="")),1,IF(AK17&gt;E17,1,0))</f>
        <v>0</v>
      </c>
    </row>
    <row r="18" spans="1:151" ht="15" customHeight="1" x14ac:dyDescent="0.25">
      <c r="A18" s="1810"/>
      <c r="B18" s="1424" t="s">
        <v>94</v>
      </c>
      <c r="C18" s="1425">
        <f t="shared" si="4"/>
        <v>43</v>
      </c>
      <c r="D18" s="361">
        <f t="shared" si="5"/>
        <v>15</v>
      </c>
      <c r="E18" s="370">
        <f t="shared" si="6"/>
        <v>28</v>
      </c>
      <c r="F18" s="1207">
        <f t="shared" ref="F18:G18" si="9">+SUM(F16:F17)</f>
        <v>0</v>
      </c>
      <c r="G18" s="1426">
        <f t="shared" si="9"/>
        <v>0</v>
      </c>
      <c r="H18" s="1207">
        <f>SUM(H16:H17)</f>
        <v>0</v>
      </c>
      <c r="I18" s="931">
        <f t="shared" ref="I18:U18" si="10">SUM(I16:I17)</f>
        <v>0</v>
      </c>
      <c r="J18" s="1207">
        <f t="shared" si="10"/>
        <v>0</v>
      </c>
      <c r="K18" s="931">
        <f t="shared" si="10"/>
        <v>0</v>
      </c>
      <c r="L18" s="1207">
        <f t="shared" si="10"/>
        <v>0</v>
      </c>
      <c r="M18" s="333">
        <f t="shared" si="10"/>
        <v>0</v>
      </c>
      <c r="N18" s="1207">
        <f t="shared" si="10"/>
        <v>1</v>
      </c>
      <c r="O18" s="931">
        <f t="shared" si="10"/>
        <v>0</v>
      </c>
      <c r="P18" s="1207">
        <f t="shared" si="10"/>
        <v>0</v>
      </c>
      <c r="Q18" s="931">
        <f t="shared" si="10"/>
        <v>0</v>
      </c>
      <c r="R18" s="1426">
        <f t="shared" si="10"/>
        <v>0</v>
      </c>
      <c r="S18" s="931">
        <f t="shared" si="10"/>
        <v>1</v>
      </c>
      <c r="T18" s="1207">
        <f t="shared" si="10"/>
        <v>2</v>
      </c>
      <c r="U18" s="333">
        <f t="shared" si="10"/>
        <v>1</v>
      </c>
      <c r="V18" s="1207">
        <f>SUM(V16:V17)</f>
        <v>0</v>
      </c>
      <c r="W18" s="931">
        <f t="shared" ref="W18:AG18" si="11">SUM(W16:W17)</f>
        <v>2</v>
      </c>
      <c r="X18" s="1207">
        <f t="shared" si="11"/>
        <v>3</v>
      </c>
      <c r="Y18" s="931">
        <f t="shared" si="11"/>
        <v>3</v>
      </c>
      <c r="Z18" s="1207">
        <f t="shared" si="11"/>
        <v>2</v>
      </c>
      <c r="AA18" s="931">
        <f t="shared" si="11"/>
        <v>11</v>
      </c>
      <c r="AB18" s="1426">
        <f t="shared" si="11"/>
        <v>3</v>
      </c>
      <c r="AC18" s="333">
        <f t="shared" si="11"/>
        <v>3</v>
      </c>
      <c r="AD18" s="1427">
        <f t="shared" si="11"/>
        <v>1</v>
      </c>
      <c r="AE18" s="931">
        <f t="shared" si="11"/>
        <v>2</v>
      </c>
      <c r="AF18" s="1207">
        <f t="shared" si="11"/>
        <v>3</v>
      </c>
      <c r="AG18" s="931">
        <f t="shared" si="11"/>
        <v>5</v>
      </c>
      <c r="AH18" s="334">
        <f>SUM(AH16:AH17)</f>
        <v>2</v>
      </c>
      <c r="AI18" s="1188">
        <f>SUM(AI16:AI17)</f>
        <v>4</v>
      </c>
      <c r="AJ18" s="1426">
        <f>SUM(AJ16:AJ17)</f>
        <v>2</v>
      </c>
      <c r="AK18" s="931">
        <f>SUM(AK16:AK17)</f>
        <v>2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8" t="s">
        <v>238</v>
      </c>
      <c r="B19" s="63" t="s">
        <v>234</v>
      </c>
      <c r="C19" s="337">
        <f t="shared" si="4"/>
        <v>165</v>
      </c>
      <c r="D19" s="757">
        <f t="shared" si="5"/>
        <v>92</v>
      </c>
      <c r="E19" s="363">
        <f t="shared" si="6"/>
        <v>73</v>
      </c>
      <c r="F19" s="321">
        <v>0</v>
      </c>
      <c r="G19" s="697">
        <v>0</v>
      </c>
      <c r="H19" s="321">
        <v>0</v>
      </c>
      <c r="I19" s="324">
        <v>0</v>
      </c>
      <c r="J19" s="321">
        <v>1</v>
      </c>
      <c r="K19" s="324">
        <v>1</v>
      </c>
      <c r="L19" s="321">
        <v>2</v>
      </c>
      <c r="M19" s="323">
        <v>0</v>
      </c>
      <c r="N19" s="321">
        <v>1</v>
      </c>
      <c r="O19" s="322">
        <v>0</v>
      </c>
      <c r="P19" s="321">
        <v>1</v>
      </c>
      <c r="Q19" s="322">
        <v>0</v>
      </c>
      <c r="R19" s="324">
        <v>0</v>
      </c>
      <c r="S19" s="324">
        <v>1</v>
      </c>
      <c r="T19" s="321">
        <v>4</v>
      </c>
      <c r="U19" s="335">
        <v>5</v>
      </c>
      <c r="V19" s="321">
        <v>8</v>
      </c>
      <c r="W19" s="322">
        <v>11</v>
      </c>
      <c r="X19" s="321">
        <v>14</v>
      </c>
      <c r="Y19" s="322">
        <v>5</v>
      </c>
      <c r="Z19" s="321">
        <v>21</v>
      </c>
      <c r="AA19" s="322">
        <v>13</v>
      </c>
      <c r="AB19" s="324">
        <v>2</v>
      </c>
      <c r="AC19" s="335">
        <v>10</v>
      </c>
      <c r="AD19" s="949">
        <v>14</v>
      </c>
      <c r="AE19" s="322">
        <v>10</v>
      </c>
      <c r="AF19" s="321">
        <v>24</v>
      </c>
      <c r="AG19" s="322">
        <v>17</v>
      </c>
      <c r="AH19" s="325">
        <v>11</v>
      </c>
      <c r="AI19" s="374">
        <v>13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8">
        <f>IF(AND(D19&gt;0,OR(AH19="")),1,IF(AH19&gt;D19,1,0))</f>
        <v>0</v>
      </c>
      <c r="ES19" s="1038">
        <f>IF(AND(E19&gt;0,OR(AI19="")),1,IF(AI19&gt;E19,1,0))</f>
        <v>0</v>
      </c>
      <c r="ET19" s="1038">
        <f>IF(AND(D19&gt;0,OR(AJ19="")),1,IF(AJ19&gt;D19,1,0))</f>
        <v>0</v>
      </c>
      <c r="EU19" s="1038">
        <f>IF(AND(E19&gt;0,OR(AK19="")),1,IF(AK19&gt;E19,1,0))</f>
        <v>0</v>
      </c>
    </row>
    <row r="20" spans="1:151" ht="15" customHeight="1" x14ac:dyDescent="0.25">
      <c r="A20" s="1809"/>
      <c r="B20" s="61" t="s">
        <v>235</v>
      </c>
      <c r="C20" s="326">
        <f t="shared" si="4"/>
        <v>254</v>
      </c>
      <c r="D20" s="361">
        <f t="shared" si="5"/>
        <v>130</v>
      </c>
      <c r="E20" s="370">
        <f t="shared" si="6"/>
        <v>124</v>
      </c>
      <c r="F20" s="327">
        <v>0</v>
      </c>
      <c r="G20" s="702">
        <v>0</v>
      </c>
      <c r="H20" s="327">
        <v>1</v>
      </c>
      <c r="I20" s="330">
        <v>1</v>
      </c>
      <c r="J20" s="327">
        <v>1</v>
      </c>
      <c r="K20" s="330">
        <v>0</v>
      </c>
      <c r="L20" s="327">
        <v>1</v>
      </c>
      <c r="M20" s="329">
        <v>2</v>
      </c>
      <c r="N20" s="327">
        <v>2</v>
      </c>
      <c r="O20" s="328">
        <v>3</v>
      </c>
      <c r="P20" s="327">
        <v>4</v>
      </c>
      <c r="Q20" s="328">
        <v>1</v>
      </c>
      <c r="R20" s="330">
        <v>2</v>
      </c>
      <c r="S20" s="330">
        <v>5</v>
      </c>
      <c r="T20" s="327">
        <v>9</v>
      </c>
      <c r="U20" s="336">
        <v>10</v>
      </c>
      <c r="V20" s="327">
        <v>5</v>
      </c>
      <c r="W20" s="328">
        <v>10</v>
      </c>
      <c r="X20" s="327">
        <v>12</v>
      </c>
      <c r="Y20" s="328">
        <v>17</v>
      </c>
      <c r="Z20" s="327">
        <v>37</v>
      </c>
      <c r="AA20" s="328">
        <v>27</v>
      </c>
      <c r="AB20" s="330">
        <v>8</v>
      </c>
      <c r="AC20" s="336">
        <v>11</v>
      </c>
      <c r="AD20" s="950">
        <v>17</v>
      </c>
      <c r="AE20" s="328">
        <v>8</v>
      </c>
      <c r="AF20" s="327">
        <v>31</v>
      </c>
      <c r="AG20" s="328">
        <v>29</v>
      </c>
      <c r="AH20" s="331">
        <v>24</v>
      </c>
      <c r="AI20" s="378">
        <v>18</v>
      </c>
      <c r="AJ20" s="330">
        <v>0</v>
      </c>
      <c r="AK20" s="328">
        <v>2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3"/>
      <c r="CB20" s="963"/>
      <c r="CC20" s="963"/>
      <c r="CD20" s="963"/>
      <c r="CE20" s="963"/>
      <c r="CF20" s="963"/>
      <c r="CG20" s="96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8">
        <f>IF(AND(D20&gt;0,OR(AH20="")),1,IF(AH20&gt;D20,1,0))</f>
        <v>0</v>
      </c>
      <c r="ES20" s="1038">
        <f>IF(AND(E20&gt;0,OR(AI20="")),1,IF(AI20&gt;E20,1,0))</f>
        <v>0</v>
      </c>
      <c r="ET20" s="1038">
        <f>IF(AND(D20&gt;0,OR(AJ20="")),1,IF(AJ20&gt;D20,1,0))</f>
        <v>0</v>
      </c>
      <c r="EU20" s="1038">
        <f>IF(AND(E20&gt;0,OR(AK20="")),1,IF(AK20&gt;E20,1,0))</f>
        <v>0</v>
      </c>
    </row>
    <row r="21" spans="1:151" ht="15" customHeight="1" x14ac:dyDescent="0.25">
      <c r="A21" s="1809"/>
      <c r="B21" s="1424" t="s">
        <v>94</v>
      </c>
      <c r="C21" s="1425">
        <f t="shared" si="4"/>
        <v>419</v>
      </c>
      <c r="D21" s="361">
        <f t="shared" si="5"/>
        <v>222</v>
      </c>
      <c r="E21" s="370">
        <f t="shared" si="6"/>
        <v>197</v>
      </c>
      <c r="F21" s="1207">
        <f>SUM(F19:F20)</f>
        <v>0</v>
      </c>
      <c r="G21" s="1426">
        <f t="shared" ref="G21" si="12">SUM(G19:G20)</f>
        <v>0</v>
      </c>
      <c r="H21" s="1207">
        <f>+SUM(H19:H20)</f>
        <v>1</v>
      </c>
      <c r="I21" s="931">
        <f>+SUM(I19:I20)</f>
        <v>1</v>
      </c>
      <c r="J21" s="1207">
        <f t="shared" ref="J21:AK21" si="13">+SUM(J19:J20)</f>
        <v>2</v>
      </c>
      <c r="K21" s="931">
        <f t="shared" si="13"/>
        <v>1</v>
      </c>
      <c r="L21" s="1207">
        <f t="shared" si="13"/>
        <v>3</v>
      </c>
      <c r="M21" s="333">
        <f t="shared" si="13"/>
        <v>2</v>
      </c>
      <c r="N21" s="1207">
        <f t="shared" si="13"/>
        <v>3</v>
      </c>
      <c r="O21" s="931">
        <f t="shared" si="13"/>
        <v>3</v>
      </c>
      <c r="P21" s="1207">
        <f t="shared" si="13"/>
        <v>5</v>
      </c>
      <c r="Q21" s="931">
        <f t="shared" si="13"/>
        <v>1</v>
      </c>
      <c r="R21" s="1426">
        <f t="shared" si="13"/>
        <v>2</v>
      </c>
      <c r="S21" s="931">
        <f t="shared" si="13"/>
        <v>6</v>
      </c>
      <c r="T21" s="1207">
        <f t="shared" si="13"/>
        <v>13</v>
      </c>
      <c r="U21" s="333">
        <f t="shared" si="13"/>
        <v>15</v>
      </c>
      <c r="V21" s="1207">
        <f t="shared" si="13"/>
        <v>13</v>
      </c>
      <c r="W21" s="931">
        <f t="shared" si="13"/>
        <v>21</v>
      </c>
      <c r="X21" s="1207">
        <f t="shared" si="13"/>
        <v>26</v>
      </c>
      <c r="Y21" s="931">
        <f t="shared" si="13"/>
        <v>22</v>
      </c>
      <c r="Z21" s="1207">
        <f t="shared" si="13"/>
        <v>58</v>
      </c>
      <c r="AA21" s="931">
        <f t="shared" si="13"/>
        <v>40</v>
      </c>
      <c r="AB21" s="1426">
        <f t="shared" si="13"/>
        <v>10</v>
      </c>
      <c r="AC21" s="333">
        <f t="shared" si="13"/>
        <v>21</v>
      </c>
      <c r="AD21" s="1427">
        <f t="shared" si="13"/>
        <v>31</v>
      </c>
      <c r="AE21" s="931">
        <f t="shared" si="13"/>
        <v>18</v>
      </c>
      <c r="AF21" s="1207">
        <f t="shared" si="13"/>
        <v>55</v>
      </c>
      <c r="AG21" s="931">
        <f t="shared" si="13"/>
        <v>46</v>
      </c>
      <c r="AH21" s="334">
        <f t="shared" si="13"/>
        <v>35</v>
      </c>
      <c r="AI21" s="1188">
        <f t="shared" si="13"/>
        <v>31</v>
      </c>
      <c r="AJ21" s="1426">
        <f t="shared" si="13"/>
        <v>0</v>
      </c>
      <c r="AK21" s="931">
        <f t="shared" si="13"/>
        <v>2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09"/>
      <c r="B22" s="63" t="s">
        <v>236</v>
      </c>
      <c r="C22" s="337">
        <f t="shared" si="4"/>
        <v>20</v>
      </c>
      <c r="D22" s="757">
        <f t="shared" si="5"/>
        <v>6</v>
      </c>
      <c r="E22" s="363">
        <f t="shared" si="6"/>
        <v>14</v>
      </c>
      <c r="F22" s="321">
        <v>0</v>
      </c>
      <c r="G22" s="697">
        <v>0</v>
      </c>
      <c r="H22" s="321">
        <v>0</v>
      </c>
      <c r="I22" s="324">
        <v>1</v>
      </c>
      <c r="J22" s="321">
        <v>1</v>
      </c>
      <c r="K22" s="324">
        <v>0</v>
      </c>
      <c r="L22" s="321">
        <v>0</v>
      </c>
      <c r="M22" s="323">
        <v>0</v>
      </c>
      <c r="N22" s="321">
        <v>1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2</v>
      </c>
      <c r="V22" s="321">
        <v>0</v>
      </c>
      <c r="W22" s="322">
        <v>2</v>
      </c>
      <c r="X22" s="321">
        <v>1</v>
      </c>
      <c r="Y22" s="322">
        <v>3</v>
      </c>
      <c r="Z22" s="321">
        <v>2</v>
      </c>
      <c r="AA22" s="322">
        <v>3</v>
      </c>
      <c r="AB22" s="324">
        <v>0</v>
      </c>
      <c r="AC22" s="335">
        <v>1</v>
      </c>
      <c r="AD22" s="949">
        <v>1</v>
      </c>
      <c r="AE22" s="322">
        <v>1</v>
      </c>
      <c r="AF22" s="321">
        <v>0</v>
      </c>
      <c r="AG22" s="322">
        <v>1</v>
      </c>
      <c r="AH22" s="325">
        <v>0</v>
      </c>
      <c r="AI22" s="374">
        <v>2</v>
      </c>
      <c r="AJ22" s="324">
        <v>1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8">
        <f>IF(AND(D22&gt;0,OR(AH22="")),1,IF(AH22&gt;D22,1,0))</f>
        <v>0</v>
      </c>
      <c r="ES22" s="1038">
        <f>IF(AND(E22&gt;0,OR(AI22="")),1,IF(AI22&gt;E22,1,0))</f>
        <v>0</v>
      </c>
      <c r="ET22" s="1038">
        <f>IF(AND(D22&gt;0,OR(AJ22="")),1,IF(AJ22&gt;D22,1,0))</f>
        <v>0</v>
      </c>
      <c r="EU22" s="1038">
        <f>IF(AND(E22&gt;0,OR(AK22="")),1,IF(AK22&gt;E22,1,0))</f>
        <v>0</v>
      </c>
    </row>
    <row r="23" spans="1:151" ht="15" customHeight="1" x14ac:dyDescent="0.25">
      <c r="A23" s="1809"/>
      <c r="B23" s="61" t="s">
        <v>237</v>
      </c>
      <c r="C23" s="326">
        <f t="shared" si="4"/>
        <v>1</v>
      </c>
      <c r="D23" s="361">
        <f t="shared" si="5"/>
        <v>1</v>
      </c>
      <c r="E23" s="370">
        <f t="shared" si="6"/>
        <v>0</v>
      </c>
      <c r="F23" s="327">
        <v>0</v>
      </c>
      <c r="G23" s="702">
        <v>0</v>
      </c>
      <c r="H23" s="327">
        <v>0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1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50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3"/>
      <c r="CB23" s="963"/>
      <c r="CC23" s="963"/>
      <c r="CD23" s="963"/>
      <c r="CE23" s="963"/>
      <c r="CF23" s="963"/>
      <c r="CG23" s="96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8">
        <f>IF(AND(D23&gt;0,OR(AH23="")),1,IF(AH23&gt;D23,1,0))</f>
        <v>0</v>
      </c>
      <c r="ES23" s="1038">
        <f>IF(AND(E23&gt;0,OR(AI23="")),1,IF(AI23&gt;E23,1,0))</f>
        <v>0</v>
      </c>
      <c r="ET23" s="1038">
        <f>IF(AND(D23&gt;0,OR(AJ23="")),1,IF(AJ23&gt;D23,1,0))</f>
        <v>0</v>
      </c>
      <c r="EU23" s="1038">
        <f>IF(AND(E23&gt;0,OR(AK23="")),1,IF(AK23&gt;E23,1,0))</f>
        <v>0</v>
      </c>
    </row>
    <row r="24" spans="1:151" ht="15" customHeight="1" x14ac:dyDescent="0.25">
      <c r="A24" s="1810"/>
      <c r="B24" s="1424" t="s">
        <v>94</v>
      </c>
      <c r="C24" s="1425">
        <f t="shared" si="4"/>
        <v>21</v>
      </c>
      <c r="D24" s="361">
        <f t="shared" si="5"/>
        <v>7</v>
      </c>
      <c r="E24" s="370">
        <f t="shared" si="6"/>
        <v>14</v>
      </c>
      <c r="F24" s="1207">
        <f t="shared" ref="F24:G24" si="14">SUM(F22:F23)</f>
        <v>0</v>
      </c>
      <c r="G24" s="1426">
        <f t="shared" si="14"/>
        <v>0</v>
      </c>
      <c r="H24" s="1207">
        <f>SUM(H22:H23)</f>
        <v>0</v>
      </c>
      <c r="I24" s="931">
        <f>SUM(I22:I23)</f>
        <v>1</v>
      </c>
      <c r="J24" s="1207">
        <f t="shared" ref="J24:AJ24" si="15">SUM(J22:J23)</f>
        <v>1</v>
      </c>
      <c r="K24" s="931">
        <f t="shared" si="15"/>
        <v>0</v>
      </c>
      <c r="L24" s="1207">
        <f t="shared" si="15"/>
        <v>0</v>
      </c>
      <c r="M24" s="333">
        <f t="shared" si="15"/>
        <v>0</v>
      </c>
      <c r="N24" s="1207">
        <f t="shared" si="15"/>
        <v>1</v>
      </c>
      <c r="O24" s="931">
        <f t="shared" si="15"/>
        <v>0</v>
      </c>
      <c r="P24" s="1207">
        <f t="shared" si="15"/>
        <v>0</v>
      </c>
      <c r="Q24" s="931">
        <f t="shared" si="15"/>
        <v>0</v>
      </c>
      <c r="R24" s="1426">
        <f t="shared" si="15"/>
        <v>0</v>
      </c>
      <c r="S24" s="931">
        <f t="shared" si="15"/>
        <v>0</v>
      </c>
      <c r="T24" s="1207">
        <f t="shared" si="15"/>
        <v>0</v>
      </c>
      <c r="U24" s="333">
        <f t="shared" si="15"/>
        <v>2</v>
      </c>
      <c r="V24" s="1207">
        <f t="shared" si="15"/>
        <v>0</v>
      </c>
      <c r="W24" s="931">
        <f t="shared" si="15"/>
        <v>2</v>
      </c>
      <c r="X24" s="1207">
        <f t="shared" si="15"/>
        <v>2</v>
      </c>
      <c r="Y24" s="931">
        <f t="shared" si="15"/>
        <v>3</v>
      </c>
      <c r="Z24" s="1207">
        <f t="shared" si="15"/>
        <v>2</v>
      </c>
      <c r="AA24" s="931">
        <f t="shared" si="15"/>
        <v>3</v>
      </c>
      <c r="AB24" s="1207">
        <f t="shared" si="15"/>
        <v>0</v>
      </c>
      <c r="AC24" s="1428">
        <f t="shared" si="15"/>
        <v>1</v>
      </c>
      <c r="AD24" s="1427">
        <f t="shared" si="15"/>
        <v>1</v>
      </c>
      <c r="AE24" s="931">
        <f t="shared" si="15"/>
        <v>1</v>
      </c>
      <c r="AF24" s="1207">
        <f t="shared" si="15"/>
        <v>0</v>
      </c>
      <c r="AG24" s="931">
        <f t="shared" si="15"/>
        <v>1</v>
      </c>
      <c r="AH24" s="334">
        <f t="shared" si="15"/>
        <v>0</v>
      </c>
      <c r="AI24" s="1188">
        <f t="shared" si="15"/>
        <v>2</v>
      </c>
      <c r="AJ24" s="1426">
        <f t="shared" si="15"/>
        <v>1</v>
      </c>
      <c r="AK24" s="931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8" t="s">
        <v>239</v>
      </c>
      <c r="B25" s="60" t="s">
        <v>234</v>
      </c>
      <c r="C25" s="338">
        <f t="shared" si="4"/>
        <v>36</v>
      </c>
      <c r="D25" s="757">
        <f t="shared" si="5"/>
        <v>17</v>
      </c>
      <c r="E25" s="363">
        <f t="shared" si="6"/>
        <v>19</v>
      </c>
      <c r="F25" s="321">
        <v>0</v>
      </c>
      <c r="G25" s="697">
        <v>0</v>
      </c>
      <c r="H25" s="321">
        <v>0</v>
      </c>
      <c r="I25" s="324">
        <v>0</v>
      </c>
      <c r="J25" s="321">
        <v>0</v>
      </c>
      <c r="K25" s="324">
        <v>0</v>
      </c>
      <c r="L25" s="321">
        <v>0</v>
      </c>
      <c r="M25" s="323">
        <v>0</v>
      </c>
      <c r="N25" s="321">
        <v>2</v>
      </c>
      <c r="O25" s="322">
        <v>0</v>
      </c>
      <c r="P25" s="321">
        <v>0</v>
      </c>
      <c r="Q25" s="322">
        <v>0</v>
      </c>
      <c r="R25" s="324">
        <v>0</v>
      </c>
      <c r="S25" s="324">
        <v>0</v>
      </c>
      <c r="T25" s="321">
        <v>2</v>
      </c>
      <c r="U25" s="335">
        <v>1</v>
      </c>
      <c r="V25" s="321">
        <v>1</v>
      </c>
      <c r="W25" s="322">
        <v>1</v>
      </c>
      <c r="X25" s="321">
        <v>3</v>
      </c>
      <c r="Y25" s="322">
        <v>3</v>
      </c>
      <c r="Z25" s="321">
        <v>5</v>
      </c>
      <c r="AA25" s="322">
        <v>8</v>
      </c>
      <c r="AB25" s="324">
        <v>0</v>
      </c>
      <c r="AC25" s="335">
        <v>3</v>
      </c>
      <c r="AD25" s="949">
        <v>3</v>
      </c>
      <c r="AE25" s="322">
        <v>1</v>
      </c>
      <c r="AF25" s="321">
        <v>1</v>
      </c>
      <c r="AG25" s="322">
        <v>2</v>
      </c>
      <c r="AH25" s="325">
        <v>2</v>
      </c>
      <c r="AI25" s="374">
        <v>2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8">
        <f>IF(AND(D25&gt;0,OR(AH25="")),1,IF(AH25&gt;D25,1,0))</f>
        <v>0</v>
      </c>
      <c r="ES25" s="1038">
        <f>IF(AND(E25&gt;0,OR(AI25="")),1,IF(AI25&gt;E25,1,0))</f>
        <v>0</v>
      </c>
      <c r="ET25" s="1038">
        <f>IF(AND(D25&gt;0,OR(AJ25="")),1,IF(AJ25&gt;D25,1,0))</f>
        <v>0</v>
      </c>
      <c r="EU25" s="1038">
        <f>IF(AND(E25&gt;0,OR(AK25="")),1,IF(AK25&gt;E25,1,0))</f>
        <v>0</v>
      </c>
    </row>
    <row r="26" spans="1:151" ht="15" customHeight="1" x14ac:dyDescent="0.25">
      <c r="A26" s="1798"/>
      <c r="B26" s="61" t="s">
        <v>235</v>
      </c>
      <c r="C26" s="1308">
        <f t="shared" si="4"/>
        <v>134</v>
      </c>
      <c r="D26" s="361">
        <f t="shared" si="5"/>
        <v>70</v>
      </c>
      <c r="E26" s="370">
        <f t="shared" si="6"/>
        <v>64</v>
      </c>
      <c r="F26" s="327">
        <v>0</v>
      </c>
      <c r="G26" s="702">
        <v>0</v>
      </c>
      <c r="H26" s="327">
        <v>0</v>
      </c>
      <c r="I26" s="330">
        <v>0</v>
      </c>
      <c r="J26" s="327">
        <v>0</v>
      </c>
      <c r="K26" s="330">
        <v>0</v>
      </c>
      <c r="L26" s="327">
        <v>0</v>
      </c>
      <c r="M26" s="329">
        <v>1</v>
      </c>
      <c r="N26" s="327">
        <v>1</v>
      </c>
      <c r="O26" s="328">
        <v>1</v>
      </c>
      <c r="P26" s="327">
        <v>2</v>
      </c>
      <c r="Q26" s="328">
        <v>0</v>
      </c>
      <c r="R26" s="330">
        <v>1</v>
      </c>
      <c r="S26" s="330">
        <v>0</v>
      </c>
      <c r="T26" s="327">
        <v>3</v>
      </c>
      <c r="U26" s="336">
        <v>4</v>
      </c>
      <c r="V26" s="327">
        <v>7</v>
      </c>
      <c r="W26" s="328">
        <v>10</v>
      </c>
      <c r="X26" s="327">
        <v>6</v>
      </c>
      <c r="Y26" s="328">
        <v>10</v>
      </c>
      <c r="Z26" s="327">
        <v>26</v>
      </c>
      <c r="AA26" s="328">
        <v>12</v>
      </c>
      <c r="AB26" s="330">
        <v>6</v>
      </c>
      <c r="AC26" s="336">
        <v>8</v>
      </c>
      <c r="AD26" s="950">
        <v>6</v>
      </c>
      <c r="AE26" s="328">
        <v>11</v>
      </c>
      <c r="AF26" s="327">
        <v>12</v>
      </c>
      <c r="AG26" s="328">
        <v>7</v>
      </c>
      <c r="AH26" s="331">
        <v>7</v>
      </c>
      <c r="AI26" s="378">
        <v>10</v>
      </c>
      <c r="AJ26" s="330">
        <v>0</v>
      </c>
      <c r="AK26" s="328">
        <v>1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8">
        <f>IF(AND(D26&gt;0,OR(AH26="")),1,IF(AH26&gt;D26,1,0))</f>
        <v>0</v>
      </c>
      <c r="ES26" s="1038">
        <f>IF(AND(E26&gt;0,OR(AI26="")),1,IF(AI26&gt;E26,1,0))</f>
        <v>0</v>
      </c>
      <c r="ET26" s="1038">
        <f>IF(AND(D26&gt;0,OR(AJ26="")),1,IF(AJ26&gt;D26,1,0))</f>
        <v>0</v>
      </c>
      <c r="EU26" s="1038">
        <f>IF(AND(E26&gt;0,OR(AK26="")),1,IF(AK26&gt;E26,1,0))</f>
        <v>0</v>
      </c>
    </row>
    <row r="27" spans="1:151" ht="15" customHeight="1" x14ac:dyDescent="0.25">
      <c r="A27" s="1798"/>
      <c r="B27" s="1429" t="s">
        <v>54</v>
      </c>
      <c r="C27" s="1427">
        <f t="shared" si="4"/>
        <v>170</v>
      </c>
      <c r="D27" s="361">
        <f t="shared" si="5"/>
        <v>87</v>
      </c>
      <c r="E27" s="370">
        <f t="shared" si="6"/>
        <v>83</v>
      </c>
      <c r="F27" s="1207">
        <f t="shared" ref="F27:G27" si="16">SUM(F25:F26)</f>
        <v>0</v>
      </c>
      <c r="G27" s="1426">
        <f t="shared" si="16"/>
        <v>0</v>
      </c>
      <c r="H27" s="1208">
        <f>SUM(H25:H26)</f>
        <v>0</v>
      </c>
      <c r="I27" s="1430">
        <f t="shared" ref="I27:AK27" si="17">SUM(I25:I26)</f>
        <v>0</v>
      </c>
      <c r="J27" s="1208">
        <f t="shared" si="17"/>
        <v>0</v>
      </c>
      <c r="K27" s="1430">
        <f t="shared" si="17"/>
        <v>0</v>
      </c>
      <c r="L27" s="1208">
        <f t="shared" si="17"/>
        <v>0</v>
      </c>
      <c r="M27" s="339">
        <f t="shared" si="17"/>
        <v>1</v>
      </c>
      <c r="N27" s="1208">
        <f t="shared" si="17"/>
        <v>3</v>
      </c>
      <c r="O27" s="954">
        <f t="shared" si="17"/>
        <v>1</v>
      </c>
      <c r="P27" s="1208">
        <f t="shared" si="17"/>
        <v>2</v>
      </c>
      <c r="Q27" s="954">
        <f t="shared" si="17"/>
        <v>0</v>
      </c>
      <c r="R27" s="1431">
        <f t="shared" si="17"/>
        <v>1</v>
      </c>
      <c r="S27" s="1430">
        <f t="shared" si="17"/>
        <v>0</v>
      </c>
      <c r="T27" s="1208">
        <f t="shared" si="17"/>
        <v>5</v>
      </c>
      <c r="U27" s="1432">
        <f t="shared" si="17"/>
        <v>5</v>
      </c>
      <c r="V27" s="1208">
        <f t="shared" si="17"/>
        <v>8</v>
      </c>
      <c r="W27" s="954">
        <f t="shared" si="17"/>
        <v>11</v>
      </c>
      <c r="X27" s="1208">
        <f t="shared" si="17"/>
        <v>9</v>
      </c>
      <c r="Y27" s="954">
        <f t="shared" si="17"/>
        <v>13</v>
      </c>
      <c r="Z27" s="1208">
        <f t="shared" si="17"/>
        <v>31</v>
      </c>
      <c r="AA27" s="954">
        <f t="shared" si="17"/>
        <v>20</v>
      </c>
      <c r="AB27" s="1431">
        <f t="shared" si="17"/>
        <v>6</v>
      </c>
      <c r="AC27" s="1432">
        <f t="shared" si="17"/>
        <v>11</v>
      </c>
      <c r="AD27" s="1433">
        <f t="shared" si="17"/>
        <v>9</v>
      </c>
      <c r="AE27" s="954">
        <f t="shared" si="17"/>
        <v>12</v>
      </c>
      <c r="AF27" s="1208">
        <f t="shared" si="17"/>
        <v>13</v>
      </c>
      <c r="AG27" s="954">
        <f t="shared" si="17"/>
        <v>9</v>
      </c>
      <c r="AH27" s="340">
        <f t="shared" si="17"/>
        <v>9</v>
      </c>
      <c r="AI27" s="1189">
        <f t="shared" si="17"/>
        <v>12</v>
      </c>
      <c r="AJ27" s="1431">
        <f t="shared" si="17"/>
        <v>0</v>
      </c>
      <c r="AK27" s="954">
        <f t="shared" si="17"/>
        <v>1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8"/>
      <c r="B28" s="63" t="s">
        <v>236</v>
      </c>
      <c r="C28" s="338">
        <f t="shared" si="4"/>
        <v>117</v>
      </c>
      <c r="D28" s="757">
        <f t="shared" si="5"/>
        <v>48</v>
      </c>
      <c r="E28" s="363">
        <f t="shared" si="6"/>
        <v>69</v>
      </c>
      <c r="F28" s="321">
        <v>0</v>
      </c>
      <c r="G28" s="697">
        <v>0</v>
      </c>
      <c r="H28" s="341">
        <v>1</v>
      </c>
      <c r="I28" s="342">
        <v>1</v>
      </c>
      <c r="J28" s="341">
        <v>0</v>
      </c>
      <c r="K28" s="342">
        <v>0</v>
      </c>
      <c r="L28" s="341">
        <v>0</v>
      </c>
      <c r="M28" s="343">
        <v>0</v>
      </c>
      <c r="N28" s="341">
        <v>1</v>
      </c>
      <c r="O28" s="344">
        <v>1</v>
      </c>
      <c r="P28" s="321">
        <v>0</v>
      </c>
      <c r="Q28" s="322">
        <v>0</v>
      </c>
      <c r="R28" s="342">
        <v>0</v>
      </c>
      <c r="S28" s="342">
        <v>1</v>
      </c>
      <c r="T28" s="341">
        <v>6</v>
      </c>
      <c r="U28" s="345">
        <v>8</v>
      </c>
      <c r="V28" s="341">
        <v>5</v>
      </c>
      <c r="W28" s="344">
        <v>4</v>
      </c>
      <c r="X28" s="341">
        <v>9</v>
      </c>
      <c r="Y28" s="344">
        <v>11</v>
      </c>
      <c r="Z28" s="341">
        <v>7</v>
      </c>
      <c r="AA28" s="344">
        <v>21</v>
      </c>
      <c r="AB28" s="342">
        <v>0</v>
      </c>
      <c r="AC28" s="345">
        <v>5</v>
      </c>
      <c r="AD28" s="951">
        <v>10</v>
      </c>
      <c r="AE28" s="344">
        <v>5</v>
      </c>
      <c r="AF28" s="341">
        <v>9</v>
      </c>
      <c r="AG28" s="344">
        <v>12</v>
      </c>
      <c r="AH28" s="346">
        <v>8</v>
      </c>
      <c r="AI28" s="643">
        <v>6</v>
      </c>
      <c r="AJ28" s="342">
        <v>2</v>
      </c>
      <c r="AK28" s="344">
        <v>1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8">
        <f>IF(AND(D28&gt;0,OR(AH28="")),1,IF(AH28&gt;D28,1,0))</f>
        <v>0</v>
      </c>
      <c r="ES28" s="1038">
        <f>IF(AND(E28&gt;0,OR(AI28="")),1,IF(AI28&gt;E28,1,0))</f>
        <v>0</v>
      </c>
      <c r="ET28" s="1038">
        <f>IF(AND(D28&gt;0,OR(AJ28="")),1,IF(AJ28&gt;D28,1,0))</f>
        <v>0</v>
      </c>
      <c r="EU28" s="1038">
        <f>IF(AND(E28&gt;0,OR(AK28="")),1,IF(AK28&gt;E28,1,0))</f>
        <v>0</v>
      </c>
    </row>
    <row r="29" spans="1:151" ht="15" customHeight="1" x14ac:dyDescent="0.25">
      <c r="A29" s="1798"/>
      <c r="B29" s="61" t="s">
        <v>237</v>
      </c>
      <c r="C29" s="1308">
        <f t="shared" si="4"/>
        <v>10</v>
      </c>
      <c r="D29" s="361">
        <f t="shared" si="5"/>
        <v>4</v>
      </c>
      <c r="E29" s="370">
        <f t="shared" si="6"/>
        <v>6</v>
      </c>
      <c r="F29" s="327">
        <v>0</v>
      </c>
      <c r="G29" s="702">
        <v>0</v>
      </c>
      <c r="H29" s="327">
        <v>0</v>
      </c>
      <c r="I29" s="330">
        <v>0</v>
      </c>
      <c r="J29" s="327">
        <v>0</v>
      </c>
      <c r="K29" s="330">
        <v>0</v>
      </c>
      <c r="L29" s="327">
        <v>0</v>
      </c>
      <c r="M29" s="329">
        <v>0</v>
      </c>
      <c r="N29" s="327">
        <v>0</v>
      </c>
      <c r="O29" s="328">
        <v>0</v>
      </c>
      <c r="P29" s="327">
        <v>1</v>
      </c>
      <c r="Q29" s="328">
        <v>0</v>
      </c>
      <c r="R29" s="330">
        <v>0</v>
      </c>
      <c r="S29" s="330">
        <v>0</v>
      </c>
      <c r="T29" s="327">
        <v>0</v>
      </c>
      <c r="U29" s="336">
        <v>0</v>
      </c>
      <c r="V29" s="327">
        <v>0</v>
      </c>
      <c r="W29" s="328">
        <v>0</v>
      </c>
      <c r="X29" s="327">
        <v>1</v>
      </c>
      <c r="Y29" s="328">
        <v>2</v>
      </c>
      <c r="Z29" s="327">
        <v>0</v>
      </c>
      <c r="AA29" s="328">
        <v>3</v>
      </c>
      <c r="AB29" s="330">
        <v>0</v>
      </c>
      <c r="AC29" s="336">
        <v>0</v>
      </c>
      <c r="AD29" s="950">
        <v>0</v>
      </c>
      <c r="AE29" s="328">
        <v>0</v>
      </c>
      <c r="AF29" s="327">
        <v>2</v>
      </c>
      <c r="AG29" s="328">
        <v>1</v>
      </c>
      <c r="AH29" s="331">
        <v>1</v>
      </c>
      <c r="AI29" s="378">
        <v>1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8">
        <f>IF(AND(D29&gt;0,OR(AH29="")),1,IF(AH29&gt;D29,1,0))</f>
        <v>0</v>
      </c>
      <c r="ES29" s="1038">
        <f>IF(AND(E29&gt;0,OR(AI29="")),1,IF(AI29&gt;E29,1,0))</f>
        <v>0</v>
      </c>
      <c r="ET29" s="1038">
        <f>IF(AND(D29&gt;0,OR(AJ29="")),1,IF(AJ29&gt;D29,1,0))</f>
        <v>0</v>
      </c>
      <c r="EU29" s="1038">
        <f>IF(AND(E29&gt;0,OR(AK29="")),1,IF(AK29&gt;E29,1,0))</f>
        <v>0</v>
      </c>
    </row>
    <row r="30" spans="1:151" ht="15" customHeight="1" x14ac:dyDescent="0.25">
      <c r="A30" s="1798"/>
      <c r="B30" s="1424" t="s">
        <v>94</v>
      </c>
      <c r="C30" s="1427">
        <f>SUM(D30:E30)</f>
        <v>127</v>
      </c>
      <c r="D30" s="361">
        <f t="shared" si="5"/>
        <v>52</v>
      </c>
      <c r="E30" s="370">
        <f t="shared" si="6"/>
        <v>75</v>
      </c>
      <c r="F30" s="1207">
        <f>SUM(F28:F29)</f>
        <v>0</v>
      </c>
      <c r="G30" s="1426">
        <f t="shared" ref="G30" si="18">SUM(G28:G29)</f>
        <v>0</v>
      </c>
      <c r="H30" s="1208">
        <f>SUM(H28:H29)</f>
        <v>1</v>
      </c>
      <c r="I30" s="1430">
        <f t="shared" ref="I30:AK30" si="19">SUM(I28:I29)</f>
        <v>1</v>
      </c>
      <c r="J30" s="1208">
        <f t="shared" si="19"/>
        <v>0</v>
      </c>
      <c r="K30" s="1430">
        <f t="shared" si="19"/>
        <v>0</v>
      </c>
      <c r="L30" s="1208">
        <f t="shared" si="19"/>
        <v>0</v>
      </c>
      <c r="M30" s="339">
        <f t="shared" si="19"/>
        <v>0</v>
      </c>
      <c r="N30" s="1208">
        <f t="shared" si="19"/>
        <v>1</v>
      </c>
      <c r="O30" s="954">
        <f t="shared" si="19"/>
        <v>1</v>
      </c>
      <c r="P30" s="1208">
        <f t="shared" si="19"/>
        <v>1</v>
      </c>
      <c r="Q30" s="954">
        <f t="shared" si="19"/>
        <v>0</v>
      </c>
      <c r="R30" s="1431">
        <f t="shared" si="19"/>
        <v>0</v>
      </c>
      <c r="S30" s="1430">
        <f t="shared" si="19"/>
        <v>1</v>
      </c>
      <c r="T30" s="1208">
        <f t="shared" si="19"/>
        <v>6</v>
      </c>
      <c r="U30" s="1432">
        <f t="shared" si="19"/>
        <v>8</v>
      </c>
      <c r="V30" s="1208">
        <f t="shared" si="19"/>
        <v>5</v>
      </c>
      <c r="W30" s="954">
        <f t="shared" si="19"/>
        <v>4</v>
      </c>
      <c r="X30" s="1208">
        <f t="shared" si="19"/>
        <v>10</v>
      </c>
      <c r="Y30" s="954">
        <f t="shared" si="19"/>
        <v>13</v>
      </c>
      <c r="Z30" s="1208">
        <f t="shared" si="19"/>
        <v>7</v>
      </c>
      <c r="AA30" s="954">
        <f t="shared" si="19"/>
        <v>24</v>
      </c>
      <c r="AB30" s="1431">
        <f t="shared" si="19"/>
        <v>0</v>
      </c>
      <c r="AC30" s="1432">
        <f t="shared" si="19"/>
        <v>5</v>
      </c>
      <c r="AD30" s="1433">
        <f t="shared" si="19"/>
        <v>10</v>
      </c>
      <c r="AE30" s="954">
        <f t="shared" si="19"/>
        <v>5</v>
      </c>
      <c r="AF30" s="1208">
        <f t="shared" si="19"/>
        <v>11</v>
      </c>
      <c r="AG30" s="954">
        <f t="shared" si="19"/>
        <v>13</v>
      </c>
      <c r="AH30" s="340">
        <f t="shared" si="19"/>
        <v>9</v>
      </c>
      <c r="AI30" s="1189">
        <f t="shared" si="19"/>
        <v>7</v>
      </c>
      <c r="AJ30" s="1431">
        <f t="shared" si="19"/>
        <v>2</v>
      </c>
      <c r="AK30" s="954">
        <f t="shared" si="19"/>
        <v>1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99"/>
      <c r="B31" s="64" t="s">
        <v>240</v>
      </c>
      <c r="C31" s="348">
        <f t="shared" si="4"/>
        <v>671</v>
      </c>
      <c r="D31" s="361">
        <f t="shared" si="5"/>
        <v>350</v>
      </c>
      <c r="E31" s="370">
        <f t="shared" si="6"/>
        <v>321</v>
      </c>
      <c r="F31" s="1206">
        <v>2</v>
      </c>
      <c r="G31" s="1434">
        <v>1</v>
      </c>
      <c r="H31" s="1206">
        <v>0</v>
      </c>
      <c r="I31" s="948">
        <v>1</v>
      </c>
      <c r="J31" s="1206">
        <v>5</v>
      </c>
      <c r="K31" s="948">
        <v>8</v>
      </c>
      <c r="L31" s="1206">
        <v>5</v>
      </c>
      <c r="M31" s="318">
        <v>7</v>
      </c>
      <c r="N31" s="1206">
        <v>3</v>
      </c>
      <c r="O31" s="948">
        <v>7</v>
      </c>
      <c r="P31" s="1206">
        <v>9</v>
      </c>
      <c r="Q31" s="948">
        <v>3</v>
      </c>
      <c r="R31" s="1423">
        <v>3</v>
      </c>
      <c r="S31" s="948">
        <v>11</v>
      </c>
      <c r="T31" s="1206">
        <v>25</v>
      </c>
      <c r="U31" s="318">
        <v>20</v>
      </c>
      <c r="V31" s="1206">
        <v>19</v>
      </c>
      <c r="W31" s="948">
        <v>25</v>
      </c>
      <c r="X31" s="314">
        <v>50</v>
      </c>
      <c r="Y31" s="315">
        <v>34</v>
      </c>
      <c r="Z31" s="314">
        <v>78</v>
      </c>
      <c r="AA31" s="315">
        <v>62</v>
      </c>
      <c r="AB31" s="1206">
        <v>47</v>
      </c>
      <c r="AC31" s="747">
        <v>28</v>
      </c>
      <c r="AD31" s="952">
        <v>32</v>
      </c>
      <c r="AE31" s="315">
        <v>35</v>
      </c>
      <c r="AF31" s="314">
        <v>72</v>
      </c>
      <c r="AG31" s="315">
        <v>79</v>
      </c>
      <c r="AH31" s="349">
        <v>54</v>
      </c>
      <c r="AI31" s="645">
        <v>54</v>
      </c>
      <c r="AJ31" s="317">
        <v>2</v>
      </c>
      <c r="AK31" s="315">
        <v>3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8">
        <f t="shared" ref="ER31:ES36" si="25">IF(AND(D31&gt;0,OR(AH31="")),1,IF(AH31&gt;D31,1,0))</f>
        <v>0</v>
      </c>
      <c r="ES31" s="1038">
        <f t="shared" si="25"/>
        <v>0</v>
      </c>
      <c r="ET31" s="1038">
        <f t="shared" ref="ET31:EU36" si="26">IF(AND(D31&gt;0,OR(AJ31="")),1,IF(AJ31&gt;D31,1,0))</f>
        <v>0</v>
      </c>
      <c r="EU31" s="1038">
        <f t="shared" si="26"/>
        <v>0</v>
      </c>
    </row>
    <row r="32" spans="1:151" ht="15" customHeight="1" x14ac:dyDescent="0.25">
      <c r="A32" s="1705" t="s">
        <v>241</v>
      </c>
      <c r="B32" s="63" t="s">
        <v>242</v>
      </c>
      <c r="C32" s="350">
        <f t="shared" si="4"/>
        <v>19</v>
      </c>
      <c r="D32" s="757">
        <f>+H32+J32+L32+N32+P32+R32+T32+V32+X32+Z32+AB32+AD32+AF32</f>
        <v>7</v>
      </c>
      <c r="E32" s="363">
        <f>+I32+K32+M32+O32+Q32+S32+U32+W32+Y32+AA32+AC32+AE32+AG32</f>
        <v>12</v>
      </c>
      <c r="F32" s="917"/>
      <c r="G32" s="918"/>
      <c r="H32" s="321">
        <v>0</v>
      </c>
      <c r="I32" s="322">
        <v>0</v>
      </c>
      <c r="J32" s="321">
        <v>0</v>
      </c>
      <c r="K32" s="322">
        <v>0</v>
      </c>
      <c r="L32" s="321">
        <v>0</v>
      </c>
      <c r="M32" s="323">
        <v>0</v>
      </c>
      <c r="N32" s="321">
        <v>1</v>
      </c>
      <c r="O32" s="322">
        <v>0</v>
      </c>
      <c r="P32" s="321">
        <v>0</v>
      </c>
      <c r="Q32" s="322">
        <v>0</v>
      </c>
      <c r="R32" s="324">
        <v>0</v>
      </c>
      <c r="S32" s="322">
        <v>0</v>
      </c>
      <c r="T32" s="321">
        <v>2</v>
      </c>
      <c r="U32" s="323">
        <v>1</v>
      </c>
      <c r="V32" s="321">
        <v>0</v>
      </c>
      <c r="W32" s="322">
        <v>2</v>
      </c>
      <c r="X32" s="321">
        <v>1</v>
      </c>
      <c r="Y32" s="322">
        <v>3</v>
      </c>
      <c r="Z32" s="321">
        <v>2</v>
      </c>
      <c r="AA32" s="322">
        <v>3</v>
      </c>
      <c r="AB32" s="324">
        <v>0</v>
      </c>
      <c r="AC32" s="323">
        <v>1</v>
      </c>
      <c r="AD32" s="949">
        <v>1</v>
      </c>
      <c r="AE32" s="322">
        <v>1</v>
      </c>
      <c r="AF32" s="321">
        <v>0</v>
      </c>
      <c r="AG32" s="322">
        <v>1</v>
      </c>
      <c r="AH32" s="325">
        <v>0</v>
      </c>
      <c r="AI32" s="374">
        <v>2</v>
      </c>
      <c r="AJ32" s="324">
        <v>1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8">
        <f t="shared" si="25"/>
        <v>0</v>
      </c>
      <c r="ES32" s="1038">
        <f t="shared" si="25"/>
        <v>0</v>
      </c>
      <c r="ET32" s="1038">
        <f t="shared" si="26"/>
        <v>0</v>
      </c>
      <c r="EU32" s="1038">
        <f t="shared" si="26"/>
        <v>0</v>
      </c>
    </row>
    <row r="33" spans="1:151" ht="15" customHeight="1" x14ac:dyDescent="0.25">
      <c r="A33" s="1706"/>
      <c r="B33" s="60" t="s">
        <v>243</v>
      </c>
      <c r="C33" s="351">
        <f t="shared" si="4"/>
        <v>1</v>
      </c>
      <c r="D33" s="758">
        <f t="shared" ref="D33:D39" si="27">+H33+J33+L33+N33+P33+R33+T33+V33+X33+Z33+AB33+AD33+AF33</f>
        <v>1</v>
      </c>
      <c r="E33" s="365">
        <f t="shared" ref="E33:E39" si="28">+I33+K33+M33+O33+Q33+S33+U33+W33+Y33+AA33+AC33+AE33+AG33</f>
        <v>0</v>
      </c>
      <c r="F33" s="919"/>
      <c r="G33" s="920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1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53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8">
        <f t="shared" si="25"/>
        <v>0</v>
      </c>
      <c r="ES33" s="1038">
        <f t="shared" si="25"/>
        <v>0</v>
      </c>
      <c r="ET33" s="1038">
        <f t="shared" si="26"/>
        <v>0</v>
      </c>
      <c r="EU33" s="1038">
        <f t="shared" si="26"/>
        <v>0</v>
      </c>
    </row>
    <row r="34" spans="1:151" ht="15" customHeight="1" x14ac:dyDescent="0.25">
      <c r="A34" s="1706"/>
      <c r="B34" s="60" t="s">
        <v>244</v>
      </c>
      <c r="C34" s="351">
        <f t="shared" si="4"/>
        <v>253</v>
      </c>
      <c r="D34" s="758">
        <f t="shared" si="27"/>
        <v>129</v>
      </c>
      <c r="E34" s="365">
        <f t="shared" si="28"/>
        <v>124</v>
      </c>
      <c r="F34" s="919"/>
      <c r="G34" s="920"/>
      <c r="H34" s="353">
        <v>1</v>
      </c>
      <c r="I34" s="354">
        <v>1</v>
      </c>
      <c r="J34" s="353">
        <v>1</v>
      </c>
      <c r="K34" s="354">
        <v>0</v>
      </c>
      <c r="L34" s="353">
        <v>1</v>
      </c>
      <c r="M34" s="355">
        <v>2</v>
      </c>
      <c r="N34" s="353">
        <v>2</v>
      </c>
      <c r="O34" s="354">
        <v>3</v>
      </c>
      <c r="P34" s="353">
        <v>4</v>
      </c>
      <c r="Q34" s="354">
        <v>1</v>
      </c>
      <c r="R34" s="356">
        <v>1</v>
      </c>
      <c r="S34" s="354">
        <v>5</v>
      </c>
      <c r="T34" s="353">
        <v>9</v>
      </c>
      <c r="U34" s="355">
        <v>10</v>
      </c>
      <c r="V34" s="353">
        <v>5</v>
      </c>
      <c r="W34" s="354">
        <v>10</v>
      </c>
      <c r="X34" s="353">
        <v>12</v>
      </c>
      <c r="Y34" s="354">
        <v>17</v>
      </c>
      <c r="Z34" s="353">
        <v>37</v>
      </c>
      <c r="AA34" s="354">
        <v>27</v>
      </c>
      <c r="AB34" s="356">
        <v>8</v>
      </c>
      <c r="AC34" s="355">
        <v>11</v>
      </c>
      <c r="AD34" s="953">
        <v>17</v>
      </c>
      <c r="AE34" s="354">
        <v>8</v>
      </c>
      <c r="AF34" s="353">
        <v>31</v>
      </c>
      <c r="AG34" s="354">
        <v>29</v>
      </c>
      <c r="AH34" s="357">
        <v>16</v>
      </c>
      <c r="AI34" s="375">
        <v>16</v>
      </c>
      <c r="AJ34" s="356">
        <v>0</v>
      </c>
      <c r="AK34" s="354">
        <v>1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8">
        <f t="shared" si="25"/>
        <v>0</v>
      </c>
      <c r="ES34" s="1038">
        <f t="shared" si="25"/>
        <v>0</v>
      </c>
      <c r="ET34" s="1038">
        <f t="shared" si="26"/>
        <v>0</v>
      </c>
      <c r="EU34" s="1038">
        <f t="shared" si="26"/>
        <v>0</v>
      </c>
    </row>
    <row r="35" spans="1:151" ht="15" customHeight="1" x14ac:dyDescent="0.25">
      <c r="A35" s="1706"/>
      <c r="B35" s="60" t="s">
        <v>245</v>
      </c>
      <c r="C35" s="351">
        <f t="shared" si="4"/>
        <v>158</v>
      </c>
      <c r="D35" s="758">
        <f t="shared" si="27"/>
        <v>92</v>
      </c>
      <c r="E35" s="365">
        <f t="shared" si="28"/>
        <v>66</v>
      </c>
      <c r="F35" s="919"/>
      <c r="G35" s="920"/>
      <c r="H35" s="353">
        <v>0</v>
      </c>
      <c r="I35" s="354">
        <v>0</v>
      </c>
      <c r="J35" s="353">
        <v>1</v>
      </c>
      <c r="K35" s="354">
        <v>1</v>
      </c>
      <c r="L35" s="353">
        <v>2</v>
      </c>
      <c r="M35" s="355">
        <v>0</v>
      </c>
      <c r="N35" s="353">
        <v>1</v>
      </c>
      <c r="O35" s="354">
        <v>0</v>
      </c>
      <c r="P35" s="353">
        <v>1</v>
      </c>
      <c r="Q35" s="354">
        <v>0</v>
      </c>
      <c r="R35" s="356">
        <v>0</v>
      </c>
      <c r="S35" s="354">
        <v>1</v>
      </c>
      <c r="T35" s="353">
        <v>4</v>
      </c>
      <c r="U35" s="355">
        <v>5</v>
      </c>
      <c r="V35" s="353">
        <v>8</v>
      </c>
      <c r="W35" s="354">
        <v>4</v>
      </c>
      <c r="X35" s="353">
        <v>14</v>
      </c>
      <c r="Y35" s="354">
        <v>5</v>
      </c>
      <c r="Z35" s="353">
        <v>21</v>
      </c>
      <c r="AA35" s="354">
        <v>13</v>
      </c>
      <c r="AB35" s="356">
        <v>2</v>
      </c>
      <c r="AC35" s="355">
        <v>10</v>
      </c>
      <c r="AD35" s="953">
        <v>14</v>
      </c>
      <c r="AE35" s="354">
        <v>10</v>
      </c>
      <c r="AF35" s="353">
        <v>24</v>
      </c>
      <c r="AG35" s="354">
        <v>17</v>
      </c>
      <c r="AH35" s="357">
        <v>10</v>
      </c>
      <c r="AI35" s="375">
        <v>11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8">
        <f t="shared" si="25"/>
        <v>0</v>
      </c>
      <c r="ES35" s="1038">
        <f t="shared" si="25"/>
        <v>0</v>
      </c>
      <c r="ET35" s="1038">
        <f t="shared" si="26"/>
        <v>0</v>
      </c>
      <c r="EU35" s="1038">
        <f t="shared" si="26"/>
        <v>0</v>
      </c>
    </row>
    <row r="36" spans="1:151" ht="15" customHeight="1" x14ac:dyDescent="0.25">
      <c r="A36" s="1706"/>
      <c r="B36" s="61" t="s">
        <v>131</v>
      </c>
      <c r="C36" s="1308">
        <f t="shared" si="4"/>
        <v>534</v>
      </c>
      <c r="D36" s="759">
        <f t="shared" si="27"/>
        <v>258</v>
      </c>
      <c r="E36" s="369">
        <f t="shared" si="28"/>
        <v>276</v>
      </c>
      <c r="F36" s="919"/>
      <c r="G36" s="920"/>
      <c r="H36" s="341">
        <v>0</v>
      </c>
      <c r="I36" s="344">
        <v>1</v>
      </c>
      <c r="J36" s="341">
        <v>3</v>
      </c>
      <c r="K36" s="344">
        <v>7</v>
      </c>
      <c r="L36" s="314">
        <v>2</v>
      </c>
      <c r="M36" s="747">
        <v>6</v>
      </c>
      <c r="N36" s="314">
        <v>3</v>
      </c>
      <c r="O36" s="315">
        <v>6</v>
      </c>
      <c r="P36" s="314">
        <v>7</v>
      </c>
      <c r="Q36" s="315">
        <v>2</v>
      </c>
      <c r="R36" s="342">
        <v>3</v>
      </c>
      <c r="S36" s="344">
        <v>6</v>
      </c>
      <c r="T36" s="341">
        <v>21</v>
      </c>
      <c r="U36" s="343">
        <v>17</v>
      </c>
      <c r="V36" s="314">
        <v>19</v>
      </c>
      <c r="W36" s="315">
        <v>24</v>
      </c>
      <c r="X36" s="314">
        <v>41</v>
      </c>
      <c r="Y36" s="315">
        <v>35</v>
      </c>
      <c r="Z36" s="314">
        <v>56</v>
      </c>
      <c r="AA36" s="315">
        <v>63</v>
      </c>
      <c r="AB36" s="342">
        <v>43</v>
      </c>
      <c r="AC36" s="343">
        <v>22</v>
      </c>
      <c r="AD36" s="952">
        <v>19</v>
      </c>
      <c r="AE36" s="315">
        <v>33</v>
      </c>
      <c r="AF36" s="314">
        <v>41</v>
      </c>
      <c r="AG36" s="315">
        <v>54</v>
      </c>
      <c r="AH36" s="349">
        <v>46</v>
      </c>
      <c r="AI36" s="645">
        <v>44</v>
      </c>
      <c r="AJ36" s="644">
        <v>3</v>
      </c>
      <c r="AK36" s="360">
        <v>4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8">
        <f t="shared" si="25"/>
        <v>0</v>
      </c>
      <c r="ES36" s="1038">
        <f t="shared" si="25"/>
        <v>0</v>
      </c>
      <c r="ET36" s="1038">
        <f t="shared" si="26"/>
        <v>0</v>
      </c>
      <c r="EU36" s="1038">
        <f t="shared" si="26"/>
        <v>0</v>
      </c>
    </row>
    <row r="37" spans="1:151" ht="15" customHeight="1" x14ac:dyDescent="0.25">
      <c r="A37" s="1706"/>
      <c r="B37" s="1424" t="s">
        <v>246</v>
      </c>
      <c r="C37" s="1436">
        <f>SUM(D37:E37)</f>
        <v>965</v>
      </c>
      <c r="D37" s="757">
        <f t="shared" si="27"/>
        <v>487</v>
      </c>
      <c r="E37" s="363">
        <f t="shared" si="28"/>
        <v>478</v>
      </c>
      <c r="F37" s="919"/>
      <c r="G37" s="920"/>
      <c r="H37" s="1208">
        <f t="shared" ref="H37:AK37" si="29">SUM(H32:H36)</f>
        <v>1</v>
      </c>
      <c r="I37" s="1430">
        <f t="shared" si="29"/>
        <v>2</v>
      </c>
      <c r="J37" s="1208">
        <f t="shared" si="29"/>
        <v>5</v>
      </c>
      <c r="K37" s="1430">
        <f t="shared" si="29"/>
        <v>8</v>
      </c>
      <c r="L37" s="1208">
        <f t="shared" si="29"/>
        <v>5</v>
      </c>
      <c r="M37" s="954">
        <f t="shared" si="29"/>
        <v>8</v>
      </c>
      <c r="N37" s="1431">
        <f t="shared" si="29"/>
        <v>7</v>
      </c>
      <c r="O37" s="954">
        <f t="shared" si="29"/>
        <v>9</v>
      </c>
      <c r="P37" s="1431">
        <f t="shared" si="29"/>
        <v>12</v>
      </c>
      <c r="Q37" s="1430">
        <f t="shared" si="29"/>
        <v>3</v>
      </c>
      <c r="R37" s="1208">
        <f t="shared" si="29"/>
        <v>4</v>
      </c>
      <c r="S37" s="1430">
        <f t="shared" si="29"/>
        <v>12</v>
      </c>
      <c r="T37" s="1208">
        <f t="shared" si="29"/>
        <v>36</v>
      </c>
      <c r="U37" s="1430">
        <f t="shared" si="29"/>
        <v>33</v>
      </c>
      <c r="V37" s="1208">
        <f t="shared" si="29"/>
        <v>32</v>
      </c>
      <c r="W37" s="954">
        <f t="shared" si="29"/>
        <v>40</v>
      </c>
      <c r="X37" s="1431">
        <f t="shared" si="29"/>
        <v>69</v>
      </c>
      <c r="Y37" s="954">
        <f t="shared" si="29"/>
        <v>60</v>
      </c>
      <c r="Z37" s="1431">
        <f t="shared" si="29"/>
        <v>116</v>
      </c>
      <c r="AA37" s="1430">
        <f t="shared" si="29"/>
        <v>106</v>
      </c>
      <c r="AB37" s="1208">
        <f t="shared" si="29"/>
        <v>53</v>
      </c>
      <c r="AC37" s="1432">
        <f t="shared" si="29"/>
        <v>44</v>
      </c>
      <c r="AD37" s="1433">
        <f t="shared" si="29"/>
        <v>51</v>
      </c>
      <c r="AE37" s="954">
        <f t="shared" si="29"/>
        <v>52</v>
      </c>
      <c r="AF37" s="1208">
        <f t="shared" si="29"/>
        <v>96</v>
      </c>
      <c r="AG37" s="1430">
        <f t="shared" si="29"/>
        <v>101</v>
      </c>
      <c r="AH37" s="340">
        <f t="shared" si="29"/>
        <v>72</v>
      </c>
      <c r="AI37" s="1431">
        <f t="shared" si="29"/>
        <v>73</v>
      </c>
      <c r="AJ37" s="1431">
        <f t="shared" si="29"/>
        <v>4</v>
      </c>
      <c r="AK37" s="954">
        <f t="shared" si="29"/>
        <v>5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6"/>
      <c r="B38" s="1437" t="s">
        <v>247</v>
      </c>
      <c r="C38" s="1436">
        <f>SUM(D38:E38)</f>
        <v>0</v>
      </c>
      <c r="D38" s="757">
        <f t="shared" si="27"/>
        <v>0</v>
      </c>
      <c r="E38" s="363">
        <f t="shared" si="28"/>
        <v>0</v>
      </c>
      <c r="F38" s="919"/>
      <c r="G38" s="920"/>
      <c r="H38" s="341">
        <v>0</v>
      </c>
      <c r="I38" s="344">
        <v>0</v>
      </c>
      <c r="J38" s="341">
        <v>0</v>
      </c>
      <c r="K38" s="344">
        <v>0</v>
      </c>
      <c r="L38" s="1206">
        <v>0</v>
      </c>
      <c r="M38" s="344">
        <v>0</v>
      </c>
      <c r="N38" s="1423">
        <v>0</v>
      </c>
      <c r="O38" s="344">
        <v>0</v>
      </c>
      <c r="P38" s="1423">
        <v>0</v>
      </c>
      <c r="Q38" s="324">
        <v>0</v>
      </c>
      <c r="R38" s="341">
        <v>0</v>
      </c>
      <c r="S38" s="344">
        <v>0</v>
      </c>
      <c r="T38" s="341">
        <v>0</v>
      </c>
      <c r="U38" s="344">
        <v>0</v>
      </c>
      <c r="V38" s="1206">
        <v>0</v>
      </c>
      <c r="W38" s="344">
        <v>0</v>
      </c>
      <c r="X38" s="1423">
        <v>0</v>
      </c>
      <c r="Y38" s="344">
        <v>0</v>
      </c>
      <c r="Z38" s="1423">
        <v>0</v>
      </c>
      <c r="AA38" s="324">
        <v>0</v>
      </c>
      <c r="AB38" s="341">
        <v>0</v>
      </c>
      <c r="AC38" s="343">
        <v>0</v>
      </c>
      <c r="AD38" s="1422">
        <v>0</v>
      </c>
      <c r="AE38" s="322">
        <v>0</v>
      </c>
      <c r="AF38" s="341">
        <v>0</v>
      </c>
      <c r="AG38" s="344">
        <v>0</v>
      </c>
      <c r="AH38" s="359">
        <v>0</v>
      </c>
      <c r="AI38" s="644">
        <v>0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8">
        <f>IF(AND(D38&gt;0,OR(AH38="")),1,IF(AH38&gt;D38,1,0))</f>
        <v>0</v>
      </c>
      <c r="ES38" s="1038">
        <f>IF(AND(E38&gt;0,OR(AI38="")),1,IF(AI38&gt;E38,1,0))</f>
        <v>0</v>
      </c>
      <c r="ET38" s="1038">
        <f>IF(AND(D38&gt;0,OR(AJ38="")),1,IF(AJ38&gt;D38,1,0))</f>
        <v>0</v>
      </c>
      <c r="EU38" s="1038">
        <f>IF(AND(E38&gt;0,OR(AK38="")),1,IF(AK38&gt;E38,1,0))</f>
        <v>0</v>
      </c>
    </row>
    <row r="39" spans="1:151" ht="15" customHeight="1" x14ac:dyDescent="0.25">
      <c r="A39" s="1707"/>
      <c r="B39" s="1420" t="s">
        <v>94</v>
      </c>
      <c r="C39" s="1438">
        <f t="shared" si="4"/>
        <v>965</v>
      </c>
      <c r="D39" s="1209">
        <f t="shared" si="27"/>
        <v>487</v>
      </c>
      <c r="E39" s="1439">
        <f t="shared" si="28"/>
        <v>478</v>
      </c>
      <c r="F39" s="919"/>
      <c r="G39" s="920"/>
      <c r="H39" s="1208">
        <f t="shared" ref="H39:AK39" si="30">SUM(H32:H36)+H38</f>
        <v>1</v>
      </c>
      <c r="I39" s="954">
        <f t="shared" si="30"/>
        <v>2</v>
      </c>
      <c r="J39" s="1208">
        <f t="shared" si="30"/>
        <v>5</v>
      </c>
      <c r="K39" s="954">
        <f t="shared" si="30"/>
        <v>8</v>
      </c>
      <c r="L39" s="1208">
        <f t="shared" si="30"/>
        <v>5</v>
      </c>
      <c r="M39" s="954">
        <f t="shared" si="30"/>
        <v>8</v>
      </c>
      <c r="N39" s="1426">
        <f t="shared" si="30"/>
        <v>7</v>
      </c>
      <c r="O39" s="931">
        <f t="shared" si="30"/>
        <v>9</v>
      </c>
      <c r="P39" s="1426">
        <f t="shared" si="30"/>
        <v>12</v>
      </c>
      <c r="Q39" s="1439">
        <f t="shared" si="30"/>
        <v>3</v>
      </c>
      <c r="R39" s="1207">
        <f t="shared" si="30"/>
        <v>4</v>
      </c>
      <c r="S39" s="1439">
        <f t="shared" si="30"/>
        <v>12</v>
      </c>
      <c r="T39" s="1207">
        <f t="shared" si="30"/>
        <v>36</v>
      </c>
      <c r="U39" s="1439">
        <f t="shared" si="30"/>
        <v>33</v>
      </c>
      <c r="V39" s="1207">
        <f t="shared" si="30"/>
        <v>32</v>
      </c>
      <c r="W39" s="931">
        <f t="shared" si="30"/>
        <v>40</v>
      </c>
      <c r="X39" s="1426">
        <f t="shared" si="30"/>
        <v>69</v>
      </c>
      <c r="Y39" s="931">
        <f t="shared" si="30"/>
        <v>60</v>
      </c>
      <c r="Z39" s="1426">
        <f t="shared" si="30"/>
        <v>116</v>
      </c>
      <c r="AA39" s="1439">
        <f t="shared" si="30"/>
        <v>106</v>
      </c>
      <c r="AB39" s="1207">
        <f t="shared" si="30"/>
        <v>53</v>
      </c>
      <c r="AC39" s="1428">
        <f t="shared" si="30"/>
        <v>44</v>
      </c>
      <c r="AD39" s="1427">
        <f t="shared" si="30"/>
        <v>51</v>
      </c>
      <c r="AE39" s="931">
        <f t="shared" si="30"/>
        <v>52</v>
      </c>
      <c r="AF39" s="1207">
        <f t="shared" si="30"/>
        <v>96</v>
      </c>
      <c r="AG39" s="1439">
        <f t="shared" si="30"/>
        <v>101</v>
      </c>
      <c r="AH39" s="334">
        <f t="shared" si="30"/>
        <v>72</v>
      </c>
      <c r="AI39" s="1426">
        <f t="shared" si="30"/>
        <v>73</v>
      </c>
      <c r="AJ39" s="1426">
        <f t="shared" si="30"/>
        <v>4</v>
      </c>
      <c r="AK39" s="931">
        <f t="shared" si="30"/>
        <v>5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92" t="s">
        <v>248</v>
      </c>
      <c r="B40" s="1793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206">
        <v>0</v>
      </c>
      <c r="G40" s="1434">
        <v>0</v>
      </c>
      <c r="H40" s="1206">
        <v>0</v>
      </c>
      <c r="I40" s="948">
        <v>0</v>
      </c>
      <c r="J40" s="1206">
        <v>0</v>
      </c>
      <c r="K40" s="948">
        <v>0</v>
      </c>
      <c r="L40" s="1206">
        <v>0</v>
      </c>
      <c r="M40" s="948">
        <v>0</v>
      </c>
      <c r="N40" s="1423">
        <v>0</v>
      </c>
      <c r="O40" s="948">
        <v>0</v>
      </c>
      <c r="P40" s="1423">
        <v>0</v>
      </c>
      <c r="Q40" s="1423">
        <v>0</v>
      </c>
      <c r="R40" s="1206">
        <v>0</v>
      </c>
      <c r="S40" s="948">
        <v>0</v>
      </c>
      <c r="T40" s="1206">
        <v>0</v>
      </c>
      <c r="U40" s="948">
        <v>0</v>
      </c>
      <c r="V40" s="1206">
        <v>0</v>
      </c>
      <c r="W40" s="948">
        <v>0</v>
      </c>
      <c r="X40" s="1423">
        <v>0</v>
      </c>
      <c r="Y40" s="948">
        <v>0</v>
      </c>
      <c r="Z40" s="1423">
        <v>0</v>
      </c>
      <c r="AA40" s="1423">
        <v>0</v>
      </c>
      <c r="AB40" s="1206">
        <v>0</v>
      </c>
      <c r="AC40" s="318">
        <v>0</v>
      </c>
      <c r="AD40" s="1422">
        <v>0</v>
      </c>
      <c r="AE40" s="948">
        <v>0</v>
      </c>
      <c r="AF40" s="1206">
        <v>0</v>
      </c>
      <c r="AG40" s="948">
        <v>0</v>
      </c>
      <c r="AH40" s="319">
        <v>0</v>
      </c>
      <c r="AI40" s="1423">
        <v>0</v>
      </c>
      <c r="AJ40" s="1423">
        <v>0</v>
      </c>
      <c r="AK40" s="948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8">
        <f>IF(AND(D40&gt;0,OR(AH40="")),1,IF(AH40&gt;D40,1,0))</f>
        <v>0</v>
      </c>
      <c r="ES40" s="1038">
        <f>IF(AND(E40&gt;0,OR(AI40="")),1,IF(AI40&gt;E40,1,0))</f>
        <v>0</v>
      </c>
      <c r="ET40" s="1038">
        <f>IF(AND(D40&gt;0,OR(AJ40="")),1,IF(AJ40&gt;D40,1,0))</f>
        <v>0</v>
      </c>
      <c r="EU40" s="1038">
        <f>IF(AND(E40&gt;0,OR(AK40="")),1,IF(AK40&gt;E40,1,0))</f>
        <v>0</v>
      </c>
    </row>
    <row r="41" spans="1:151" ht="17.100000000000001" customHeight="1" x14ac:dyDescent="0.15">
      <c r="A41" s="1834" t="s">
        <v>249</v>
      </c>
      <c r="B41" s="1834"/>
      <c r="C41" s="1834"/>
      <c r="D41" s="1834"/>
      <c r="E41" s="1834"/>
      <c r="F41" s="1834"/>
      <c r="G41" s="1834"/>
      <c r="H41" s="1834"/>
      <c r="I41" s="1834"/>
      <c r="J41" s="1834"/>
      <c r="K41" s="1834"/>
      <c r="L41" s="1834"/>
      <c r="M41" s="1834"/>
      <c r="N41" s="1834"/>
      <c r="O41" s="1834"/>
      <c r="P41" s="224"/>
      <c r="Q41" s="224"/>
      <c r="R41" s="963"/>
      <c r="S41" s="963"/>
      <c r="T41" s="963"/>
      <c r="U41" s="963"/>
      <c r="V41" s="963"/>
      <c r="W41" s="963"/>
      <c r="X41" s="963"/>
      <c r="Y41" s="963"/>
      <c r="Z41" s="963"/>
      <c r="AA41" s="963"/>
      <c r="AB41" s="963"/>
      <c r="AC41" s="963"/>
      <c r="AD41" s="963"/>
      <c r="AE41" s="963"/>
      <c r="AF41" s="963"/>
      <c r="AG41" s="963"/>
      <c r="AH41" s="963"/>
      <c r="AI41" s="963"/>
      <c r="AJ41" s="963"/>
      <c r="AK41" s="963"/>
      <c r="AL41" s="963"/>
      <c r="AM41" s="963"/>
      <c r="AN41" s="963"/>
      <c r="AO41" s="963"/>
      <c r="AP41" s="963"/>
      <c r="AQ41" s="963"/>
      <c r="AR41" s="963"/>
      <c r="AS41" s="963"/>
      <c r="AT41" s="963"/>
      <c r="AU41" s="963"/>
      <c r="AV41" s="96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3"/>
    </row>
    <row r="42" spans="1:151" ht="27.75" customHeight="1" x14ac:dyDescent="0.25">
      <c r="A42" s="1725" t="s">
        <v>214</v>
      </c>
      <c r="B42" s="1726"/>
      <c r="C42" s="1806" t="s">
        <v>54</v>
      </c>
      <c r="D42" s="1806"/>
      <c r="E42" s="1807"/>
      <c r="F42" s="1737" t="s">
        <v>250</v>
      </c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8"/>
      <c r="S42" s="1803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27"/>
      <c r="B43" s="1728"/>
      <c r="C43" s="1718"/>
      <c r="D43" s="1718"/>
      <c r="E43" s="1719"/>
      <c r="F43" s="1702" t="s">
        <v>251</v>
      </c>
      <c r="G43" s="1703"/>
      <c r="H43" s="1702" t="s">
        <v>252</v>
      </c>
      <c r="I43" s="1703"/>
      <c r="J43" s="1702" t="s">
        <v>253</v>
      </c>
      <c r="K43" s="1703"/>
      <c r="L43" s="1702" t="s">
        <v>254</v>
      </c>
      <c r="M43" s="1703"/>
      <c r="N43" s="1702" t="s">
        <v>255</v>
      </c>
      <c r="O43" s="1703"/>
      <c r="P43" s="1801" t="s">
        <v>56</v>
      </c>
      <c r="Q43" s="1802"/>
      <c r="R43" s="1650" t="s">
        <v>57</v>
      </c>
      <c r="S43" s="1800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29"/>
      <c r="B44" s="1730"/>
      <c r="C44" s="962" t="s">
        <v>230</v>
      </c>
      <c r="D44" s="1205" t="s">
        <v>91</v>
      </c>
      <c r="E44" s="1421" t="s">
        <v>231</v>
      </c>
      <c r="F44" s="964" t="s">
        <v>91</v>
      </c>
      <c r="G44" s="965" t="s">
        <v>231</v>
      </c>
      <c r="H44" s="964" t="s">
        <v>91</v>
      </c>
      <c r="I44" s="889" t="s">
        <v>231</v>
      </c>
      <c r="J44" s="601" t="s">
        <v>91</v>
      </c>
      <c r="K44" s="889" t="s">
        <v>231</v>
      </c>
      <c r="L44" s="601" t="s">
        <v>91</v>
      </c>
      <c r="M44" s="889" t="s">
        <v>231</v>
      </c>
      <c r="N44" s="601" t="s">
        <v>91</v>
      </c>
      <c r="O44" s="966" t="s">
        <v>231</v>
      </c>
      <c r="P44" s="967" t="s">
        <v>91</v>
      </c>
      <c r="Q44" s="968" t="s">
        <v>231</v>
      </c>
      <c r="R44" s="1441" t="s">
        <v>91</v>
      </c>
      <c r="S44" s="1421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804" t="s">
        <v>256</v>
      </c>
      <c r="B45" s="1805"/>
      <c r="C45" s="1442">
        <f>+D45+E45</f>
        <v>712</v>
      </c>
      <c r="D45" s="361">
        <f>+F45+H45+J45+L45+N45</f>
        <v>340</v>
      </c>
      <c r="E45" s="312">
        <f>+G45+I45+K45+M45+O45</f>
        <v>372</v>
      </c>
      <c r="F45" s="321">
        <v>82</v>
      </c>
      <c r="G45" s="322">
        <v>97</v>
      </c>
      <c r="H45" s="321">
        <v>81</v>
      </c>
      <c r="I45" s="322">
        <v>103</v>
      </c>
      <c r="J45" s="324">
        <v>69</v>
      </c>
      <c r="K45" s="322">
        <v>63</v>
      </c>
      <c r="L45" s="324">
        <v>48</v>
      </c>
      <c r="M45" s="322">
        <v>52</v>
      </c>
      <c r="N45" s="324">
        <v>60</v>
      </c>
      <c r="O45" s="323">
        <v>57</v>
      </c>
      <c r="P45" s="325">
        <v>57</v>
      </c>
      <c r="Q45" s="374">
        <v>72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8">
        <f>IF(F45&lt;&gt;SUM(F73:F74),1,0)</f>
        <v>0</v>
      </c>
      <c r="DQ45" s="1038">
        <f>IF(G45&lt;&gt;SUM(G73:G74),1,0)</f>
        <v>0</v>
      </c>
      <c r="DR45" s="1038">
        <f t="shared" ref="DR45:DY45" si="33">IF(H45&lt;&gt;SUM(H73:H74),1,0)</f>
        <v>0</v>
      </c>
      <c r="DS45" s="1038">
        <f t="shared" si="33"/>
        <v>0</v>
      </c>
      <c r="DT45" s="1038">
        <f t="shared" si="33"/>
        <v>0</v>
      </c>
      <c r="DU45" s="1038">
        <f t="shared" si="33"/>
        <v>0</v>
      </c>
      <c r="DV45" s="1038">
        <f t="shared" si="33"/>
        <v>0</v>
      </c>
      <c r="DW45" s="1038">
        <f t="shared" si="33"/>
        <v>0</v>
      </c>
      <c r="DX45" s="1038">
        <f t="shared" si="33"/>
        <v>0</v>
      </c>
      <c r="DY45" s="1038">
        <f t="shared" si="33"/>
        <v>0</v>
      </c>
      <c r="DZ45" s="1038">
        <f t="shared" ref="DZ45:EA48" si="34">IF(AND(D45&gt;0,OR(P45="")),1,IF(P45&gt;D45,1,0))</f>
        <v>0</v>
      </c>
      <c r="EA45" s="1038">
        <f t="shared" si="34"/>
        <v>0</v>
      </c>
      <c r="EB45" s="1038">
        <f t="shared" ref="EB45:EC48" si="35">IF(AND(D45&gt;0,OR(R45="")),1,IF(R45&gt;D45,1,0))</f>
        <v>0</v>
      </c>
      <c r="EC45" s="1038">
        <f t="shared" si="35"/>
        <v>0</v>
      </c>
      <c r="ED45" s="1038">
        <f>IF(P45&lt;&gt;P73,1,0)</f>
        <v>0</v>
      </c>
      <c r="EE45" s="1038">
        <f t="shared" ref="EE45:EF45" si="36">IF(Q45&lt;&gt;Q73,1,0)</f>
        <v>0</v>
      </c>
      <c r="EF45" s="1038">
        <f t="shared" si="36"/>
        <v>0</v>
      </c>
      <c r="EG45" s="1038">
        <f>IF(S45&lt;&gt;S73,1,0)</f>
        <v>0</v>
      </c>
    </row>
    <row r="46" spans="1:151" ht="15" customHeight="1" x14ac:dyDescent="0.25">
      <c r="A46" s="1722" t="s">
        <v>257</v>
      </c>
      <c r="B46" s="65" t="s">
        <v>258</v>
      </c>
      <c r="C46" s="338">
        <f>+D46+E46</f>
        <v>97</v>
      </c>
      <c r="D46" s="362">
        <f t="shared" ref="D46:D51" si="37">+F46+H46+J46+L46+N46</f>
        <v>54</v>
      </c>
      <c r="E46" s="363">
        <f t="shared" ref="E46:E48" si="38">+G46+I46+K46+M46+O46</f>
        <v>43</v>
      </c>
      <c r="F46" s="321">
        <v>13</v>
      </c>
      <c r="G46" s="322">
        <v>10</v>
      </c>
      <c r="H46" s="321">
        <v>15</v>
      </c>
      <c r="I46" s="322">
        <v>13</v>
      </c>
      <c r="J46" s="324">
        <v>11</v>
      </c>
      <c r="K46" s="322">
        <v>5</v>
      </c>
      <c r="L46" s="324">
        <v>3</v>
      </c>
      <c r="M46" s="322">
        <v>12</v>
      </c>
      <c r="N46" s="324">
        <v>12</v>
      </c>
      <c r="O46" s="323">
        <v>3</v>
      </c>
      <c r="P46" s="325">
        <v>16</v>
      </c>
      <c r="Q46" s="374">
        <v>9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8">
        <f t="shared" si="34"/>
        <v>0</v>
      </c>
      <c r="EA46" s="1038">
        <f t="shared" si="34"/>
        <v>0</v>
      </c>
      <c r="EB46" s="1038">
        <f t="shared" si="35"/>
        <v>0</v>
      </c>
      <c r="EC46" s="1038">
        <f t="shared" si="35"/>
        <v>0</v>
      </c>
    </row>
    <row r="47" spans="1:151" ht="15" customHeight="1" x14ac:dyDescent="0.25">
      <c r="A47" s="1720"/>
      <c r="B47" s="66" t="s">
        <v>259</v>
      </c>
      <c r="C47" s="351">
        <f t="shared" ref="C47:C72" si="39">+D47+E47</f>
        <v>161</v>
      </c>
      <c r="D47" s="364">
        <f t="shared" si="37"/>
        <v>71</v>
      </c>
      <c r="E47" s="365">
        <f t="shared" si="38"/>
        <v>90</v>
      </c>
      <c r="F47" s="353">
        <v>23</v>
      </c>
      <c r="G47" s="354">
        <v>20</v>
      </c>
      <c r="H47" s="353">
        <v>7</v>
      </c>
      <c r="I47" s="354">
        <v>22</v>
      </c>
      <c r="J47" s="356">
        <v>11</v>
      </c>
      <c r="K47" s="354">
        <v>17</v>
      </c>
      <c r="L47" s="356">
        <v>12</v>
      </c>
      <c r="M47" s="354">
        <v>14</v>
      </c>
      <c r="N47" s="356">
        <v>18</v>
      </c>
      <c r="O47" s="355">
        <v>17</v>
      </c>
      <c r="P47" s="357">
        <v>7</v>
      </c>
      <c r="Q47" s="375">
        <v>22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8">
        <f t="shared" si="34"/>
        <v>0</v>
      </c>
      <c r="EA47" s="1038">
        <f t="shared" si="34"/>
        <v>0</v>
      </c>
      <c r="EB47" s="1038">
        <f t="shared" si="35"/>
        <v>0</v>
      </c>
      <c r="EC47" s="1038">
        <f t="shared" si="35"/>
        <v>0</v>
      </c>
    </row>
    <row r="48" spans="1:151" ht="15" customHeight="1" x14ac:dyDescent="0.25">
      <c r="A48" s="1720"/>
      <c r="B48" s="67" t="s">
        <v>260</v>
      </c>
      <c r="C48" s="358">
        <f t="shared" si="39"/>
        <v>165</v>
      </c>
      <c r="D48" s="366">
        <f t="shared" si="37"/>
        <v>80</v>
      </c>
      <c r="E48" s="367">
        <f t="shared" si="38"/>
        <v>85</v>
      </c>
      <c r="F48" s="327">
        <v>18</v>
      </c>
      <c r="G48" s="328">
        <v>17</v>
      </c>
      <c r="H48" s="327">
        <v>20</v>
      </c>
      <c r="I48" s="328">
        <v>23</v>
      </c>
      <c r="J48" s="330">
        <v>18</v>
      </c>
      <c r="K48" s="328">
        <v>15</v>
      </c>
      <c r="L48" s="330">
        <v>10</v>
      </c>
      <c r="M48" s="328">
        <v>13</v>
      </c>
      <c r="N48" s="330">
        <v>14</v>
      </c>
      <c r="O48" s="329">
        <v>17</v>
      </c>
      <c r="P48" s="331">
        <v>18</v>
      </c>
      <c r="Q48" s="378">
        <v>17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8">
        <f t="shared" si="34"/>
        <v>0</v>
      </c>
      <c r="EA48" s="1038">
        <f t="shared" si="34"/>
        <v>0</v>
      </c>
      <c r="EB48" s="1038">
        <f t="shared" si="35"/>
        <v>0</v>
      </c>
      <c r="EC48" s="1038">
        <f t="shared" si="35"/>
        <v>0</v>
      </c>
    </row>
    <row r="49" spans="1:133" ht="15" customHeight="1" x14ac:dyDescent="0.25">
      <c r="A49" s="1720"/>
      <c r="B49" s="1443" t="s">
        <v>94</v>
      </c>
      <c r="C49" s="1427">
        <f t="shared" si="39"/>
        <v>423</v>
      </c>
      <c r="D49" s="1207">
        <f>+F49+H49+J49+L49+N49</f>
        <v>205</v>
      </c>
      <c r="E49" s="1439">
        <f>+G49+I49+K49+M49+O49</f>
        <v>218</v>
      </c>
      <c r="F49" s="1207">
        <f>SUM(F46:F48)</f>
        <v>54</v>
      </c>
      <c r="G49" s="1439">
        <f t="shared" ref="G49:O49" si="41">SUM(G46:G48)</f>
        <v>47</v>
      </c>
      <c r="H49" s="1207">
        <f t="shared" si="41"/>
        <v>42</v>
      </c>
      <c r="I49" s="931">
        <f t="shared" si="41"/>
        <v>58</v>
      </c>
      <c r="J49" s="1426">
        <f t="shared" si="41"/>
        <v>40</v>
      </c>
      <c r="K49" s="931">
        <f t="shared" si="41"/>
        <v>37</v>
      </c>
      <c r="L49" s="1426">
        <f t="shared" si="41"/>
        <v>25</v>
      </c>
      <c r="M49" s="931">
        <f t="shared" si="41"/>
        <v>39</v>
      </c>
      <c r="N49" s="1426">
        <f t="shared" si="41"/>
        <v>44</v>
      </c>
      <c r="O49" s="1428">
        <f t="shared" si="41"/>
        <v>37</v>
      </c>
      <c r="P49" s="334">
        <f t="shared" ref="P49:S49" si="42">SUM(P46:P48)</f>
        <v>41</v>
      </c>
      <c r="Q49" s="1426">
        <f t="shared" si="42"/>
        <v>48</v>
      </c>
      <c r="R49" s="1426">
        <f t="shared" si="42"/>
        <v>0</v>
      </c>
      <c r="S49" s="1439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0"/>
      <c r="B50" s="68" t="s">
        <v>261</v>
      </c>
      <c r="C50" s="350">
        <f t="shared" si="39"/>
        <v>12</v>
      </c>
      <c r="D50" s="368">
        <f>+F50+H50+J50+L50+N50</f>
        <v>5</v>
      </c>
      <c r="E50" s="369">
        <f t="shared" ref="E50:E51" si="43">+G50+I50+K50+M50+O50</f>
        <v>7</v>
      </c>
      <c r="F50" s="321">
        <v>1</v>
      </c>
      <c r="G50" s="322">
        <v>2</v>
      </c>
      <c r="H50" s="321">
        <v>0</v>
      </c>
      <c r="I50" s="322">
        <v>2</v>
      </c>
      <c r="J50" s="324">
        <v>2</v>
      </c>
      <c r="K50" s="322">
        <v>1</v>
      </c>
      <c r="L50" s="324">
        <v>0</v>
      </c>
      <c r="M50" s="322">
        <v>0</v>
      </c>
      <c r="N50" s="324">
        <v>2</v>
      </c>
      <c r="O50" s="323">
        <v>2</v>
      </c>
      <c r="P50" s="325">
        <v>3</v>
      </c>
      <c r="Q50" s="374">
        <v>1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8">
        <f>IF(AND(D50&gt;0,OR(P50="")),1,IF(P50&gt;D50,1,0))</f>
        <v>0</v>
      </c>
      <c r="EA50" s="1038">
        <f>IF(AND(E50&gt;0,OR(Q50="")),1,IF(Q50&gt;E50,1,0))</f>
        <v>0</v>
      </c>
      <c r="EB50" s="1038">
        <f>IF(AND(D50&gt;0,OR(R50="")),1,IF(R50&gt;D50,1,0))</f>
        <v>0</v>
      </c>
      <c r="EC50" s="1038">
        <f>IF(AND(E50&gt;0,OR(S50="")),1,IF(S50&gt;E50,1,0))</f>
        <v>0</v>
      </c>
    </row>
    <row r="51" spans="1:133" ht="15" customHeight="1" x14ac:dyDescent="0.25">
      <c r="A51" s="1720"/>
      <c r="B51" s="67" t="s">
        <v>237</v>
      </c>
      <c r="C51" s="358">
        <f>+D51+E51</f>
        <v>1</v>
      </c>
      <c r="D51" s="366">
        <f t="shared" si="37"/>
        <v>1</v>
      </c>
      <c r="E51" s="367">
        <f t="shared" si="43"/>
        <v>0</v>
      </c>
      <c r="F51" s="327">
        <v>0</v>
      </c>
      <c r="G51" s="328">
        <v>0</v>
      </c>
      <c r="H51" s="327">
        <v>0</v>
      </c>
      <c r="I51" s="328">
        <v>0</v>
      </c>
      <c r="J51" s="330">
        <v>0</v>
      </c>
      <c r="K51" s="328">
        <v>0</v>
      </c>
      <c r="L51" s="330">
        <v>1</v>
      </c>
      <c r="M51" s="328">
        <v>0</v>
      </c>
      <c r="N51" s="330">
        <v>0</v>
      </c>
      <c r="O51" s="329">
        <v>0</v>
      </c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8">
        <f>IF(AND(D51&gt;0,OR(P51="")),1,IF(P51&gt;D51,1,0))</f>
        <v>0</v>
      </c>
      <c r="EA51" s="1038">
        <f>IF(AND(E51&gt;0,OR(Q51="")),1,IF(Q51&gt;E51,1,0))</f>
        <v>0</v>
      </c>
      <c r="EB51" s="1038">
        <f>IF(AND(D51&gt;0,OR(R51="")),1,IF(R51&gt;D51,1,0))</f>
        <v>0</v>
      </c>
      <c r="EC51" s="1038">
        <f>IF(AND(E51&gt;0,OR(S51="")),1,IF(S51&gt;E51,1,0))</f>
        <v>0</v>
      </c>
    </row>
    <row r="52" spans="1:133" ht="15" customHeight="1" x14ac:dyDescent="0.25">
      <c r="A52" s="1720"/>
      <c r="B52" s="1443" t="s">
        <v>94</v>
      </c>
      <c r="C52" s="1427">
        <f t="shared" si="39"/>
        <v>13</v>
      </c>
      <c r="D52" s="1207">
        <f>+F52+H52+J52+L52+N52</f>
        <v>6</v>
      </c>
      <c r="E52" s="1439">
        <f>+G52+I52+K52+M52+O52</f>
        <v>7</v>
      </c>
      <c r="F52" s="1208">
        <f>SUM(F50:F51)</f>
        <v>1</v>
      </c>
      <c r="G52" s="954">
        <f t="shared" ref="G52:O52" si="44">SUM(G50:G51)</f>
        <v>2</v>
      </c>
      <c r="H52" s="1208">
        <f t="shared" si="44"/>
        <v>0</v>
      </c>
      <c r="I52" s="954">
        <f t="shared" si="44"/>
        <v>2</v>
      </c>
      <c r="J52" s="1431">
        <f t="shared" si="44"/>
        <v>2</v>
      </c>
      <c r="K52" s="954">
        <f t="shared" si="44"/>
        <v>1</v>
      </c>
      <c r="L52" s="1431">
        <f t="shared" si="44"/>
        <v>1</v>
      </c>
      <c r="M52" s="954">
        <f t="shared" si="44"/>
        <v>0</v>
      </c>
      <c r="N52" s="1431">
        <f t="shared" si="44"/>
        <v>2</v>
      </c>
      <c r="O52" s="339">
        <f t="shared" si="44"/>
        <v>2</v>
      </c>
      <c r="P52" s="340">
        <f t="shared" ref="P52:S52" si="45">SUM(P50:P51)</f>
        <v>3</v>
      </c>
      <c r="Q52" s="1189">
        <f t="shared" si="45"/>
        <v>1</v>
      </c>
      <c r="R52" s="1431">
        <f t="shared" si="45"/>
        <v>0</v>
      </c>
      <c r="S52" s="954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21"/>
      <c r="B53" s="1444" t="s">
        <v>240</v>
      </c>
      <c r="C53" s="1427">
        <f t="shared" si="39"/>
        <v>276</v>
      </c>
      <c r="D53" s="1207">
        <f>+F53+H53+J53+L53+N53</f>
        <v>129</v>
      </c>
      <c r="E53" s="1439">
        <f t="shared" ref="E53:E55" si="46">+G53+I53+K53+M53+O53</f>
        <v>147</v>
      </c>
      <c r="F53" s="1206">
        <v>27</v>
      </c>
      <c r="G53" s="948">
        <v>48</v>
      </c>
      <c r="H53" s="1206">
        <v>39</v>
      </c>
      <c r="I53" s="948">
        <v>43</v>
      </c>
      <c r="J53" s="1423">
        <v>27</v>
      </c>
      <c r="K53" s="948">
        <v>25</v>
      </c>
      <c r="L53" s="1423">
        <v>22</v>
      </c>
      <c r="M53" s="948">
        <v>13</v>
      </c>
      <c r="N53" s="1423">
        <v>14</v>
      </c>
      <c r="O53" s="679">
        <v>18</v>
      </c>
      <c r="P53" s="1423">
        <v>13</v>
      </c>
      <c r="Q53" s="947">
        <v>23</v>
      </c>
      <c r="R53" s="1423">
        <v>0</v>
      </c>
      <c r="S53" s="948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8">
        <f t="shared" ref="DZ53:EA55" si="47">IF(AND(D53&gt;0,OR(P53="")),1,IF(P53&gt;D53,1,0))</f>
        <v>0</v>
      </c>
      <c r="EA53" s="1038">
        <f t="shared" si="47"/>
        <v>0</v>
      </c>
      <c r="EB53" s="1038">
        <f t="shared" ref="EB53:EC55" si="48">IF(AND(D53&gt;0,OR(R53="")),1,IF(R53&gt;D53,1,0))</f>
        <v>0</v>
      </c>
      <c r="EC53" s="1038">
        <f t="shared" si="48"/>
        <v>0</v>
      </c>
    </row>
    <row r="54" spans="1:133" ht="15" customHeight="1" x14ac:dyDescent="0.25">
      <c r="A54" s="1794" t="s">
        <v>262</v>
      </c>
      <c r="B54" s="666" t="s">
        <v>234</v>
      </c>
      <c r="C54" s="667">
        <f t="shared" si="39"/>
        <v>26</v>
      </c>
      <c r="D54" s="668">
        <f t="shared" ref="D54:D55" si="49">+F54+H54+J54+L54+N54</f>
        <v>8</v>
      </c>
      <c r="E54" s="669">
        <f t="shared" si="46"/>
        <v>18</v>
      </c>
      <c r="F54" s="341">
        <v>2</v>
      </c>
      <c r="G54" s="342">
        <v>2</v>
      </c>
      <c r="H54" s="341">
        <v>0</v>
      </c>
      <c r="I54" s="344">
        <v>3</v>
      </c>
      <c r="J54" s="342">
        <v>2</v>
      </c>
      <c r="K54" s="344">
        <v>3</v>
      </c>
      <c r="L54" s="342">
        <v>0</v>
      </c>
      <c r="M54" s="344">
        <v>4</v>
      </c>
      <c r="N54" s="342">
        <v>4</v>
      </c>
      <c r="O54" s="347">
        <v>6</v>
      </c>
      <c r="P54" s="346">
        <v>2</v>
      </c>
      <c r="Q54" s="643">
        <v>2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8">
        <f t="shared" si="47"/>
        <v>0</v>
      </c>
      <c r="EA54" s="1038">
        <f t="shared" si="47"/>
        <v>0</v>
      </c>
      <c r="EB54" s="1038">
        <f t="shared" si="48"/>
        <v>0</v>
      </c>
      <c r="EC54" s="1038">
        <f t="shared" si="48"/>
        <v>0</v>
      </c>
    </row>
    <row r="55" spans="1:133" ht="15" customHeight="1" x14ac:dyDescent="0.25">
      <c r="A55" s="1795"/>
      <c r="B55" s="670" t="s">
        <v>235</v>
      </c>
      <c r="C55" s="671">
        <f t="shared" si="39"/>
        <v>156</v>
      </c>
      <c r="D55" s="672">
        <f t="shared" si="49"/>
        <v>82</v>
      </c>
      <c r="E55" s="673">
        <f t="shared" si="46"/>
        <v>74</v>
      </c>
      <c r="F55" s="327">
        <v>18</v>
      </c>
      <c r="G55" s="330">
        <v>16</v>
      </c>
      <c r="H55" s="327">
        <v>28</v>
      </c>
      <c r="I55" s="328">
        <v>18</v>
      </c>
      <c r="J55" s="330">
        <v>16</v>
      </c>
      <c r="K55" s="328">
        <v>19</v>
      </c>
      <c r="L55" s="330">
        <v>5</v>
      </c>
      <c r="M55" s="328">
        <v>9</v>
      </c>
      <c r="N55" s="330">
        <v>15</v>
      </c>
      <c r="O55" s="332">
        <v>12</v>
      </c>
      <c r="P55" s="331">
        <v>16</v>
      </c>
      <c r="Q55" s="378">
        <v>10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8">
        <f t="shared" si="47"/>
        <v>0</v>
      </c>
      <c r="EA55" s="1038">
        <f t="shared" si="47"/>
        <v>0</v>
      </c>
      <c r="EB55" s="1038">
        <f t="shared" si="48"/>
        <v>0</v>
      </c>
      <c r="EC55" s="1038">
        <f t="shared" si="48"/>
        <v>0</v>
      </c>
    </row>
    <row r="56" spans="1:133" ht="15" customHeight="1" x14ac:dyDescent="0.25">
      <c r="A56" s="1795"/>
      <c r="B56" s="1445" t="s">
        <v>94</v>
      </c>
      <c r="C56" s="1433">
        <f t="shared" si="39"/>
        <v>182</v>
      </c>
      <c r="D56" s="1208">
        <f>+F56+H56+J56+L56+N56</f>
        <v>90</v>
      </c>
      <c r="E56" s="1430">
        <f>+G56+I56+K56+M56+O56</f>
        <v>92</v>
      </c>
      <c r="F56" s="1208">
        <f>SUM(F54:F55)</f>
        <v>20</v>
      </c>
      <c r="G56" s="1431">
        <f t="shared" ref="G56:S56" si="50">SUM(G54:G55)</f>
        <v>18</v>
      </c>
      <c r="H56" s="1208">
        <f t="shared" ref="H56:I56" si="51">SUM(H54:H55)</f>
        <v>28</v>
      </c>
      <c r="I56" s="954">
        <f t="shared" si="51"/>
        <v>21</v>
      </c>
      <c r="J56" s="1431">
        <f t="shared" ref="J56:K56" si="52">SUM(J54:J55)</f>
        <v>18</v>
      </c>
      <c r="K56" s="954">
        <f t="shared" si="52"/>
        <v>22</v>
      </c>
      <c r="L56" s="1431">
        <f t="shared" ref="L56:M56" si="53">SUM(L54:L55)</f>
        <v>5</v>
      </c>
      <c r="M56" s="954">
        <f t="shared" si="53"/>
        <v>13</v>
      </c>
      <c r="N56" s="1431">
        <f t="shared" si="50"/>
        <v>19</v>
      </c>
      <c r="O56" s="927">
        <f t="shared" si="50"/>
        <v>18</v>
      </c>
      <c r="P56" s="340">
        <f t="shared" si="50"/>
        <v>18</v>
      </c>
      <c r="Q56" s="1189">
        <f t="shared" si="50"/>
        <v>12</v>
      </c>
      <c r="R56" s="1189">
        <f t="shared" si="50"/>
        <v>0</v>
      </c>
      <c r="S56" s="954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5"/>
      <c r="B57" s="674" t="s">
        <v>236</v>
      </c>
      <c r="C57" s="667">
        <f t="shared" si="39"/>
        <v>65</v>
      </c>
      <c r="D57" s="668">
        <f t="shared" ref="D57:D58" si="54">+F57+H57+J57+L57+N57</f>
        <v>28</v>
      </c>
      <c r="E57" s="669">
        <f t="shared" ref="E57:E58" si="55">+G57+I57+K57+M57+O57</f>
        <v>37</v>
      </c>
      <c r="F57" s="341">
        <v>6</v>
      </c>
      <c r="G57" s="342">
        <v>11</v>
      </c>
      <c r="H57" s="341">
        <v>9</v>
      </c>
      <c r="I57" s="344">
        <v>8</v>
      </c>
      <c r="J57" s="342">
        <v>5</v>
      </c>
      <c r="K57" s="344">
        <v>5</v>
      </c>
      <c r="L57" s="342">
        <v>3</v>
      </c>
      <c r="M57" s="344">
        <v>5</v>
      </c>
      <c r="N57" s="342">
        <v>5</v>
      </c>
      <c r="O57" s="347">
        <v>8</v>
      </c>
      <c r="P57" s="346">
        <v>3</v>
      </c>
      <c r="Q57" s="643">
        <v>9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8">
        <f>IF(AND(D57&gt;0,OR(P57="")),1,IF(P57&gt;D57,1,0))</f>
        <v>0</v>
      </c>
      <c r="EA57" s="1038">
        <f>IF(AND(E57&gt;0,OR(Q57="")),1,IF(Q57&gt;E57,1,0))</f>
        <v>0</v>
      </c>
      <c r="EB57" s="1038">
        <f>IF(AND(D57&gt;0,OR(R57="")),1,IF(R57&gt;D57,1,0))</f>
        <v>0</v>
      </c>
      <c r="EC57" s="1038">
        <f>IF(AND(E57&gt;0,OR(S57="")),1,IF(S57&gt;E57,1,0))</f>
        <v>0</v>
      </c>
    </row>
    <row r="58" spans="1:133" ht="15" customHeight="1" x14ac:dyDescent="0.25">
      <c r="A58" s="1795"/>
      <c r="B58" s="670" t="s">
        <v>237</v>
      </c>
      <c r="C58" s="671">
        <f t="shared" si="39"/>
        <v>17</v>
      </c>
      <c r="D58" s="672">
        <f t="shared" si="54"/>
        <v>9</v>
      </c>
      <c r="E58" s="673">
        <f t="shared" si="55"/>
        <v>8</v>
      </c>
      <c r="F58" s="327">
        <v>3</v>
      </c>
      <c r="G58" s="330">
        <v>2</v>
      </c>
      <c r="H58" s="327">
        <v>1</v>
      </c>
      <c r="I58" s="328">
        <v>3</v>
      </c>
      <c r="J58" s="330">
        <v>1</v>
      </c>
      <c r="K58" s="328">
        <v>0</v>
      </c>
      <c r="L58" s="330">
        <v>2</v>
      </c>
      <c r="M58" s="328">
        <v>0</v>
      </c>
      <c r="N58" s="330">
        <v>2</v>
      </c>
      <c r="O58" s="332">
        <v>3</v>
      </c>
      <c r="P58" s="331">
        <v>2</v>
      </c>
      <c r="Q58" s="378">
        <v>1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8">
        <f>IF(AND(D58&gt;0,OR(P58="")),1,IF(P58&gt;D58,1,0))</f>
        <v>0</v>
      </c>
      <c r="EA58" s="1038">
        <f>IF(AND(E58&gt;0,OR(Q58="")),1,IF(Q58&gt;E58,1,0))</f>
        <v>0</v>
      </c>
      <c r="EB58" s="1038">
        <f>IF(AND(D58&gt;0,OR(R58="")),1,IF(R58&gt;D58,1,0))</f>
        <v>0</v>
      </c>
      <c r="EC58" s="1038">
        <f>IF(AND(E58&gt;0,OR(S58="")),1,IF(S58&gt;E58,1,0))</f>
        <v>0</v>
      </c>
    </row>
    <row r="59" spans="1:133" ht="15" customHeight="1" x14ac:dyDescent="0.25">
      <c r="A59" s="1795"/>
      <c r="B59" s="1445" t="s">
        <v>94</v>
      </c>
      <c r="C59" s="1433">
        <f t="shared" si="39"/>
        <v>82</v>
      </c>
      <c r="D59" s="1208">
        <f>+F59+H59+J59+L59+N59</f>
        <v>37</v>
      </c>
      <c r="E59" s="1430">
        <f>+G59+I59+K59+M59+O59</f>
        <v>45</v>
      </c>
      <c r="F59" s="1208">
        <f>SUM(F57:F58)</f>
        <v>9</v>
      </c>
      <c r="G59" s="1431">
        <f t="shared" ref="G59:S59" si="56">SUM(G57:G58)</f>
        <v>13</v>
      </c>
      <c r="H59" s="1208">
        <f t="shared" ref="H59:I59" si="57">SUM(H57:H58)</f>
        <v>10</v>
      </c>
      <c r="I59" s="954">
        <f t="shared" si="57"/>
        <v>11</v>
      </c>
      <c r="J59" s="1431">
        <f t="shared" ref="J59:K59" si="58">SUM(J57:J58)</f>
        <v>6</v>
      </c>
      <c r="K59" s="954">
        <f t="shared" si="58"/>
        <v>5</v>
      </c>
      <c r="L59" s="1431">
        <f t="shared" ref="L59:M59" si="59">SUM(L57:L58)</f>
        <v>5</v>
      </c>
      <c r="M59" s="954">
        <f t="shared" si="59"/>
        <v>5</v>
      </c>
      <c r="N59" s="1431">
        <f t="shared" si="56"/>
        <v>7</v>
      </c>
      <c r="O59" s="927">
        <f t="shared" si="56"/>
        <v>11</v>
      </c>
      <c r="P59" s="340">
        <f>SUM(P57:P58)</f>
        <v>5</v>
      </c>
      <c r="Q59" s="1189">
        <f t="shared" si="56"/>
        <v>10</v>
      </c>
      <c r="R59" s="1189">
        <f t="shared" si="56"/>
        <v>0</v>
      </c>
      <c r="S59" s="954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6"/>
      <c r="B60" s="675" t="s">
        <v>240</v>
      </c>
      <c r="C60" s="676">
        <f t="shared" si="39"/>
        <v>448</v>
      </c>
      <c r="D60" s="677">
        <f t="shared" ref="D60:D63" si="60">+F60+H60+J60+L60+N60</f>
        <v>213</v>
      </c>
      <c r="E60" s="678">
        <f t="shared" ref="E60:E63" si="61">+G60+I60+K60+M60+O60</f>
        <v>235</v>
      </c>
      <c r="F60" s="314">
        <v>53</v>
      </c>
      <c r="G60" s="342">
        <v>66</v>
      </c>
      <c r="H60" s="314">
        <v>43</v>
      </c>
      <c r="I60" s="315">
        <v>71</v>
      </c>
      <c r="J60" s="317">
        <v>45</v>
      </c>
      <c r="K60" s="315">
        <v>36</v>
      </c>
      <c r="L60" s="317">
        <v>38</v>
      </c>
      <c r="M60" s="315">
        <v>34</v>
      </c>
      <c r="N60" s="317">
        <v>34</v>
      </c>
      <c r="O60" s="680">
        <v>28</v>
      </c>
      <c r="P60" s="349">
        <v>34</v>
      </c>
      <c r="Q60" s="645">
        <v>50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8">
        <f t="shared" ref="DZ60:EA63" si="62">IF(AND(D60&gt;0,OR(P60="")),1,IF(P60&gt;D60,1,0))</f>
        <v>0</v>
      </c>
      <c r="EA60" s="1038">
        <f t="shared" si="62"/>
        <v>0</v>
      </c>
      <c r="EB60" s="1038">
        <f t="shared" ref="EB60:EC63" si="63">IF(AND(D60&gt;0,OR(R60="")),1,IF(R60&gt;D60,1,0))</f>
        <v>0</v>
      </c>
      <c r="EC60" s="1038">
        <f t="shared" si="63"/>
        <v>0</v>
      </c>
    </row>
    <row r="61" spans="1:133" ht="15" customHeight="1" x14ac:dyDescent="0.25">
      <c r="A61" s="1797" t="s">
        <v>263</v>
      </c>
      <c r="B61" s="63" t="s">
        <v>264</v>
      </c>
      <c r="C61" s="350">
        <f t="shared" si="39"/>
        <v>255</v>
      </c>
      <c r="D61" s="368">
        <f t="shared" si="60"/>
        <v>134</v>
      </c>
      <c r="E61" s="369">
        <f t="shared" si="61"/>
        <v>121</v>
      </c>
      <c r="F61" s="321">
        <v>30</v>
      </c>
      <c r="G61" s="322">
        <v>33</v>
      </c>
      <c r="H61" s="321">
        <v>41</v>
      </c>
      <c r="I61" s="322">
        <v>35</v>
      </c>
      <c r="J61" s="324">
        <v>26</v>
      </c>
      <c r="K61" s="322">
        <v>21</v>
      </c>
      <c r="L61" s="324">
        <v>21</v>
      </c>
      <c r="M61" s="322">
        <v>12</v>
      </c>
      <c r="N61" s="324">
        <v>16</v>
      </c>
      <c r="O61" s="323">
        <v>20</v>
      </c>
      <c r="P61" s="325">
        <v>17</v>
      </c>
      <c r="Q61" s="374">
        <v>24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8">
        <f t="shared" si="62"/>
        <v>0</v>
      </c>
      <c r="EA61" s="1038">
        <f t="shared" si="62"/>
        <v>0</v>
      </c>
      <c r="EB61" s="1038">
        <f t="shared" si="63"/>
        <v>0</v>
      </c>
      <c r="EC61" s="1038">
        <f t="shared" si="63"/>
        <v>0</v>
      </c>
    </row>
    <row r="62" spans="1:133" ht="15" customHeight="1" x14ac:dyDescent="0.25">
      <c r="A62" s="1798"/>
      <c r="B62" s="60" t="s">
        <v>265</v>
      </c>
      <c r="C62" s="351">
        <f t="shared" si="39"/>
        <v>110</v>
      </c>
      <c r="D62" s="364">
        <f t="shared" si="60"/>
        <v>53</v>
      </c>
      <c r="E62" s="365">
        <f t="shared" si="61"/>
        <v>57</v>
      </c>
      <c r="F62" s="353">
        <v>10</v>
      </c>
      <c r="G62" s="354">
        <v>14</v>
      </c>
      <c r="H62" s="353">
        <v>15</v>
      </c>
      <c r="I62" s="354">
        <v>17</v>
      </c>
      <c r="J62" s="356">
        <v>13</v>
      </c>
      <c r="K62" s="354">
        <v>13</v>
      </c>
      <c r="L62" s="356">
        <v>9</v>
      </c>
      <c r="M62" s="354">
        <v>6</v>
      </c>
      <c r="N62" s="356">
        <v>6</v>
      </c>
      <c r="O62" s="355">
        <v>7</v>
      </c>
      <c r="P62" s="357">
        <v>7</v>
      </c>
      <c r="Q62" s="375">
        <v>12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8">
        <f t="shared" si="62"/>
        <v>0</v>
      </c>
      <c r="EA62" s="1038">
        <f t="shared" si="62"/>
        <v>0</v>
      </c>
      <c r="EB62" s="1038">
        <f t="shared" si="63"/>
        <v>0</v>
      </c>
      <c r="EC62" s="1038">
        <f t="shared" si="63"/>
        <v>0</v>
      </c>
    </row>
    <row r="63" spans="1:133" ht="15" customHeight="1" x14ac:dyDescent="0.25">
      <c r="A63" s="1798"/>
      <c r="B63" s="61" t="s">
        <v>266</v>
      </c>
      <c r="C63" s="358">
        <f t="shared" si="39"/>
        <v>188</v>
      </c>
      <c r="D63" s="366">
        <f t="shared" si="60"/>
        <v>83</v>
      </c>
      <c r="E63" s="367">
        <f t="shared" si="61"/>
        <v>105</v>
      </c>
      <c r="F63" s="327">
        <v>23</v>
      </c>
      <c r="G63" s="328">
        <v>20</v>
      </c>
      <c r="H63" s="327">
        <v>18</v>
      </c>
      <c r="I63" s="328">
        <v>35</v>
      </c>
      <c r="J63" s="330">
        <v>13</v>
      </c>
      <c r="K63" s="328">
        <v>12</v>
      </c>
      <c r="L63" s="330">
        <v>9</v>
      </c>
      <c r="M63" s="328">
        <v>23</v>
      </c>
      <c r="N63" s="330">
        <v>20</v>
      </c>
      <c r="O63" s="329">
        <v>15</v>
      </c>
      <c r="P63" s="331">
        <v>21</v>
      </c>
      <c r="Q63" s="378">
        <v>29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8">
        <f t="shared" si="62"/>
        <v>0</v>
      </c>
      <c r="EA63" s="1038">
        <f t="shared" si="62"/>
        <v>0</v>
      </c>
      <c r="EB63" s="1038">
        <f t="shared" si="63"/>
        <v>0</v>
      </c>
      <c r="EC63" s="1038">
        <f t="shared" si="63"/>
        <v>0</v>
      </c>
    </row>
    <row r="64" spans="1:133" ht="15" customHeight="1" x14ac:dyDescent="0.25">
      <c r="A64" s="1799"/>
      <c r="B64" s="1424" t="s">
        <v>94</v>
      </c>
      <c r="C64" s="1427">
        <f>+D64+E64</f>
        <v>553</v>
      </c>
      <c r="D64" s="1207">
        <f>+F64+H64+J64+L64+N64</f>
        <v>270</v>
      </c>
      <c r="E64" s="1439">
        <f>+G64+I64+K64+M64+O64</f>
        <v>283</v>
      </c>
      <c r="F64" s="1208">
        <f>SUM(F61:F63)</f>
        <v>63</v>
      </c>
      <c r="G64" s="954">
        <f t="shared" ref="G64:R64" si="64">SUM(G61:G63)</f>
        <v>67</v>
      </c>
      <c r="H64" s="1208">
        <f t="shared" ref="H64:I64" si="65">SUM(H61:H63)</f>
        <v>74</v>
      </c>
      <c r="I64" s="954">
        <f t="shared" si="65"/>
        <v>87</v>
      </c>
      <c r="J64" s="1431">
        <f t="shared" ref="J64:K64" si="66">SUM(J61:J63)</f>
        <v>52</v>
      </c>
      <c r="K64" s="954">
        <f t="shared" si="66"/>
        <v>46</v>
      </c>
      <c r="L64" s="1431">
        <f t="shared" ref="L64:M64" si="67">SUM(L61:L63)</f>
        <v>39</v>
      </c>
      <c r="M64" s="954">
        <f t="shared" si="67"/>
        <v>41</v>
      </c>
      <c r="N64" s="1431">
        <f t="shared" si="64"/>
        <v>42</v>
      </c>
      <c r="O64" s="339">
        <f t="shared" si="64"/>
        <v>42</v>
      </c>
      <c r="P64" s="340">
        <f>SUM(P61:P63)</f>
        <v>45</v>
      </c>
      <c r="Q64" s="1189">
        <f t="shared" si="64"/>
        <v>65</v>
      </c>
      <c r="R64" s="1431">
        <f t="shared" si="64"/>
        <v>0</v>
      </c>
      <c r="S64" s="954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8" t="s">
        <v>241</v>
      </c>
      <c r="B65" s="63" t="s">
        <v>267</v>
      </c>
      <c r="C65" s="350">
        <f t="shared" si="39"/>
        <v>12</v>
      </c>
      <c r="D65" s="368">
        <f t="shared" ref="D65:D70" si="68">+F65+H65+J65+L65+N65</f>
        <v>5</v>
      </c>
      <c r="E65" s="369">
        <f t="shared" ref="E65:E69" si="69">+G65+I65+K65+M65+O65</f>
        <v>7</v>
      </c>
      <c r="F65" s="321">
        <v>1</v>
      </c>
      <c r="G65" s="322">
        <v>2</v>
      </c>
      <c r="H65" s="321">
        <v>0</v>
      </c>
      <c r="I65" s="322">
        <v>2</v>
      </c>
      <c r="J65" s="324">
        <v>2</v>
      </c>
      <c r="K65" s="322">
        <v>1</v>
      </c>
      <c r="L65" s="324">
        <v>0</v>
      </c>
      <c r="M65" s="322">
        <v>0</v>
      </c>
      <c r="N65" s="324">
        <v>2</v>
      </c>
      <c r="O65" s="323">
        <v>2</v>
      </c>
      <c r="P65" s="325">
        <v>2</v>
      </c>
      <c r="Q65" s="374">
        <v>2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8">
        <f t="shared" ref="DZ65:EA70" si="74">IF(AND(D65&gt;0,OR(P65="")),1,IF(P65&gt;D65,1,0))</f>
        <v>0</v>
      </c>
      <c r="EA65" s="1038">
        <f t="shared" si="74"/>
        <v>0</v>
      </c>
      <c r="EB65" s="1038">
        <f t="shared" ref="EB65:EC70" si="75">IF(AND(D65&gt;0,OR(R65="")),1,IF(R65&gt;D65,1,0))</f>
        <v>0</v>
      </c>
      <c r="EC65" s="1038">
        <f t="shared" si="75"/>
        <v>0</v>
      </c>
    </row>
    <row r="66" spans="1:133" ht="15" customHeight="1" x14ac:dyDescent="0.25">
      <c r="A66" s="1809"/>
      <c r="B66" s="60" t="s">
        <v>268</v>
      </c>
      <c r="C66" s="351">
        <f t="shared" si="39"/>
        <v>1</v>
      </c>
      <c r="D66" s="364">
        <f t="shared" si="68"/>
        <v>1</v>
      </c>
      <c r="E66" s="365">
        <f t="shared" si="69"/>
        <v>0</v>
      </c>
      <c r="F66" s="353">
        <v>0</v>
      </c>
      <c r="G66" s="354">
        <v>0</v>
      </c>
      <c r="H66" s="353">
        <v>0</v>
      </c>
      <c r="I66" s="354">
        <v>0</v>
      </c>
      <c r="J66" s="356">
        <v>0</v>
      </c>
      <c r="K66" s="354">
        <v>0</v>
      </c>
      <c r="L66" s="356">
        <v>1</v>
      </c>
      <c r="M66" s="354">
        <v>0</v>
      </c>
      <c r="N66" s="356">
        <v>0</v>
      </c>
      <c r="O66" s="355">
        <v>0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8">
        <f t="shared" si="74"/>
        <v>0</v>
      </c>
      <c r="EA66" s="1038">
        <f t="shared" si="74"/>
        <v>0</v>
      </c>
      <c r="EB66" s="1038">
        <f t="shared" si="75"/>
        <v>0</v>
      </c>
      <c r="EC66" s="1038">
        <f t="shared" si="75"/>
        <v>0</v>
      </c>
    </row>
    <row r="67" spans="1:133" ht="15" customHeight="1" x14ac:dyDescent="0.25">
      <c r="A67" s="1809"/>
      <c r="B67" s="60" t="s">
        <v>269</v>
      </c>
      <c r="C67" s="351">
        <f t="shared" si="39"/>
        <v>165</v>
      </c>
      <c r="D67" s="364">
        <f t="shared" si="68"/>
        <v>80</v>
      </c>
      <c r="E67" s="365">
        <f t="shared" si="69"/>
        <v>85</v>
      </c>
      <c r="F67" s="353">
        <v>18</v>
      </c>
      <c r="G67" s="354">
        <v>17</v>
      </c>
      <c r="H67" s="353">
        <v>20</v>
      </c>
      <c r="I67" s="354">
        <v>23</v>
      </c>
      <c r="J67" s="356">
        <v>18</v>
      </c>
      <c r="K67" s="354">
        <v>15</v>
      </c>
      <c r="L67" s="356">
        <v>10</v>
      </c>
      <c r="M67" s="354">
        <v>13</v>
      </c>
      <c r="N67" s="356">
        <v>14</v>
      </c>
      <c r="O67" s="355">
        <v>17</v>
      </c>
      <c r="P67" s="357">
        <v>18</v>
      </c>
      <c r="Q67" s="375">
        <v>17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8">
        <f t="shared" si="74"/>
        <v>0</v>
      </c>
      <c r="EA67" s="1038">
        <f t="shared" si="74"/>
        <v>0</v>
      </c>
      <c r="EB67" s="1038">
        <f t="shared" si="75"/>
        <v>0</v>
      </c>
      <c r="EC67" s="1038">
        <f t="shared" si="75"/>
        <v>0</v>
      </c>
    </row>
    <row r="68" spans="1:133" ht="15" customHeight="1" x14ac:dyDescent="0.25">
      <c r="A68" s="1809"/>
      <c r="B68" s="60" t="s">
        <v>245</v>
      </c>
      <c r="C68" s="351">
        <f t="shared" si="39"/>
        <v>161</v>
      </c>
      <c r="D68" s="364">
        <f t="shared" si="68"/>
        <v>71</v>
      </c>
      <c r="E68" s="365">
        <f t="shared" si="69"/>
        <v>90</v>
      </c>
      <c r="F68" s="353">
        <v>23</v>
      </c>
      <c r="G68" s="354">
        <v>20</v>
      </c>
      <c r="H68" s="353">
        <v>7</v>
      </c>
      <c r="I68" s="354">
        <v>22</v>
      </c>
      <c r="J68" s="356">
        <v>11</v>
      </c>
      <c r="K68" s="354">
        <v>17</v>
      </c>
      <c r="L68" s="356">
        <v>12</v>
      </c>
      <c r="M68" s="354">
        <v>14</v>
      </c>
      <c r="N68" s="356">
        <v>18</v>
      </c>
      <c r="O68" s="355">
        <v>17</v>
      </c>
      <c r="P68" s="357">
        <v>9</v>
      </c>
      <c r="Q68" s="375">
        <v>20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8">
        <f t="shared" si="74"/>
        <v>0</v>
      </c>
      <c r="EA68" s="1038">
        <f t="shared" si="74"/>
        <v>0</v>
      </c>
      <c r="EB68" s="1038">
        <f t="shared" si="75"/>
        <v>0</v>
      </c>
      <c r="EC68" s="1038">
        <f t="shared" si="75"/>
        <v>0</v>
      </c>
    </row>
    <row r="69" spans="1:133" ht="15" customHeight="1" x14ac:dyDescent="0.25">
      <c r="A69" s="1809"/>
      <c r="B69" s="60" t="s">
        <v>270</v>
      </c>
      <c r="C69" s="351">
        <f t="shared" si="39"/>
        <v>97</v>
      </c>
      <c r="D69" s="364">
        <f t="shared" si="68"/>
        <v>54</v>
      </c>
      <c r="E69" s="365">
        <f t="shared" si="69"/>
        <v>43</v>
      </c>
      <c r="F69" s="353">
        <v>13</v>
      </c>
      <c r="G69" s="354">
        <v>10</v>
      </c>
      <c r="H69" s="353">
        <v>15</v>
      </c>
      <c r="I69" s="354">
        <v>13</v>
      </c>
      <c r="J69" s="356">
        <v>11</v>
      </c>
      <c r="K69" s="354">
        <v>5</v>
      </c>
      <c r="L69" s="356">
        <v>3</v>
      </c>
      <c r="M69" s="354">
        <v>12</v>
      </c>
      <c r="N69" s="356">
        <v>12</v>
      </c>
      <c r="O69" s="355">
        <v>3</v>
      </c>
      <c r="P69" s="357">
        <v>11</v>
      </c>
      <c r="Q69" s="375">
        <v>9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8">
        <f t="shared" si="74"/>
        <v>0</v>
      </c>
      <c r="EA69" s="1038">
        <f t="shared" si="74"/>
        <v>0</v>
      </c>
      <c r="EB69" s="1038">
        <f t="shared" si="75"/>
        <v>0</v>
      </c>
      <c r="EC69" s="1038">
        <f t="shared" si="75"/>
        <v>0</v>
      </c>
    </row>
    <row r="70" spans="1:133" ht="15" customHeight="1" x14ac:dyDescent="0.25">
      <c r="A70" s="1809"/>
      <c r="B70" s="61" t="s">
        <v>131</v>
      </c>
      <c r="C70" s="358">
        <f t="shared" si="39"/>
        <v>276</v>
      </c>
      <c r="D70" s="366">
        <f t="shared" si="68"/>
        <v>129</v>
      </c>
      <c r="E70" s="367">
        <f>+G70+I70+K70+M70+O70</f>
        <v>147</v>
      </c>
      <c r="F70" s="327">
        <v>27</v>
      </c>
      <c r="G70" s="328">
        <v>48</v>
      </c>
      <c r="H70" s="327">
        <v>39</v>
      </c>
      <c r="I70" s="328">
        <v>43</v>
      </c>
      <c r="J70" s="330">
        <v>27</v>
      </c>
      <c r="K70" s="328">
        <v>25</v>
      </c>
      <c r="L70" s="330">
        <v>22</v>
      </c>
      <c r="M70" s="328">
        <v>13</v>
      </c>
      <c r="N70" s="330">
        <v>14</v>
      </c>
      <c r="O70" s="329">
        <v>18</v>
      </c>
      <c r="P70" s="331">
        <v>17</v>
      </c>
      <c r="Q70" s="378">
        <v>24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8">
        <f t="shared" si="74"/>
        <v>0</v>
      </c>
      <c r="EA70" s="1038">
        <f t="shared" si="74"/>
        <v>0</v>
      </c>
      <c r="EB70" s="1038">
        <f t="shared" si="75"/>
        <v>0</v>
      </c>
      <c r="EC70" s="1038">
        <f t="shared" si="75"/>
        <v>0</v>
      </c>
    </row>
    <row r="71" spans="1:133" ht="15" customHeight="1" x14ac:dyDescent="0.25">
      <c r="A71" s="1809"/>
      <c r="B71" s="1424" t="s">
        <v>271</v>
      </c>
      <c r="C71" s="1436">
        <f>+D71+E71</f>
        <v>712</v>
      </c>
      <c r="D71" s="1209">
        <f>+F71+H71+J71+L71+N71</f>
        <v>340</v>
      </c>
      <c r="E71" s="1439">
        <f>+G71+I71+K71+M71+O71</f>
        <v>372</v>
      </c>
      <c r="F71" s="1208">
        <f>SUM(F65:F70)</f>
        <v>82</v>
      </c>
      <c r="G71" s="954">
        <f t="shared" ref="G71:S71" si="76">SUM(G65:G70)</f>
        <v>97</v>
      </c>
      <c r="H71" s="1208">
        <f t="shared" ref="H71:I71" si="77">SUM(H65:H70)</f>
        <v>81</v>
      </c>
      <c r="I71" s="954">
        <f t="shared" si="77"/>
        <v>103</v>
      </c>
      <c r="J71" s="1431">
        <f t="shared" ref="J71:K71" si="78">SUM(J65:J70)</f>
        <v>69</v>
      </c>
      <c r="K71" s="954">
        <f t="shared" si="78"/>
        <v>63</v>
      </c>
      <c r="L71" s="1431">
        <f t="shared" ref="L71:M71" si="79">SUM(L65:L70)</f>
        <v>48</v>
      </c>
      <c r="M71" s="954">
        <f t="shared" si="79"/>
        <v>52</v>
      </c>
      <c r="N71" s="1431">
        <f t="shared" si="76"/>
        <v>60</v>
      </c>
      <c r="O71" s="339">
        <f t="shared" si="76"/>
        <v>57</v>
      </c>
      <c r="P71" s="340">
        <f t="shared" si="76"/>
        <v>57</v>
      </c>
      <c r="Q71" s="1189">
        <f t="shared" si="76"/>
        <v>72</v>
      </c>
      <c r="R71" s="1431">
        <f t="shared" si="76"/>
        <v>0</v>
      </c>
      <c r="S71" s="954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09"/>
      <c r="B72" s="1429" t="s">
        <v>272</v>
      </c>
      <c r="C72" s="1436">
        <f t="shared" si="39"/>
        <v>0</v>
      </c>
      <c r="D72" s="1209">
        <f>+F72+H72+J72+L72+N72</f>
        <v>0</v>
      </c>
      <c r="E72" s="1439">
        <f>+G72+I72+K72+M72+O72</f>
        <v>0</v>
      </c>
      <c r="F72" s="1206">
        <v>0</v>
      </c>
      <c r="G72" s="948">
        <v>0</v>
      </c>
      <c r="H72" s="1206">
        <v>0</v>
      </c>
      <c r="I72" s="948">
        <v>0</v>
      </c>
      <c r="J72" s="1423">
        <v>0</v>
      </c>
      <c r="K72" s="948">
        <v>0</v>
      </c>
      <c r="L72" s="1423">
        <v>0</v>
      </c>
      <c r="M72" s="948">
        <v>0</v>
      </c>
      <c r="N72" s="1423">
        <v>0</v>
      </c>
      <c r="O72" s="318">
        <v>0</v>
      </c>
      <c r="P72" s="319">
        <v>0</v>
      </c>
      <c r="Q72" s="947">
        <v>0</v>
      </c>
      <c r="R72" s="1423">
        <v>0</v>
      </c>
      <c r="S72" s="94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8">
        <f>IF(AND(D72&gt;0,OR(P72="")),1,IF(P72&gt;D72,1,0))</f>
        <v>0</v>
      </c>
      <c r="EA72" s="1038">
        <f>IF(AND(E72&gt;0,OR(Q72="")),1,IF(Q72&gt;E72,1,0))</f>
        <v>0</v>
      </c>
      <c r="EB72" s="1038">
        <f>IF(AND(D72&gt;0,OR(R72="")),1,IF(R72&gt;D72,1,0))</f>
        <v>0</v>
      </c>
      <c r="EC72" s="1038">
        <f>IF(AND(E72&gt;0,OR(S72="")),1,IF(S72&gt;E72,1,0))</f>
        <v>0</v>
      </c>
    </row>
    <row r="73" spans="1:133" ht="15" customHeight="1" x14ac:dyDescent="0.25">
      <c r="A73" s="1810"/>
      <c r="B73" s="1424" t="s">
        <v>94</v>
      </c>
      <c r="C73" s="1427">
        <f>SUM(D73:E73)</f>
        <v>712</v>
      </c>
      <c r="D73" s="1207">
        <f t="shared" ref="D73:S73" si="80">SUM(D65:D70)+D72</f>
        <v>340</v>
      </c>
      <c r="E73" s="1439">
        <f t="shared" si="80"/>
        <v>372</v>
      </c>
      <c r="F73" s="1208">
        <f t="shared" si="80"/>
        <v>82</v>
      </c>
      <c r="G73" s="954">
        <f t="shared" si="80"/>
        <v>97</v>
      </c>
      <c r="H73" s="1208">
        <f t="shared" si="80"/>
        <v>81</v>
      </c>
      <c r="I73" s="954">
        <f t="shared" si="80"/>
        <v>103</v>
      </c>
      <c r="J73" s="1431">
        <f t="shared" si="80"/>
        <v>69</v>
      </c>
      <c r="K73" s="954">
        <f t="shared" si="80"/>
        <v>63</v>
      </c>
      <c r="L73" s="1431">
        <f t="shared" si="80"/>
        <v>48</v>
      </c>
      <c r="M73" s="954">
        <f t="shared" si="80"/>
        <v>52</v>
      </c>
      <c r="N73" s="1431">
        <f t="shared" si="80"/>
        <v>60</v>
      </c>
      <c r="O73" s="339">
        <f t="shared" si="80"/>
        <v>57</v>
      </c>
      <c r="P73" s="340">
        <f>SUM(P65:P70)+P72</f>
        <v>57</v>
      </c>
      <c r="Q73" s="1189">
        <f t="shared" si="80"/>
        <v>72</v>
      </c>
      <c r="R73" s="1431">
        <f t="shared" si="80"/>
        <v>0</v>
      </c>
      <c r="S73" s="954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92" t="s">
        <v>248</v>
      </c>
      <c r="B74" s="1793"/>
      <c r="C74" s="1438">
        <f>SUM(D74:E74)</f>
        <v>0</v>
      </c>
      <c r="D74" s="1209">
        <f>+F74+H74+J74+L74+N74</f>
        <v>0</v>
      </c>
      <c r="E74" s="1439">
        <f>+G74+I74+K74+M74+O74</f>
        <v>0</v>
      </c>
      <c r="F74" s="1206">
        <v>0</v>
      </c>
      <c r="G74" s="948">
        <v>0</v>
      </c>
      <c r="H74" s="1206">
        <v>0</v>
      </c>
      <c r="I74" s="948">
        <v>0</v>
      </c>
      <c r="J74" s="1423">
        <v>0</v>
      </c>
      <c r="K74" s="948">
        <v>0</v>
      </c>
      <c r="L74" s="1423">
        <v>0</v>
      </c>
      <c r="M74" s="948">
        <v>0</v>
      </c>
      <c r="N74" s="1423">
        <v>0</v>
      </c>
      <c r="O74" s="318">
        <v>0</v>
      </c>
      <c r="P74" s="319">
        <v>0</v>
      </c>
      <c r="Q74" s="947">
        <v>0</v>
      </c>
      <c r="R74" s="1423">
        <v>0</v>
      </c>
      <c r="S74" s="94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8">
        <f>IF(AND(D74&gt;0,OR(P74="")),1,IF(P74&gt;D74,1,0))</f>
        <v>0</v>
      </c>
      <c r="EA74" s="1038">
        <f>IF(AND(E74&gt;0,OR(Q74="")),1,IF(Q74&gt;E74,1,0))</f>
        <v>0</v>
      </c>
      <c r="EB74" s="1038">
        <f>IF(AND(D74&gt;0,OR(R74="")),1,IF(R74&gt;D74,1,0))</f>
        <v>0</v>
      </c>
      <c r="EC74" s="1038">
        <f>IF(AND(E74&gt;0,OR(S74="")),1,IF(S74&gt;E74,1,0))</f>
        <v>0</v>
      </c>
    </row>
    <row r="75" spans="1:133" ht="15.75" customHeight="1" x14ac:dyDescent="0.25">
      <c r="A75" s="1779" t="s">
        <v>273</v>
      </c>
      <c r="B75" s="1779"/>
      <c r="C75" s="1779"/>
      <c r="D75" s="1779"/>
      <c r="E75" s="1779"/>
      <c r="F75" s="1779"/>
      <c r="G75" s="1779"/>
      <c r="H75" s="1779"/>
      <c r="I75" s="1779"/>
      <c r="J75" s="1779"/>
      <c r="K75" s="1779"/>
      <c r="L75" s="1779"/>
      <c r="M75" s="1779"/>
      <c r="N75" s="1779"/>
      <c r="O75" s="1779"/>
      <c r="P75" s="1779"/>
      <c r="Q75" s="1779"/>
      <c r="R75" s="1779"/>
      <c r="S75" s="1779"/>
      <c r="T75" s="1779"/>
      <c r="U75" s="963"/>
      <c r="V75" s="963"/>
      <c r="W75" s="963"/>
      <c r="X75" s="963"/>
      <c r="Y75" s="963"/>
      <c r="Z75" s="963"/>
      <c r="AA75" s="963"/>
      <c r="AB75" s="963"/>
      <c r="AC75" s="963"/>
      <c r="AD75" s="963"/>
      <c r="AE75" s="963"/>
      <c r="AF75" s="963"/>
      <c r="AG75" s="963"/>
      <c r="AH75" s="963"/>
      <c r="AI75" s="963"/>
      <c r="AJ75" s="963"/>
      <c r="AK75" s="963"/>
      <c r="AL75" s="963"/>
      <c r="AM75" s="963"/>
      <c r="AN75" s="963"/>
      <c r="AO75" s="963"/>
      <c r="AP75" s="963"/>
      <c r="AQ75" s="963"/>
      <c r="AR75" s="963"/>
      <c r="AS75" s="963"/>
      <c r="AT75" s="963"/>
      <c r="AU75" s="963"/>
      <c r="AV75" s="963"/>
      <c r="CA75" s="963"/>
    </row>
    <row r="76" spans="1:133" ht="17.100000000000001" customHeight="1" x14ac:dyDescent="0.25">
      <c r="A76" s="1833" t="s">
        <v>274</v>
      </c>
      <c r="B76" s="1833"/>
      <c r="C76" s="1833"/>
      <c r="D76" s="1833"/>
      <c r="E76" s="1833"/>
      <c r="F76" s="1833"/>
      <c r="G76" s="1833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8" t="s">
        <v>275</v>
      </c>
      <c r="B77" s="1619"/>
      <c r="C77" s="1440" t="s">
        <v>54</v>
      </c>
      <c r="D77" s="1210" t="s">
        <v>91</v>
      </c>
      <c r="E77" s="124" t="s">
        <v>231</v>
      </c>
      <c r="F77" s="1446" t="s">
        <v>56</v>
      </c>
      <c r="G77" s="1081" t="s">
        <v>113</v>
      </c>
      <c r="H77" s="107"/>
      <c r="I77" s="107"/>
      <c r="J77" s="969"/>
      <c r="K77" s="969"/>
      <c r="L77" s="969"/>
      <c r="M77" s="970"/>
      <c r="N77" s="97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81" t="s">
        <v>131</v>
      </c>
      <c r="B78" s="72" t="s">
        <v>276</v>
      </c>
      <c r="C78" s="260">
        <f>SUM(D78:E78)</f>
        <v>97</v>
      </c>
      <c r="D78" s="309">
        <v>48</v>
      </c>
      <c r="E78" s="729">
        <v>49</v>
      </c>
      <c r="F78" s="277">
        <v>9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8">
        <f>IF(SUM(F12,H12,J12,L12,N12,P12,R12,T12)&lt;SUM(D78,D85,D92,D99),1,0)</f>
        <v>0</v>
      </c>
      <c r="DQ78" s="1038">
        <f>IF(SUM(G12,I12,K12,M12,O12,Q12,S12,U12)&lt;SUM(E78,E85,E92,E99),1,0)</f>
        <v>0</v>
      </c>
      <c r="DR78" s="1038">
        <f>IF(F78&gt;$C78,1,0)</f>
        <v>0</v>
      </c>
      <c r="DS78" s="1038">
        <f>IF(G78&gt;$C78,1,0)</f>
        <v>0</v>
      </c>
      <c r="DT78" s="1038">
        <f>IF(AND($C78&lt;&gt;0,F78=""),1,0)</f>
        <v>0</v>
      </c>
      <c r="DU78" s="1038">
        <f>IF(AND($C78&lt;&gt;0,G78=""),1,0)</f>
        <v>0</v>
      </c>
    </row>
    <row r="79" spans="1:133" ht="15" customHeight="1" x14ac:dyDescent="0.25">
      <c r="A79" s="1780"/>
      <c r="B79" s="74" t="s">
        <v>224</v>
      </c>
      <c r="C79" s="300">
        <f t="shared" ref="C79:C102" si="83">SUM(D79:E79)</f>
        <v>20</v>
      </c>
      <c r="D79" s="309">
        <v>11</v>
      </c>
      <c r="E79" s="729">
        <v>9</v>
      </c>
      <c r="F79" s="277">
        <v>5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8">
        <f>IF(V$12&lt;SUM(D79,D86,D93,D100),1,0)</f>
        <v>0</v>
      </c>
      <c r="DQ79" s="1038">
        <f>IF(W$12&lt;SUM(E79,E86,E93,E100),1,0)</f>
        <v>0</v>
      </c>
      <c r="DR79" s="1038">
        <f t="shared" ref="DR79:DR84" si="85">IF(F78&gt;$C78,1,0)</f>
        <v>0</v>
      </c>
      <c r="DS79" s="1038">
        <f t="shared" ref="DS79:DS84" si="86">IF(G78&gt;$C78,1,0)</f>
        <v>0</v>
      </c>
      <c r="DT79" s="1038">
        <f t="shared" ref="DT79:DT84" si="87">IF(AND($C78&lt;&gt;0,F78=""),1,0)</f>
        <v>0</v>
      </c>
      <c r="DU79" s="1038">
        <f t="shared" ref="DU79:DU84" si="88">IF(AND($C78&lt;&gt;0,G78=""),1,0)</f>
        <v>0</v>
      </c>
    </row>
    <row r="80" spans="1:133" ht="15" customHeight="1" x14ac:dyDescent="0.25">
      <c r="A80" s="1781"/>
      <c r="B80" s="74" t="s">
        <v>225</v>
      </c>
      <c r="C80" s="300">
        <f t="shared" si="83"/>
        <v>103</v>
      </c>
      <c r="D80" s="309">
        <v>54</v>
      </c>
      <c r="E80" s="729">
        <v>49</v>
      </c>
      <c r="F80" s="277">
        <v>2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8">
        <f>IF(X$12&lt;SUM(D80,D87,D94,D101),1,0)</f>
        <v>0</v>
      </c>
      <c r="DQ80" s="1038">
        <f>IF(Y$12&lt;SUM(E80,E87,E94,E101),1,0)</f>
        <v>0</v>
      </c>
      <c r="DR80" s="1038">
        <f t="shared" si="85"/>
        <v>0</v>
      </c>
      <c r="DS80" s="1038">
        <f t="shared" si="86"/>
        <v>0</v>
      </c>
      <c r="DT80" s="1038">
        <f t="shared" si="87"/>
        <v>0</v>
      </c>
      <c r="DU80" s="1038">
        <f t="shared" si="88"/>
        <v>0</v>
      </c>
    </row>
    <row r="81" spans="1:125" ht="15" customHeight="1" x14ac:dyDescent="0.25">
      <c r="A81" s="1781"/>
      <c r="B81" s="74" t="s">
        <v>226</v>
      </c>
      <c r="C81" s="300">
        <f t="shared" si="83"/>
        <v>11</v>
      </c>
      <c r="D81" s="309">
        <v>6</v>
      </c>
      <c r="E81" s="729">
        <v>5</v>
      </c>
      <c r="F81" s="277">
        <v>10</v>
      </c>
      <c r="G81" s="310">
        <v>1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8">
        <f>IF(Z$12&lt;SUM(D81,D88,D95,D102),1,0)</f>
        <v>0</v>
      </c>
      <c r="DQ81" s="1038">
        <f>IF(AA$12&lt;SUM(E81,E88,E95,E101),1,0)</f>
        <v>0</v>
      </c>
      <c r="DR81" s="1038">
        <f t="shared" si="85"/>
        <v>0</v>
      </c>
      <c r="DS81" s="1038">
        <f t="shared" si="86"/>
        <v>0</v>
      </c>
      <c r="DT81" s="1038">
        <f t="shared" si="87"/>
        <v>0</v>
      </c>
      <c r="DU81" s="1038">
        <f t="shared" si="88"/>
        <v>0</v>
      </c>
    </row>
    <row r="82" spans="1:125" ht="15" customHeight="1" x14ac:dyDescent="0.25">
      <c r="A82" s="1781"/>
      <c r="B82" s="797" t="s">
        <v>227</v>
      </c>
      <c r="C82" s="289">
        <f t="shared" si="83"/>
        <v>80</v>
      </c>
      <c r="D82" s="372">
        <v>46</v>
      </c>
      <c r="E82" s="730">
        <v>34</v>
      </c>
      <c r="F82" s="281">
        <v>18</v>
      </c>
      <c r="G82" s="373">
        <v>1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8">
        <f>IF(AB$12&lt;SUM(D82,D89,D96,D103),1,0)</f>
        <v>0</v>
      </c>
      <c r="DQ82" s="1038">
        <f>IF(AC$12&lt;SUM(E82,E89,E96,E103),1,0)</f>
        <v>0</v>
      </c>
      <c r="DR82" s="1038">
        <f t="shared" si="85"/>
        <v>0</v>
      </c>
      <c r="DS82" s="1038">
        <f t="shared" si="86"/>
        <v>0</v>
      </c>
      <c r="DT82" s="1038">
        <f t="shared" si="87"/>
        <v>0</v>
      </c>
      <c r="DU82" s="1038">
        <f t="shared" si="88"/>
        <v>0</v>
      </c>
    </row>
    <row r="83" spans="1:125" ht="15" customHeight="1" x14ac:dyDescent="0.25">
      <c r="A83" s="1781"/>
      <c r="B83" s="797" t="s">
        <v>228</v>
      </c>
      <c r="C83" s="289">
        <f>SUM(D83:E83)</f>
        <v>18</v>
      </c>
      <c r="D83" s="372">
        <v>16</v>
      </c>
      <c r="E83" s="730">
        <v>2</v>
      </c>
      <c r="F83" s="281">
        <v>17</v>
      </c>
      <c r="G83" s="373">
        <v>2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8">
        <f>IF(AD$12&lt;SUM(D83,D90,D97,D104),1,0)</f>
        <v>0</v>
      </c>
      <c r="DQ83" s="1038">
        <f>IF(AE$12&lt;SUM(E83,E90,E97,E104),1,0)</f>
        <v>0</v>
      </c>
      <c r="DR83" s="1038">
        <f t="shared" si="85"/>
        <v>0</v>
      </c>
      <c r="DS83" s="1038">
        <f t="shared" si="86"/>
        <v>0</v>
      </c>
      <c r="DT83" s="1038">
        <f t="shared" si="87"/>
        <v>0</v>
      </c>
      <c r="DU83" s="1038">
        <f t="shared" si="88"/>
        <v>0</v>
      </c>
    </row>
    <row r="84" spans="1:125" ht="15" customHeight="1" x14ac:dyDescent="0.25">
      <c r="A84" s="1682"/>
      <c r="B84" s="75" t="s">
        <v>229</v>
      </c>
      <c r="C84" s="371">
        <f t="shared" si="83"/>
        <v>1</v>
      </c>
      <c r="D84" s="290">
        <v>1</v>
      </c>
      <c r="E84" s="731">
        <v>0</v>
      </c>
      <c r="F84" s="268">
        <v>1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8">
        <f>IF(AF$12&lt;SUM(D84,D91,D98,D105),1,0)</f>
        <v>0</v>
      </c>
      <c r="DQ84" s="1038">
        <f>IF(AG$12&lt;SUM(E84,E91,E98,E105),1,0)</f>
        <v>0</v>
      </c>
      <c r="DR84" s="1038">
        <f t="shared" si="85"/>
        <v>0</v>
      </c>
      <c r="DS84" s="1038">
        <f t="shared" si="86"/>
        <v>0</v>
      </c>
      <c r="DT84" s="1038">
        <f t="shared" si="87"/>
        <v>0</v>
      </c>
      <c r="DU84" s="1038">
        <f t="shared" si="88"/>
        <v>0</v>
      </c>
    </row>
    <row r="85" spans="1:125" ht="15" customHeight="1" x14ac:dyDescent="0.25">
      <c r="A85" s="1681" t="s">
        <v>277</v>
      </c>
      <c r="B85" s="72" t="s">
        <v>276</v>
      </c>
      <c r="C85" s="260">
        <f>SUM(D85:E85)</f>
        <v>1</v>
      </c>
      <c r="D85" s="288">
        <v>0</v>
      </c>
      <c r="E85" s="743">
        <v>1</v>
      </c>
      <c r="F85" s="274">
        <v>0</v>
      </c>
      <c r="G85" s="684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8"/>
      <c r="DQ85" s="1038"/>
      <c r="DR85" s="1038"/>
      <c r="DS85" s="1038"/>
      <c r="DT85" s="1038"/>
      <c r="DU85" s="1038"/>
    </row>
    <row r="86" spans="1:125" ht="15" customHeight="1" x14ac:dyDescent="0.25">
      <c r="A86" s="1780"/>
      <c r="B86" s="74" t="s">
        <v>224</v>
      </c>
      <c r="C86" s="300">
        <f t="shared" si="83"/>
        <v>5</v>
      </c>
      <c r="D86" s="309">
        <v>3</v>
      </c>
      <c r="E86" s="729">
        <v>2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8">
        <f t="shared" ref="DR86:DR106" si="89">IF(F85&gt;$C85,1,0)</f>
        <v>0</v>
      </c>
      <c r="DS86" s="1038">
        <f t="shared" ref="DS86:DS106" si="90">IF(G85&gt;$C85,1,0)</f>
        <v>0</v>
      </c>
      <c r="DT86" s="1038">
        <f t="shared" ref="DT86:DT106" si="91">IF(AND($C85&lt;&gt;0,F85=""),1,0)</f>
        <v>0</v>
      </c>
      <c r="DU86" s="1038">
        <f t="shared" ref="DU86:DU106" si="92">IF(AND($C85&lt;&gt;0,G85=""),1,0)</f>
        <v>0</v>
      </c>
    </row>
    <row r="87" spans="1:125" ht="15" customHeight="1" x14ac:dyDescent="0.25">
      <c r="A87" s="1781"/>
      <c r="B87" s="74" t="s">
        <v>225</v>
      </c>
      <c r="C87" s="300">
        <f t="shared" si="83"/>
        <v>9</v>
      </c>
      <c r="D87" s="309">
        <v>5</v>
      </c>
      <c r="E87" s="729">
        <v>4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8">
        <f t="shared" si="89"/>
        <v>0</v>
      </c>
      <c r="DS87" s="1038">
        <f t="shared" si="90"/>
        <v>0</v>
      </c>
      <c r="DT87" s="1038">
        <f t="shared" si="91"/>
        <v>0</v>
      </c>
      <c r="DU87" s="1038">
        <f t="shared" si="92"/>
        <v>0</v>
      </c>
    </row>
    <row r="88" spans="1:125" ht="15" customHeight="1" x14ac:dyDescent="0.25">
      <c r="A88" s="1781"/>
      <c r="B88" s="74" t="s">
        <v>226</v>
      </c>
      <c r="C88" s="300">
        <f t="shared" si="83"/>
        <v>3</v>
      </c>
      <c r="D88" s="309">
        <v>0</v>
      </c>
      <c r="E88" s="729">
        <v>3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8">
        <f t="shared" si="89"/>
        <v>0</v>
      </c>
      <c r="DS88" s="1038">
        <f t="shared" si="90"/>
        <v>0</v>
      </c>
      <c r="DT88" s="1038">
        <f t="shared" si="91"/>
        <v>0</v>
      </c>
      <c r="DU88" s="1038">
        <f t="shared" si="92"/>
        <v>0</v>
      </c>
    </row>
    <row r="89" spans="1:125" ht="15" customHeight="1" x14ac:dyDescent="0.25">
      <c r="A89" s="1781"/>
      <c r="B89" s="797" t="s">
        <v>227</v>
      </c>
      <c r="C89" s="289">
        <f t="shared" si="83"/>
        <v>7</v>
      </c>
      <c r="D89" s="372">
        <v>0</v>
      </c>
      <c r="E89" s="730">
        <v>7</v>
      </c>
      <c r="F89" s="281">
        <v>2</v>
      </c>
      <c r="G89" s="373">
        <v>1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8">
        <f t="shared" si="89"/>
        <v>0</v>
      </c>
      <c r="DS89" s="1038">
        <f t="shared" si="90"/>
        <v>0</v>
      </c>
      <c r="DT89" s="1038">
        <f t="shared" si="91"/>
        <v>0</v>
      </c>
      <c r="DU89" s="1038">
        <f t="shared" si="92"/>
        <v>0</v>
      </c>
    </row>
    <row r="90" spans="1:125" ht="15" customHeight="1" x14ac:dyDescent="0.25">
      <c r="A90" s="1781"/>
      <c r="B90" s="797" t="s">
        <v>228</v>
      </c>
      <c r="C90" s="289">
        <f>SUM(D90:E90)</f>
        <v>0</v>
      </c>
      <c r="D90" s="372">
        <v>0</v>
      </c>
      <c r="E90" s="730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8">
        <f t="shared" si="89"/>
        <v>0</v>
      </c>
      <c r="DS90" s="1038">
        <f t="shared" si="90"/>
        <v>0</v>
      </c>
      <c r="DT90" s="1038">
        <f t="shared" si="91"/>
        <v>0</v>
      </c>
      <c r="DU90" s="1038">
        <f t="shared" si="92"/>
        <v>0</v>
      </c>
    </row>
    <row r="91" spans="1:125" ht="15" customHeight="1" x14ac:dyDescent="0.25">
      <c r="A91" s="1682"/>
      <c r="B91" s="75" t="s">
        <v>229</v>
      </c>
      <c r="C91" s="371">
        <f t="shared" si="83"/>
        <v>1</v>
      </c>
      <c r="D91" s="290">
        <v>0</v>
      </c>
      <c r="E91" s="731">
        <v>1</v>
      </c>
      <c r="F91" s="268">
        <v>1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8">
        <f t="shared" si="89"/>
        <v>0</v>
      </c>
      <c r="DS91" s="1038">
        <f t="shared" si="90"/>
        <v>0</v>
      </c>
      <c r="DT91" s="1038">
        <f t="shared" si="91"/>
        <v>0</v>
      </c>
      <c r="DU91" s="1038">
        <f t="shared" si="92"/>
        <v>0</v>
      </c>
    </row>
    <row r="92" spans="1:125" ht="15" customHeight="1" x14ac:dyDescent="0.25">
      <c r="A92" s="1681" t="s">
        <v>278</v>
      </c>
      <c r="B92" s="72" t="s">
        <v>276</v>
      </c>
      <c r="C92" s="260">
        <f t="shared" si="83"/>
        <v>3</v>
      </c>
      <c r="D92" s="288">
        <v>2</v>
      </c>
      <c r="E92" s="743">
        <v>1</v>
      </c>
      <c r="F92" s="274">
        <v>0</v>
      </c>
      <c r="G92" s="684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8">
        <f t="shared" si="89"/>
        <v>0</v>
      </c>
      <c r="DS92" s="1038">
        <f t="shared" si="90"/>
        <v>0</v>
      </c>
      <c r="DT92" s="1038">
        <f t="shared" si="91"/>
        <v>0</v>
      </c>
      <c r="DU92" s="1038">
        <f t="shared" si="92"/>
        <v>0</v>
      </c>
    </row>
    <row r="93" spans="1:125" ht="15" customHeight="1" x14ac:dyDescent="0.25">
      <c r="A93" s="1780"/>
      <c r="B93" s="74" t="s">
        <v>224</v>
      </c>
      <c r="C93" s="300">
        <f t="shared" si="83"/>
        <v>1</v>
      </c>
      <c r="D93" s="309">
        <v>1</v>
      </c>
      <c r="E93" s="729">
        <v>0</v>
      </c>
      <c r="F93" s="277">
        <v>1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8">
        <f t="shared" si="89"/>
        <v>0</v>
      </c>
      <c r="DS93" s="1038">
        <f t="shared" si="90"/>
        <v>0</v>
      </c>
      <c r="DT93" s="1038">
        <f t="shared" si="91"/>
        <v>0</v>
      </c>
      <c r="DU93" s="1038">
        <f t="shared" si="92"/>
        <v>0</v>
      </c>
    </row>
    <row r="94" spans="1:125" ht="15" customHeight="1" x14ac:dyDescent="0.25">
      <c r="A94" s="1781"/>
      <c r="B94" s="74" t="s">
        <v>225</v>
      </c>
      <c r="C94" s="300">
        <f t="shared" si="83"/>
        <v>3</v>
      </c>
      <c r="D94" s="309">
        <v>1</v>
      </c>
      <c r="E94" s="729">
        <v>2</v>
      </c>
      <c r="F94" s="277">
        <v>2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8">
        <f t="shared" si="89"/>
        <v>0</v>
      </c>
      <c r="DS94" s="1038">
        <f t="shared" si="90"/>
        <v>0</v>
      </c>
      <c r="DT94" s="1038">
        <f t="shared" si="91"/>
        <v>0</v>
      </c>
      <c r="DU94" s="1038">
        <f t="shared" si="92"/>
        <v>0</v>
      </c>
    </row>
    <row r="95" spans="1:125" ht="15" customHeight="1" x14ac:dyDescent="0.25">
      <c r="A95" s="1781"/>
      <c r="B95" s="74" t="s">
        <v>226</v>
      </c>
      <c r="C95" s="300">
        <f t="shared" si="83"/>
        <v>0</v>
      </c>
      <c r="D95" s="309">
        <v>0</v>
      </c>
      <c r="E95" s="729">
        <v>0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8">
        <f t="shared" si="89"/>
        <v>0</v>
      </c>
      <c r="DS95" s="1038">
        <f t="shared" si="90"/>
        <v>0</v>
      </c>
      <c r="DT95" s="1038">
        <f t="shared" si="91"/>
        <v>0</v>
      </c>
      <c r="DU95" s="1038">
        <f t="shared" si="92"/>
        <v>0</v>
      </c>
    </row>
    <row r="96" spans="1:125" ht="15" customHeight="1" x14ac:dyDescent="0.25">
      <c r="A96" s="1781"/>
      <c r="B96" s="797" t="s">
        <v>227</v>
      </c>
      <c r="C96" s="300">
        <f t="shared" si="83"/>
        <v>7</v>
      </c>
      <c r="D96" s="372">
        <v>5</v>
      </c>
      <c r="E96" s="730">
        <v>2</v>
      </c>
      <c r="F96" s="281">
        <v>7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8">
        <f t="shared" si="89"/>
        <v>0</v>
      </c>
      <c r="DS96" s="1038">
        <f t="shared" si="90"/>
        <v>0</v>
      </c>
      <c r="DT96" s="1038">
        <f t="shared" si="91"/>
        <v>0</v>
      </c>
      <c r="DU96" s="1038">
        <f t="shared" si="92"/>
        <v>0</v>
      </c>
    </row>
    <row r="97" spans="1:125" ht="15" customHeight="1" x14ac:dyDescent="0.25">
      <c r="A97" s="1781"/>
      <c r="B97" s="797" t="s">
        <v>228</v>
      </c>
      <c r="C97" s="300">
        <f t="shared" si="83"/>
        <v>4</v>
      </c>
      <c r="D97" s="372">
        <v>3</v>
      </c>
      <c r="E97" s="730">
        <v>1</v>
      </c>
      <c r="F97" s="281">
        <v>4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8">
        <f t="shared" si="89"/>
        <v>0</v>
      </c>
      <c r="DS97" s="1038">
        <f t="shared" si="90"/>
        <v>0</v>
      </c>
      <c r="DT97" s="1038">
        <f t="shared" si="91"/>
        <v>0</v>
      </c>
      <c r="DU97" s="1038">
        <f t="shared" si="92"/>
        <v>0</v>
      </c>
    </row>
    <row r="98" spans="1:125" ht="15" customHeight="1" x14ac:dyDescent="0.25">
      <c r="A98" s="1682"/>
      <c r="B98" s="75" t="s">
        <v>229</v>
      </c>
      <c r="C98" s="371">
        <f t="shared" si="83"/>
        <v>1</v>
      </c>
      <c r="D98" s="372">
        <v>1</v>
      </c>
      <c r="E98" s="730">
        <v>0</v>
      </c>
      <c r="F98" s="281">
        <v>1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8">
        <f t="shared" si="89"/>
        <v>0</v>
      </c>
      <c r="DS98" s="1038">
        <f t="shared" si="90"/>
        <v>0</v>
      </c>
      <c r="DT98" s="1038">
        <f t="shared" si="91"/>
        <v>0</v>
      </c>
      <c r="DU98" s="1038">
        <f t="shared" si="92"/>
        <v>0</v>
      </c>
    </row>
    <row r="99" spans="1:125" ht="15" customHeight="1" x14ac:dyDescent="0.25">
      <c r="A99" s="1681" t="s">
        <v>279</v>
      </c>
      <c r="B99" s="72" t="s">
        <v>276</v>
      </c>
      <c r="C99" s="260">
        <f t="shared" si="83"/>
        <v>3</v>
      </c>
      <c r="D99" s="261">
        <v>2</v>
      </c>
      <c r="E99" s="577">
        <v>1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8">
        <f t="shared" si="89"/>
        <v>0</v>
      </c>
      <c r="DS99" s="1038">
        <f t="shared" si="90"/>
        <v>0</v>
      </c>
      <c r="DT99" s="1038">
        <f t="shared" si="91"/>
        <v>0</v>
      </c>
      <c r="DU99" s="1038">
        <f t="shared" si="92"/>
        <v>0</v>
      </c>
    </row>
    <row r="100" spans="1:125" ht="15" customHeight="1" x14ac:dyDescent="0.25">
      <c r="A100" s="1780"/>
      <c r="B100" s="74" t="s">
        <v>224</v>
      </c>
      <c r="C100" s="300">
        <f t="shared" si="83"/>
        <v>2</v>
      </c>
      <c r="D100" s="309">
        <v>2</v>
      </c>
      <c r="E100" s="729">
        <v>0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8">
        <f t="shared" si="89"/>
        <v>0</v>
      </c>
      <c r="DS100" s="1038">
        <f t="shared" si="90"/>
        <v>0</v>
      </c>
      <c r="DT100" s="1038">
        <f t="shared" si="91"/>
        <v>0</v>
      </c>
      <c r="DU100" s="1038">
        <f t="shared" si="92"/>
        <v>0</v>
      </c>
    </row>
    <row r="101" spans="1:125" ht="15" customHeight="1" x14ac:dyDescent="0.25">
      <c r="A101" s="1781"/>
      <c r="B101" s="74" t="s">
        <v>225</v>
      </c>
      <c r="C101" s="300">
        <f t="shared" si="83"/>
        <v>14</v>
      </c>
      <c r="D101" s="309">
        <v>9</v>
      </c>
      <c r="E101" s="729">
        <v>5</v>
      </c>
      <c r="F101" s="277">
        <v>1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8">
        <f t="shared" si="89"/>
        <v>0</v>
      </c>
      <c r="DS101" s="1038">
        <f t="shared" si="90"/>
        <v>0</v>
      </c>
      <c r="DT101" s="1038">
        <f t="shared" si="91"/>
        <v>0</v>
      </c>
      <c r="DU101" s="1038">
        <f t="shared" si="92"/>
        <v>0</v>
      </c>
    </row>
    <row r="102" spans="1:125" ht="15" customHeight="1" x14ac:dyDescent="0.25">
      <c r="A102" s="1781"/>
      <c r="B102" s="74" t="s">
        <v>226</v>
      </c>
      <c r="C102" s="300">
        <f t="shared" si="83"/>
        <v>0</v>
      </c>
      <c r="D102" s="309">
        <v>0</v>
      </c>
      <c r="E102" s="729">
        <v>0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8">
        <f t="shared" si="89"/>
        <v>0</v>
      </c>
      <c r="DS102" s="1038">
        <f t="shared" si="90"/>
        <v>0</v>
      </c>
      <c r="DT102" s="1038">
        <f t="shared" si="91"/>
        <v>0</v>
      </c>
      <c r="DU102" s="1038">
        <f t="shared" si="92"/>
        <v>0</v>
      </c>
    </row>
    <row r="103" spans="1:125" ht="15" customHeight="1" x14ac:dyDescent="0.25">
      <c r="A103" s="1781"/>
      <c r="B103" s="797" t="s">
        <v>227</v>
      </c>
      <c r="C103" s="289">
        <f>SUM(D103:E103)</f>
        <v>3</v>
      </c>
      <c r="D103" s="372">
        <v>2</v>
      </c>
      <c r="E103" s="730">
        <v>1</v>
      </c>
      <c r="F103" s="281">
        <v>2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8">
        <f t="shared" si="89"/>
        <v>0</v>
      </c>
      <c r="DS103" s="1038">
        <f t="shared" si="90"/>
        <v>0</v>
      </c>
      <c r="DT103" s="1038">
        <f t="shared" si="91"/>
        <v>0</v>
      </c>
      <c r="DU103" s="1038">
        <f t="shared" si="92"/>
        <v>0</v>
      </c>
    </row>
    <row r="104" spans="1:125" ht="15" customHeight="1" x14ac:dyDescent="0.25">
      <c r="A104" s="1781"/>
      <c r="B104" s="797" t="s">
        <v>228</v>
      </c>
      <c r="C104" s="289">
        <f>SUM(D104:E104)</f>
        <v>1</v>
      </c>
      <c r="D104" s="372">
        <v>1</v>
      </c>
      <c r="E104" s="730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8">
        <f t="shared" si="89"/>
        <v>0</v>
      </c>
      <c r="DS104" s="1038">
        <f t="shared" si="90"/>
        <v>0</v>
      </c>
      <c r="DT104" s="1038">
        <f t="shared" si="91"/>
        <v>0</v>
      </c>
      <c r="DU104" s="1038">
        <f t="shared" si="92"/>
        <v>0</v>
      </c>
    </row>
    <row r="105" spans="1:125" ht="15" customHeight="1" x14ac:dyDescent="0.25">
      <c r="A105" s="1682"/>
      <c r="B105" s="75" t="s">
        <v>229</v>
      </c>
      <c r="C105" s="371">
        <f>SUM(D105:E105)</f>
        <v>1</v>
      </c>
      <c r="D105" s="290">
        <v>1</v>
      </c>
      <c r="E105" s="731">
        <v>0</v>
      </c>
      <c r="F105" s="268">
        <v>1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8">
        <f t="shared" si="89"/>
        <v>0</v>
      </c>
      <c r="DS105" s="1038">
        <f t="shared" si="90"/>
        <v>0</v>
      </c>
      <c r="DT105" s="1038">
        <f t="shared" si="91"/>
        <v>0</v>
      </c>
      <c r="DU105" s="1038">
        <f t="shared" si="92"/>
        <v>0</v>
      </c>
    </row>
    <row r="106" spans="1:125" ht="17.100000000000001" customHeight="1" x14ac:dyDescent="0.25">
      <c r="A106" s="1833" t="s">
        <v>280</v>
      </c>
      <c r="B106" s="1833"/>
      <c r="C106" s="1833"/>
      <c r="D106" s="1833"/>
      <c r="E106" s="1833"/>
      <c r="F106" s="1833"/>
      <c r="G106" s="1833"/>
      <c r="H106" s="1833"/>
      <c r="I106" s="1833"/>
      <c r="J106" s="1833"/>
      <c r="K106" s="1833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8">
        <f t="shared" si="89"/>
        <v>0</v>
      </c>
      <c r="DS106" s="1038">
        <f t="shared" si="90"/>
        <v>0</v>
      </c>
      <c r="DT106" s="1038">
        <f t="shared" si="91"/>
        <v>0</v>
      </c>
      <c r="DU106" s="1038">
        <f t="shared" si="92"/>
        <v>0</v>
      </c>
    </row>
    <row r="107" spans="1:125" ht="21" customHeight="1" x14ac:dyDescent="0.25">
      <c r="A107" s="1725" t="s">
        <v>281</v>
      </c>
      <c r="B107" s="1705"/>
      <c r="C107" s="1749" t="s">
        <v>54</v>
      </c>
      <c r="D107" s="1831" t="s">
        <v>282</v>
      </c>
      <c r="E107" s="1784" t="s">
        <v>217</v>
      </c>
      <c r="F107" s="1784" t="s">
        <v>218</v>
      </c>
      <c r="G107" s="1784" t="s">
        <v>219</v>
      </c>
      <c r="H107" s="1784" t="s">
        <v>220</v>
      </c>
      <c r="I107" s="1784" t="s">
        <v>221</v>
      </c>
      <c r="J107" s="1788" t="s">
        <v>222</v>
      </c>
      <c r="K107" s="1786" t="s">
        <v>283</v>
      </c>
      <c r="L107" s="1782" t="s">
        <v>284</v>
      </c>
      <c r="M107" s="1705" t="s">
        <v>56</v>
      </c>
      <c r="N107" s="1705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42"/>
      <c r="B108" s="1707"/>
      <c r="C108" s="1750"/>
      <c r="D108" s="1832"/>
      <c r="E108" s="1785"/>
      <c r="F108" s="1785"/>
      <c r="G108" s="1785"/>
      <c r="H108" s="1785"/>
      <c r="I108" s="1785"/>
      <c r="J108" s="1652"/>
      <c r="K108" s="1787"/>
      <c r="L108" s="1783"/>
      <c r="M108" s="1707"/>
      <c r="N108" s="17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789" t="s">
        <v>285</v>
      </c>
      <c r="B109" s="77" t="s">
        <v>286</v>
      </c>
      <c r="C109" s="320">
        <f>SUM(D109:K109)</f>
        <v>97</v>
      </c>
      <c r="D109" s="321">
        <v>1</v>
      </c>
      <c r="E109" s="374">
        <v>3</v>
      </c>
      <c r="F109" s="374">
        <v>11</v>
      </c>
      <c r="G109" s="374">
        <v>7</v>
      </c>
      <c r="H109" s="374">
        <v>15</v>
      </c>
      <c r="I109" s="374">
        <v>2</v>
      </c>
      <c r="J109" s="322">
        <v>10</v>
      </c>
      <c r="K109" s="798">
        <v>48</v>
      </c>
      <c r="L109" s="799"/>
      <c r="M109" s="699">
        <v>12</v>
      </c>
      <c r="N109" s="699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90"/>
      <c r="B110" s="78" t="s">
        <v>287</v>
      </c>
      <c r="C110" s="352">
        <f>SUM(D110:K110)</f>
        <v>33</v>
      </c>
      <c r="D110" s="353">
        <v>2</v>
      </c>
      <c r="E110" s="375">
        <v>0</v>
      </c>
      <c r="F110" s="375">
        <v>2</v>
      </c>
      <c r="G110" s="375">
        <v>6</v>
      </c>
      <c r="H110" s="375">
        <v>1</v>
      </c>
      <c r="I110" s="375">
        <v>1</v>
      </c>
      <c r="J110" s="354">
        <v>1</v>
      </c>
      <c r="K110" s="800">
        <v>20</v>
      </c>
      <c r="L110" s="376">
        <v>0</v>
      </c>
      <c r="M110" s="699">
        <v>3</v>
      </c>
      <c r="N110" s="699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8">
        <f t="shared" ref="DQ110:DR112" si="93">IF(M109&gt;$C109,1,0)</f>
        <v>0</v>
      </c>
      <c r="DR110" s="1038">
        <f t="shared" si="93"/>
        <v>0</v>
      </c>
      <c r="DS110" s="1038">
        <f>IF(AND($C109&lt;&gt;0,N109=""),1,0)</f>
        <v>0</v>
      </c>
      <c r="DT110" s="1038">
        <f>IF(AND($C109&lt;&gt;0,N109=""),1,0)</f>
        <v>0</v>
      </c>
    </row>
    <row r="111" spans="1:125" ht="15" customHeight="1" x14ac:dyDescent="0.25">
      <c r="A111" s="1790"/>
      <c r="B111" s="79" t="s">
        <v>288</v>
      </c>
      <c r="C111" s="377">
        <f>SUM(D111:K111)</f>
        <v>17</v>
      </c>
      <c r="D111" s="327">
        <v>0</v>
      </c>
      <c r="E111" s="378">
        <v>0</v>
      </c>
      <c r="F111" s="378">
        <v>0</v>
      </c>
      <c r="G111" s="378">
        <v>0</v>
      </c>
      <c r="H111" s="378">
        <v>0</v>
      </c>
      <c r="I111" s="378">
        <v>3</v>
      </c>
      <c r="J111" s="328">
        <v>5</v>
      </c>
      <c r="K111" s="801">
        <v>9</v>
      </c>
      <c r="L111" s="379">
        <v>17</v>
      </c>
      <c r="M111" s="702">
        <v>4</v>
      </c>
      <c r="N111" s="702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8">
        <f>IF($C110&lt;$L110, 1,0)</f>
        <v>0</v>
      </c>
      <c r="DQ111" s="1038">
        <f t="shared" si="93"/>
        <v>0</v>
      </c>
      <c r="DR111" s="1038">
        <f t="shared" si="93"/>
        <v>0</v>
      </c>
      <c r="DS111" s="1038">
        <f>IF(AND($C110&lt;&gt;0,N110=""),1,0)</f>
        <v>0</v>
      </c>
      <c r="DT111" s="1038">
        <f>IF(AND($C110&lt;&gt;0,N110=""),1,0)</f>
        <v>0</v>
      </c>
    </row>
    <row r="112" spans="1:125" ht="15" customHeight="1" x14ac:dyDescent="0.25">
      <c r="A112" s="1791"/>
      <c r="B112" s="1450" t="s">
        <v>94</v>
      </c>
      <c r="C112" s="313">
        <f>SUM(D112:K112)</f>
        <v>147</v>
      </c>
      <c r="D112" s="1207">
        <f t="shared" ref="D112:K112" si="94">SUM(D109:D111)</f>
        <v>3</v>
      </c>
      <c r="E112" s="1188">
        <f t="shared" si="94"/>
        <v>3</v>
      </c>
      <c r="F112" s="1188">
        <f t="shared" si="94"/>
        <v>13</v>
      </c>
      <c r="G112" s="1188">
        <f t="shared" si="94"/>
        <v>13</v>
      </c>
      <c r="H112" s="1188">
        <f t="shared" si="94"/>
        <v>16</v>
      </c>
      <c r="I112" s="1188">
        <f t="shared" si="94"/>
        <v>6</v>
      </c>
      <c r="J112" s="931">
        <f t="shared" ref="J112" si="95">SUM(J109:J111)</f>
        <v>16</v>
      </c>
      <c r="K112" s="1451">
        <f t="shared" si="94"/>
        <v>77</v>
      </c>
      <c r="L112" s="380">
        <f>SUM(L110:L111)</f>
        <v>17</v>
      </c>
      <c r="M112" s="1439">
        <f>SUM(M109:M111)</f>
        <v>19</v>
      </c>
      <c r="N112" s="1439">
        <f>SUM(N109:N111)</f>
        <v>0</v>
      </c>
      <c r="AW112" s="109"/>
      <c r="BR112" s="604"/>
      <c r="BT112" s="172"/>
      <c r="BU112" s="172"/>
      <c r="BV112" s="172"/>
      <c r="DP112" s="1038">
        <f>IF($C111&lt;$L111,1,0)</f>
        <v>0</v>
      </c>
      <c r="DQ112" s="1038">
        <f t="shared" si="93"/>
        <v>0</v>
      </c>
      <c r="DR112" s="1038">
        <f t="shared" si="93"/>
        <v>0</v>
      </c>
      <c r="DS112" s="1038">
        <f>IF(AND($C111&lt;&gt;0,N111=""),1,0)</f>
        <v>0</v>
      </c>
      <c r="DT112" s="1038">
        <f>IF(AND($C111&lt;&gt;0,N111=""),1,0)</f>
        <v>0</v>
      </c>
    </row>
    <row r="113" spans="1:107" ht="17.100000000000001" customHeight="1" x14ac:dyDescent="0.25">
      <c r="A113" s="1837" t="s">
        <v>289</v>
      </c>
      <c r="B113" s="1837"/>
      <c r="C113" s="1837"/>
      <c r="D113" s="1837"/>
      <c r="E113" s="1837"/>
      <c r="F113" s="1837"/>
      <c r="G113" s="1452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5" t="s">
        <v>290</v>
      </c>
      <c r="B114" s="1705"/>
      <c r="C114" s="1749" t="s">
        <v>54</v>
      </c>
      <c r="D114" s="1309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2"/>
      <c r="B115" s="1707"/>
      <c r="C115" s="1750"/>
      <c r="D115" s="70"/>
      <c r="E115" s="70"/>
      <c r="F115" s="70"/>
      <c r="G115" s="70"/>
      <c r="H115" s="70"/>
    </row>
    <row r="116" spans="1:107" ht="15" customHeight="1" x14ac:dyDescent="0.25">
      <c r="A116" s="1765" t="s">
        <v>291</v>
      </c>
      <c r="B116" s="1766"/>
      <c r="C116" s="381">
        <v>77</v>
      </c>
      <c r="E116" s="192"/>
      <c r="F116" s="192"/>
      <c r="G116" s="192"/>
      <c r="H116" s="192"/>
    </row>
    <row r="117" spans="1:107" ht="15" customHeight="1" x14ac:dyDescent="0.25">
      <c r="A117" s="1761" t="s">
        <v>292</v>
      </c>
      <c r="B117" s="1762"/>
      <c r="C117" s="382">
        <v>37</v>
      </c>
      <c r="E117" s="192"/>
      <c r="F117" s="192"/>
      <c r="G117" s="192"/>
      <c r="H117" s="192"/>
    </row>
    <row r="118" spans="1:107" ht="17.100000000000001" customHeight="1" x14ac:dyDescent="0.25">
      <c r="A118" s="1836" t="s">
        <v>293</v>
      </c>
      <c r="B118" s="1836"/>
      <c r="C118" s="1836"/>
      <c r="D118" s="682"/>
      <c r="E118" s="682"/>
      <c r="F118" s="682"/>
      <c r="G118" s="682"/>
      <c r="H118" s="222"/>
      <c r="J118" s="222"/>
    </row>
    <row r="119" spans="1:107" ht="15" customHeight="1" x14ac:dyDescent="0.25">
      <c r="A119" s="1757" t="s">
        <v>294</v>
      </c>
      <c r="B119" s="1758"/>
      <c r="C119" s="1755" t="s">
        <v>54</v>
      </c>
      <c r="H119" s="71"/>
    </row>
    <row r="120" spans="1:107" ht="15" customHeight="1" x14ac:dyDescent="0.25">
      <c r="A120" s="1759"/>
      <c r="B120" s="1760"/>
      <c r="C120" s="1756"/>
      <c r="H120" s="70"/>
    </row>
    <row r="121" spans="1:107" ht="15" customHeight="1" x14ac:dyDescent="0.25">
      <c r="A121" s="1751" t="s">
        <v>295</v>
      </c>
      <c r="B121" s="1752"/>
      <c r="C121" s="381">
        <v>14</v>
      </c>
    </row>
    <row r="122" spans="1:107" ht="15" customHeight="1" x14ac:dyDescent="0.25">
      <c r="A122" s="1771" t="s">
        <v>296</v>
      </c>
      <c r="B122" s="1772"/>
      <c r="C122" s="681">
        <v>6</v>
      </c>
    </row>
    <row r="123" spans="1:107" ht="15" customHeight="1" x14ac:dyDescent="0.25">
      <c r="A123" s="1753" t="s">
        <v>297</v>
      </c>
      <c r="B123" s="1754"/>
      <c r="C123" s="681">
        <v>1</v>
      </c>
    </row>
    <row r="124" spans="1:107" ht="15" customHeight="1" x14ac:dyDescent="0.25">
      <c r="A124" s="1753" t="s">
        <v>298</v>
      </c>
      <c r="B124" s="1754"/>
      <c r="C124" s="681">
        <v>56</v>
      </c>
    </row>
    <row r="125" spans="1:107" ht="15" customHeight="1" x14ac:dyDescent="0.25">
      <c r="A125" s="1753" t="s">
        <v>299</v>
      </c>
      <c r="B125" s="1754"/>
      <c r="C125" s="748">
        <v>672</v>
      </c>
    </row>
    <row r="126" spans="1:107" ht="15" customHeight="1" x14ac:dyDescent="0.25">
      <c r="A126" s="1767" t="s">
        <v>94</v>
      </c>
      <c r="B126" s="1768"/>
      <c r="C126" s="1453">
        <f>SUM(C121:C125)</f>
        <v>749</v>
      </c>
    </row>
    <row r="127" spans="1:107" ht="17.100000000000001" customHeight="1" x14ac:dyDescent="0.25">
      <c r="A127" s="1835" t="s">
        <v>300</v>
      </c>
      <c r="B127" s="1835"/>
      <c r="C127" s="1835"/>
      <c r="D127" s="1835"/>
      <c r="E127" s="1835"/>
      <c r="F127" s="1835"/>
      <c r="G127" s="1835"/>
      <c r="H127" s="1835"/>
      <c r="I127" s="1835"/>
      <c r="J127" s="1835"/>
      <c r="K127" s="1835"/>
    </row>
    <row r="128" spans="1:107" ht="15" customHeight="1" x14ac:dyDescent="0.25">
      <c r="A128" s="1725" t="s">
        <v>301</v>
      </c>
      <c r="B128" s="1705"/>
      <c r="C128" s="1725" t="s">
        <v>94</v>
      </c>
      <c r="D128" s="1763"/>
      <c r="E128" s="1705"/>
      <c r="F128" s="1827" t="s">
        <v>302</v>
      </c>
      <c r="G128" s="1828"/>
      <c r="H128" s="1828"/>
      <c r="I128" s="1828"/>
      <c r="J128" s="1828"/>
      <c r="K128" s="1829"/>
      <c r="L128" s="1722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741"/>
      <c r="B129" s="1706"/>
      <c r="C129" s="1742"/>
      <c r="D129" s="1764"/>
      <c r="E129" s="1707"/>
      <c r="F129" s="1702" t="s">
        <v>304</v>
      </c>
      <c r="G129" s="1704"/>
      <c r="H129" s="1830" t="s">
        <v>305</v>
      </c>
      <c r="I129" s="1704"/>
      <c r="J129" s="1830" t="s">
        <v>306</v>
      </c>
      <c r="K129" s="1703"/>
      <c r="L129" s="1720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42"/>
      <c r="B130" s="1707"/>
      <c r="C130" s="1455" t="s">
        <v>94</v>
      </c>
      <c r="D130" s="601" t="s">
        <v>91</v>
      </c>
      <c r="E130" s="694" t="s">
        <v>231</v>
      </c>
      <c r="F130" s="1441" t="s">
        <v>91</v>
      </c>
      <c r="G130" s="1441" t="s">
        <v>231</v>
      </c>
      <c r="H130" s="1441" t="s">
        <v>91</v>
      </c>
      <c r="I130" s="1441" t="s">
        <v>231</v>
      </c>
      <c r="J130" s="971" t="s">
        <v>91</v>
      </c>
      <c r="K130" s="1421" t="s">
        <v>231</v>
      </c>
      <c r="L130" s="1721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31" t="s">
        <v>307</v>
      </c>
      <c r="B131" s="1732"/>
      <c r="C131" s="1131">
        <f>SUM(D131:E131)</f>
        <v>651</v>
      </c>
      <c r="D131" s="696">
        <f>+F131+H131+J131</f>
        <v>292</v>
      </c>
      <c r="E131" s="928">
        <f>+G131+I131+K131</f>
        <v>359</v>
      </c>
      <c r="F131" s="321">
        <v>8</v>
      </c>
      <c r="G131" s="324">
        <v>13</v>
      </c>
      <c r="H131" s="324">
        <v>116</v>
      </c>
      <c r="I131" s="374">
        <v>148</v>
      </c>
      <c r="J131" s="374">
        <v>168</v>
      </c>
      <c r="K131" s="697">
        <v>198</v>
      </c>
      <c r="L131" s="697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8">
        <f>IF(SUM(F131)&lt;=SUM(AB$12+AD$12),0,1)</f>
        <v>0</v>
      </c>
      <c r="DQ131" s="1038">
        <f>IF(SUM($G$131)&lt;=SUM(AC$12+AE$12),0,1)</f>
        <v>0</v>
      </c>
      <c r="DR131" s="1038">
        <f>IF(SUM($H131)&lt;=SUM($AF$12,$F$45),0,1)</f>
        <v>0</v>
      </c>
      <c r="DS131" s="1038">
        <f>IF(SUM($I131)&lt;=SUM($AG$12,$G$45),0,1)</f>
        <v>0</v>
      </c>
      <c r="DT131" s="1038">
        <f>IF(SUM($J131)&lt;=SUM($H$45+$J$45+$L$45+$N$45),0,1)</f>
        <v>0</v>
      </c>
      <c r="DU131" s="1038">
        <f>IF(SUM($K131)&lt;=SUM($I$45+$K$45+$M$45+$O$45),0,1)</f>
        <v>0</v>
      </c>
    </row>
    <row r="132" spans="1:125" ht="15" customHeight="1" x14ac:dyDescent="0.25">
      <c r="A132" s="1747" t="s">
        <v>308</v>
      </c>
      <c r="B132" s="1748"/>
      <c r="C132" s="1130">
        <f t="shared" ref="C132:C134" si="96">SUM(D132:E132)</f>
        <v>27</v>
      </c>
      <c r="D132" s="698">
        <f t="shared" ref="D132:D134" si="97">+F132+H132+J132</f>
        <v>16</v>
      </c>
      <c r="E132" s="929">
        <f t="shared" ref="E132:E134" si="98">+G132+I132+K132</f>
        <v>11</v>
      </c>
      <c r="F132" s="353">
        <v>0</v>
      </c>
      <c r="G132" s="356">
        <v>0</v>
      </c>
      <c r="H132" s="356">
        <v>6</v>
      </c>
      <c r="I132" s="375">
        <v>3</v>
      </c>
      <c r="J132" s="375">
        <v>10</v>
      </c>
      <c r="K132" s="699">
        <v>8</v>
      </c>
      <c r="L132" s="699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8">
        <f t="shared" ref="DP132:DP134" si="106">IF(SUM(F132)&lt;=SUM(AB$12+AD$12),0,1)</f>
        <v>0</v>
      </c>
      <c r="DQ132" s="1038">
        <f t="shared" ref="DQ132:DQ134" si="107">IF(SUM($G$131)&lt;=SUM(AC$12+AE$12),0,1)</f>
        <v>0</v>
      </c>
      <c r="DR132" s="1038">
        <f t="shared" ref="DR132:DR134" si="108">IF(SUM($H132)&lt;=SUM($AF$12,$F$45),0,1)</f>
        <v>0</v>
      </c>
      <c r="DS132" s="1038">
        <f t="shared" ref="DS132:DS133" si="109">IF(SUM($I132)&lt;=SUM($AG$12,$G$45),0,1)</f>
        <v>0</v>
      </c>
      <c r="DT132" s="1038">
        <f t="shared" ref="DT132:DT134" si="110">IF(SUM($J132)&lt;=SUM($H$45+$J$45+$L$45+$N$45),0,1)</f>
        <v>0</v>
      </c>
      <c r="DU132" s="1038">
        <f t="shared" ref="DU132:DU134" si="111">IF(SUM($K132)&lt;=SUM($I$45+$K$45+$M$45+$O$45),0,1)</f>
        <v>0</v>
      </c>
    </row>
    <row r="133" spans="1:125" ht="15" customHeight="1" x14ac:dyDescent="0.25">
      <c r="A133" s="1747" t="s">
        <v>309</v>
      </c>
      <c r="B133" s="1748"/>
      <c r="C133" s="1130">
        <f t="shared" si="96"/>
        <v>17</v>
      </c>
      <c r="D133" s="698">
        <f>+F133+H133+J133</f>
        <v>8</v>
      </c>
      <c r="E133" s="929">
        <f t="shared" si="98"/>
        <v>9</v>
      </c>
      <c r="F133" s="353">
        <v>1</v>
      </c>
      <c r="G133" s="356">
        <v>0</v>
      </c>
      <c r="H133" s="356">
        <v>5</v>
      </c>
      <c r="I133" s="375">
        <v>3</v>
      </c>
      <c r="J133" s="375">
        <v>2</v>
      </c>
      <c r="K133" s="699">
        <v>6</v>
      </c>
      <c r="L133" s="699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8">
        <f t="shared" si="106"/>
        <v>0</v>
      </c>
      <c r="DQ133" s="1038">
        <f t="shared" si="107"/>
        <v>0</v>
      </c>
      <c r="DR133" s="1038">
        <f t="shared" si="108"/>
        <v>0</v>
      </c>
      <c r="DS133" s="1038">
        <f t="shared" si="109"/>
        <v>0</v>
      </c>
      <c r="DT133" s="1038">
        <f t="shared" si="110"/>
        <v>0</v>
      </c>
      <c r="DU133" s="1038">
        <f t="shared" si="111"/>
        <v>0</v>
      </c>
    </row>
    <row r="134" spans="1:125" ht="15" customHeight="1" x14ac:dyDescent="0.25">
      <c r="A134" s="1735" t="s">
        <v>310</v>
      </c>
      <c r="B134" s="1736"/>
      <c r="C134" s="1132">
        <f t="shared" si="96"/>
        <v>1</v>
      </c>
      <c r="D134" s="700">
        <f t="shared" si="97"/>
        <v>1</v>
      </c>
      <c r="E134" s="930">
        <f t="shared" si="98"/>
        <v>0</v>
      </c>
      <c r="F134" s="327">
        <v>0</v>
      </c>
      <c r="G134" s="330">
        <v>0</v>
      </c>
      <c r="H134" s="330">
        <v>1</v>
      </c>
      <c r="I134" s="378">
        <v>0</v>
      </c>
      <c r="J134" s="378">
        <v>0</v>
      </c>
      <c r="K134" s="702">
        <v>0</v>
      </c>
      <c r="L134" s="702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8">
        <f t="shared" si="106"/>
        <v>0</v>
      </c>
      <c r="DQ134" s="1038">
        <f t="shared" si="107"/>
        <v>0</v>
      </c>
      <c r="DR134" s="1038">
        <f t="shared" si="108"/>
        <v>0</v>
      </c>
      <c r="DS134" s="1038">
        <f>IF(SUM($I134)&lt;=SUM($AG$12,$G$45),0,1)</f>
        <v>0</v>
      </c>
      <c r="DT134" s="1038">
        <f t="shared" si="110"/>
        <v>0</v>
      </c>
      <c r="DU134" s="1038">
        <f t="shared" si="111"/>
        <v>0</v>
      </c>
    </row>
    <row r="135" spans="1:125" ht="15" customHeight="1" x14ac:dyDescent="0.25">
      <c r="A135" s="1769" t="s">
        <v>94</v>
      </c>
      <c r="B135" s="1770"/>
      <c r="C135" s="1456">
        <f>SUM(D135:E135)</f>
        <v>696</v>
      </c>
      <c r="D135" s="1457">
        <f>+F135+H135+J135</f>
        <v>317</v>
      </c>
      <c r="E135" s="1439">
        <f>+G135+I135+K135</f>
        <v>379</v>
      </c>
      <c r="F135" s="1207">
        <f>SUM(F131:F134)</f>
        <v>9</v>
      </c>
      <c r="G135" s="1426">
        <f>SUM(G131:G134)</f>
        <v>13</v>
      </c>
      <c r="H135" s="1426">
        <f t="shared" ref="H135:J135" si="112">SUM(H131:H134)</f>
        <v>128</v>
      </c>
      <c r="I135" s="1188">
        <f t="shared" si="112"/>
        <v>154</v>
      </c>
      <c r="J135" s="1188">
        <f t="shared" si="112"/>
        <v>180</v>
      </c>
      <c r="K135" s="1439">
        <f>SUM(K131:K134)</f>
        <v>212</v>
      </c>
      <c r="L135" s="1439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4" t="s">
        <v>311</v>
      </c>
      <c r="B136" s="1834"/>
      <c r="C136" s="1834"/>
      <c r="D136" s="1834"/>
      <c r="E136" s="1834"/>
      <c r="F136" s="1834"/>
      <c r="G136" s="1834"/>
      <c r="H136" s="1834"/>
      <c r="I136" s="1834"/>
      <c r="AW136" s="109"/>
      <c r="BR136" s="604"/>
      <c r="BT136" s="172"/>
      <c r="BU136" s="172"/>
      <c r="BV136" s="172"/>
    </row>
    <row r="137" spans="1:125" ht="15" customHeight="1" x14ac:dyDescent="0.25">
      <c r="A137" s="1725" t="s">
        <v>281</v>
      </c>
      <c r="B137" s="1705"/>
      <c r="C137" s="1749" t="s">
        <v>54</v>
      </c>
      <c r="D137" s="1827" t="s">
        <v>302</v>
      </c>
      <c r="E137" s="1828"/>
      <c r="F137" s="1828"/>
      <c r="G137" s="1828"/>
      <c r="H137" s="1828"/>
      <c r="I137" s="1829"/>
      <c r="BS137" s="172"/>
      <c r="BT137" s="172"/>
      <c r="BU137" s="172"/>
    </row>
    <row r="138" spans="1:125" ht="22.15" customHeight="1" x14ac:dyDescent="0.25">
      <c r="A138" s="1742"/>
      <c r="B138" s="1707"/>
      <c r="C138" s="1750"/>
      <c r="D138" s="1447" t="s">
        <v>312</v>
      </c>
      <c r="E138" s="1448" t="s">
        <v>313</v>
      </c>
      <c r="F138" s="1448" t="s">
        <v>226</v>
      </c>
      <c r="G138" s="1448" t="s">
        <v>304</v>
      </c>
      <c r="H138" s="1448" t="s">
        <v>229</v>
      </c>
      <c r="I138" s="1449" t="s">
        <v>314</v>
      </c>
      <c r="BS138" s="172"/>
      <c r="BT138" s="172"/>
      <c r="BU138" s="172"/>
    </row>
    <row r="139" spans="1:125" ht="15" customHeight="1" x14ac:dyDescent="0.25">
      <c r="A139" s="1731" t="s">
        <v>315</v>
      </c>
      <c r="B139" s="1732"/>
      <c r="C139" s="320">
        <f>SUM(D139:I139)</f>
        <v>207</v>
      </c>
      <c r="D139" s="321">
        <v>32</v>
      </c>
      <c r="E139" s="374">
        <v>68</v>
      </c>
      <c r="F139" s="374">
        <v>52</v>
      </c>
      <c r="G139" s="374">
        <v>38</v>
      </c>
      <c r="H139" s="374">
        <v>5</v>
      </c>
      <c r="I139" s="322">
        <v>12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8">
        <f>IF($D139&lt;=SUM($N$36:$U$36),0,1)</f>
        <v>0</v>
      </c>
      <c r="DQ139" s="1038">
        <f>IF($E139&lt;=SUM($V$36:$Y$36),0,1)</f>
        <v>0</v>
      </c>
      <c r="DR139" s="1038">
        <f>IF($F139&lt;=SUM($Z$36:$AA$36),0,1)</f>
        <v>0</v>
      </c>
      <c r="DS139" s="1038">
        <f>IF($G139&lt;=SUM($AB$36:$AC$36),0,1)</f>
        <v>0</v>
      </c>
      <c r="DT139" s="1038">
        <f>IF($H139&lt;=SUM($AF$36:$AG$36),0,1)</f>
        <v>0</v>
      </c>
      <c r="DU139" s="1038">
        <f>IF($I139&lt;=SUM($F$70:$G$70),0,1)</f>
        <v>0</v>
      </c>
    </row>
    <row r="140" spans="1:125" ht="15" customHeight="1" x14ac:dyDescent="0.25">
      <c r="A140" s="1735" t="s">
        <v>316</v>
      </c>
      <c r="B140" s="1736"/>
      <c r="C140" s="377">
        <f>SUM(D140:I140)</f>
        <v>133</v>
      </c>
      <c r="D140" s="327">
        <v>24</v>
      </c>
      <c r="E140" s="378">
        <v>41</v>
      </c>
      <c r="F140" s="378">
        <v>35</v>
      </c>
      <c r="G140" s="378">
        <v>16</v>
      </c>
      <c r="H140" s="378">
        <v>2</v>
      </c>
      <c r="I140" s="328">
        <v>15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8">
        <f t="shared" ref="DP140" si="113">IF($D140&lt;=SUM($N$36:$U$36),0,1)</f>
        <v>0</v>
      </c>
      <c r="DQ140" s="1038">
        <f>IF($E140&lt;=SUM($V$36:$Y$36),0,1)</f>
        <v>0</v>
      </c>
      <c r="DR140" s="1038">
        <f>IF($F140&lt;=SUM($Z$36:$AA$36),0,1)</f>
        <v>0</v>
      </c>
      <c r="DS140" s="1038">
        <f>IF($G140&lt;=SUM($AB$36:$AC$36),0,1)</f>
        <v>0</v>
      </c>
      <c r="DT140" s="1038">
        <f>IF($H140&lt;=SUM($AF$36:$AG$36),0,1)</f>
        <v>0</v>
      </c>
      <c r="DU140" s="1038">
        <f>IF($I140&lt;=SUM($F$70:$G$70),0,1)</f>
        <v>0</v>
      </c>
    </row>
    <row r="141" spans="1:125" ht="15" customHeight="1" x14ac:dyDescent="0.25">
      <c r="A141" s="1769" t="s">
        <v>94</v>
      </c>
      <c r="B141" s="1770"/>
      <c r="C141" s="1425">
        <f>SUM(D141:I141)</f>
        <v>340</v>
      </c>
      <c r="D141" s="1207">
        <f t="shared" ref="D141:I141" si="114">SUM(D139:D140)</f>
        <v>56</v>
      </c>
      <c r="E141" s="1188">
        <f t="shared" si="114"/>
        <v>109</v>
      </c>
      <c r="F141" s="1188">
        <f t="shared" si="114"/>
        <v>87</v>
      </c>
      <c r="G141" s="1426">
        <f t="shared" si="114"/>
        <v>54</v>
      </c>
      <c r="H141" s="1188">
        <f t="shared" si="114"/>
        <v>7</v>
      </c>
      <c r="I141" s="931">
        <f t="shared" si="114"/>
        <v>27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33" t="s">
        <v>317</v>
      </c>
      <c r="B142" s="1833"/>
      <c r="C142" s="1833"/>
      <c r="D142" s="1833"/>
      <c r="E142" s="1833"/>
      <c r="F142" s="1833"/>
      <c r="G142" s="1833"/>
      <c r="H142" s="1833"/>
      <c r="I142" s="1833"/>
      <c r="J142" s="1833"/>
      <c r="K142" s="1833"/>
      <c r="L142" s="1833"/>
      <c r="M142" s="1833"/>
      <c r="N142" s="1833"/>
      <c r="O142" s="1833"/>
      <c r="P142" s="1833"/>
      <c r="Q142" s="1833"/>
      <c r="R142" s="1833"/>
      <c r="S142" s="1833"/>
      <c r="T142" s="1833"/>
      <c r="U142" s="1833"/>
      <c r="V142" s="1833"/>
      <c r="W142" s="1833"/>
      <c r="X142" s="1833"/>
      <c r="Y142" s="1833"/>
      <c r="Z142" s="1833"/>
      <c r="AA142" s="1833"/>
      <c r="AB142" s="1833"/>
      <c r="AC142" s="1833"/>
      <c r="AD142" s="1833"/>
      <c r="AE142" s="1833"/>
      <c r="AF142" s="1833"/>
      <c r="AG142" s="1833"/>
      <c r="AH142" s="1833"/>
      <c r="AI142" s="1833"/>
      <c r="AJ142" s="1833"/>
      <c r="AK142" s="1833"/>
      <c r="AL142" s="1833"/>
      <c r="AM142" s="1833"/>
      <c r="AN142" s="1833"/>
      <c r="AO142" s="1833"/>
      <c r="AP142" s="1833"/>
      <c r="AQ142" s="1833"/>
      <c r="AR142" s="107"/>
      <c r="AS142" s="107"/>
      <c r="AT142" s="107"/>
      <c r="AU142" s="107"/>
      <c r="AV142" s="107"/>
    </row>
    <row r="143" spans="1:125" ht="15" customHeight="1" x14ac:dyDescent="0.25">
      <c r="A143" s="1773" t="s">
        <v>318</v>
      </c>
      <c r="B143" s="1774"/>
      <c r="C143" s="1838" t="s">
        <v>54</v>
      </c>
      <c r="D143" s="1839"/>
      <c r="E143" s="1840"/>
      <c r="F143" s="1820" t="s">
        <v>250</v>
      </c>
      <c r="G143" s="1821"/>
      <c r="H143" s="1821"/>
      <c r="I143" s="1821"/>
      <c r="J143" s="1821"/>
      <c r="K143" s="1821"/>
      <c r="L143" s="1821"/>
      <c r="M143" s="1821"/>
      <c r="N143" s="1821"/>
      <c r="O143" s="1821"/>
      <c r="P143" s="1821"/>
      <c r="Q143" s="1821"/>
      <c r="R143" s="1821"/>
      <c r="S143" s="1821"/>
      <c r="T143" s="1821"/>
      <c r="U143" s="1821"/>
      <c r="V143" s="1821"/>
      <c r="W143" s="1821"/>
      <c r="X143" s="1821"/>
      <c r="Y143" s="1821"/>
      <c r="Z143" s="1821"/>
      <c r="AA143" s="1821"/>
      <c r="AB143" s="1821"/>
      <c r="AC143" s="1821"/>
      <c r="AD143" s="1821"/>
      <c r="AE143" s="1821"/>
      <c r="AF143" s="1821"/>
      <c r="AG143" s="1821"/>
      <c r="AH143" s="1821"/>
      <c r="AI143" s="1821"/>
      <c r="AJ143" s="1821"/>
      <c r="AK143" s="1821"/>
      <c r="AL143" s="1821"/>
      <c r="AM143" s="1821"/>
      <c r="AN143" s="1821"/>
      <c r="AO143" s="1821"/>
      <c r="AP143" s="1821"/>
      <c r="AQ143" s="1822"/>
      <c r="AR143" s="1823" t="s">
        <v>56</v>
      </c>
      <c r="AS143" s="1824"/>
      <c r="AT143" s="1814" t="s">
        <v>113</v>
      </c>
      <c r="AU143" s="1815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75"/>
      <c r="B144" s="1776"/>
      <c r="C144" s="1841"/>
      <c r="D144" s="1842"/>
      <c r="E144" s="1843"/>
      <c r="F144" s="1846" t="s">
        <v>216</v>
      </c>
      <c r="G144" s="1818"/>
      <c r="H144" s="1818" t="s">
        <v>217</v>
      </c>
      <c r="I144" s="1818"/>
      <c r="J144" s="1818" t="s">
        <v>218</v>
      </c>
      <c r="K144" s="1818"/>
      <c r="L144" s="1818" t="s">
        <v>219</v>
      </c>
      <c r="M144" s="1818"/>
      <c r="N144" s="1818" t="s">
        <v>220</v>
      </c>
      <c r="O144" s="1818"/>
      <c r="P144" s="1818" t="s">
        <v>221</v>
      </c>
      <c r="Q144" s="1818"/>
      <c r="R144" s="1818" t="s">
        <v>222</v>
      </c>
      <c r="S144" s="1818"/>
      <c r="T144" s="1818" t="s">
        <v>223</v>
      </c>
      <c r="U144" s="1818"/>
      <c r="V144" s="1818" t="s">
        <v>224</v>
      </c>
      <c r="W144" s="1818"/>
      <c r="X144" s="1818" t="s">
        <v>225</v>
      </c>
      <c r="Y144" s="1818"/>
      <c r="Z144" s="1818" t="s">
        <v>226</v>
      </c>
      <c r="AA144" s="1818"/>
      <c r="AB144" s="1818" t="s">
        <v>227</v>
      </c>
      <c r="AC144" s="1818"/>
      <c r="AD144" s="1818" t="s">
        <v>228</v>
      </c>
      <c r="AE144" s="1818"/>
      <c r="AF144" s="1818" t="s">
        <v>229</v>
      </c>
      <c r="AG144" s="1818"/>
      <c r="AH144" s="1818" t="s">
        <v>314</v>
      </c>
      <c r="AI144" s="1818"/>
      <c r="AJ144" s="1818" t="s">
        <v>319</v>
      </c>
      <c r="AK144" s="1818"/>
      <c r="AL144" s="1818" t="s">
        <v>320</v>
      </c>
      <c r="AM144" s="1818"/>
      <c r="AN144" s="1818" t="s">
        <v>321</v>
      </c>
      <c r="AO144" s="1818"/>
      <c r="AP144" s="1818" t="s">
        <v>62</v>
      </c>
      <c r="AQ144" s="1819"/>
      <c r="AR144" s="1825"/>
      <c r="AS144" s="1826"/>
      <c r="AT144" s="1816"/>
      <c r="AU144" s="1817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77"/>
      <c r="B145" s="1778"/>
      <c r="C145" s="1458" t="s">
        <v>230</v>
      </c>
      <c r="D145" s="601" t="s">
        <v>91</v>
      </c>
      <c r="E145" s="965" t="s">
        <v>231</v>
      </c>
      <c r="F145" s="1205" t="s">
        <v>91</v>
      </c>
      <c r="G145" s="971" t="s">
        <v>231</v>
      </c>
      <c r="H145" s="971" t="s">
        <v>91</v>
      </c>
      <c r="I145" s="971" t="s">
        <v>231</v>
      </c>
      <c r="J145" s="971" t="s">
        <v>91</v>
      </c>
      <c r="K145" s="971" t="s">
        <v>231</v>
      </c>
      <c r="L145" s="971" t="s">
        <v>91</v>
      </c>
      <c r="M145" s="971" t="s">
        <v>231</v>
      </c>
      <c r="N145" s="971" t="s">
        <v>91</v>
      </c>
      <c r="O145" s="971" t="s">
        <v>231</v>
      </c>
      <c r="P145" s="971" t="s">
        <v>91</v>
      </c>
      <c r="Q145" s="971" t="s">
        <v>231</v>
      </c>
      <c r="R145" s="971" t="s">
        <v>91</v>
      </c>
      <c r="S145" s="971" t="s">
        <v>231</v>
      </c>
      <c r="T145" s="971" t="s">
        <v>91</v>
      </c>
      <c r="U145" s="971" t="s">
        <v>231</v>
      </c>
      <c r="V145" s="971" t="s">
        <v>91</v>
      </c>
      <c r="W145" s="971" t="s">
        <v>231</v>
      </c>
      <c r="X145" s="971" t="s">
        <v>91</v>
      </c>
      <c r="Y145" s="971" t="s">
        <v>231</v>
      </c>
      <c r="Z145" s="971" t="s">
        <v>91</v>
      </c>
      <c r="AA145" s="971" t="s">
        <v>231</v>
      </c>
      <c r="AB145" s="971" t="s">
        <v>91</v>
      </c>
      <c r="AC145" s="971" t="s">
        <v>231</v>
      </c>
      <c r="AD145" s="971" t="s">
        <v>91</v>
      </c>
      <c r="AE145" s="971" t="s">
        <v>231</v>
      </c>
      <c r="AF145" s="971" t="s">
        <v>91</v>
      </c>
      <c r="AG145" s="971" t="s">
        <v>231</v>
      </c>
      <c r="AH145" s="971" t="s">
        <v>91</v>
      </c>
      <c r="AI145" s="971" t="s">
        <v>231</v>
      </c>
      <c r="AJ145" s="971" t="s">
        <v>91</v>
      </c>
      <c r="AK145" s="971" t="s">
        <v>231</v>
      </c>
      <c r="AL145" s="971" t="s">
        <v>91</v>
      </c>
      <c r="AM145" s="971" t="s">
        <v>231</v>
      </c>
      <c r="AN145" s="971" t="s">
        <v>91</v>
      </c>
      <c r="AO145" s="971" t="s">
        <v>231</v>
      </c>
      <c r="AP145" s="971" t="s">
        <v>91</v>
      </c>
      <c r="AQ145" s="864" t="s">
        <v>231</v>
      </c>
      <c r="AR145" s="972" t="s">
        <v>91</v>
      </c>
      <c r="AS145" s="864" t="s">
        <v>231</v>
      </c>
      <c r="AT145" s="1205" t="s">
        <v>91</v>
      </c>
      <c r="AU145" s="889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745" t="s">
        <v>322</v>
      </c>
      <c r="B146" s="1746"/>
      <c r="C146" s="1425">
        <f>SUM(D146:E146)</f>
        <v>355</v>
      </c>
      <c r="D146" s="1426">
        <f t="shared" ref="D146:D162" si="115">+F146+H146+J146+L146+N146+P146+R146+T146+V146+X146+Z146+AB146+AD146+AF146+AH146+AN146+AP146+AJ146+AL146</f>
        <v>206</v>
      </c>
      <c r="E146" s="931">
        <f t="shared" ref="E146:E162" si="116">+G146+I146+K146+M146+O146+Q146+S146+U146+W146+Y146+AA146+AC146+AE146+AG146+AI146+AO146+AQ146+AK146+AM146</f>
        <v>149</v>
      </c>
      <c r="F146" s="1423">
        <v>0</v>
      </c>
      <c r="G146" s="947">
        <v>0</v>
      </c>
      <c r="H146" s="947">
        <v>0</v>
      </c>
      <c r="I146" s="947">
        <v>0</v>
      </c>
      <c r="J146" s="947">
        <v>0</v>
      </c>
      <c r="K146" s="947">
        <v>0</v>
      </c>
      <c r="L146" s="947">
        <v>2</v>
      </c>
      <c r="M146" s="947">
        <v>1</v>
      </c>
      <c r="N146" s="947">
        <v>1</v>
      </c>
      <c r="O146" s="947">
        <v>0</v>
      </c>
      <c r="P146" s="947">
        <v>1</v>
      </c>
      <c r="Q146" s="947">
        <v>0</v>
      </c>
      <c r="R146" s="947">
        <v>4</v>
      </c>
      <c r="S146" s="947">
        <v>4</v>
      </c>
      <c r="T146" s="947">
        <v>11</v>
      </c>
      <c r="U146" s="947">
        <v>8</v>
      </c>
      <c r="V146" s="947">
        <v>6</v>
      </c>
      <c r="W146" s="947">
        <v>6</v>
      </c>
      <c r="X146" s="947">
        <v>15</v>
      </c>
      <c r="Y146" s="947">
        <v>14</v>
      </c>
      <c r="Z146" s="947">
        <v>21</v>
      </c>
      <c r="AA146" s="947">
        <v>9</v>
      </c>
      <c r="AB146" s="947">
        <v>9</v>
      </c>
      <c r="AC146" s="947">
        <v>25</v>
      </c>
      <c r="AD146" s="947">
        <v>4</v>
      </c>
      <c r="AE146" s="947">
        <v>8</v>
      </c>
      <c r="AF146" s="947">
        <v>17</v>
      </c>
      <c r="AG146" s="947">
        <v>4</v>
      </c>
      <c r="AH146" s="947">
        <v>26</v>
      </c>
      <c r="AI146" s="947">
        <v>18</v>
      </c>
      <c r="AJ146" s="947">
        <v>37</v>
      </c>
      <c r="AK146" s="947">
        <v>17</v>
      </c>
      <c r="AL146" s="947">
        <v>36</v>
      </c>
      <c r="AM146" s="947">
        <v>13</v>
      </c>
      <c r="AN146" s="947">
        <v>11</v>
      </c>
      <c r="AO146" s="947">
        <v>11</v>
      </c>
      <c r="AP146" s="947">
        <v>5</v>
      </c>
      <c r="AQ146" s="318">
        <v>11</v>
      </c>
      <c r="AR146" s="319">
        <v>34</v>
      </c>
      <c r="AS146" s="318">
        <v>33</v>
      </c>
      <c r="AT146" s="1206">
        <v>2</v>
      </c>
      <c r="AU146" s="948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8">
        <f t="shared" ref="DP146:DP190" si="119">IF(AND(D146&gt;0,AR146=""),1,IF(AR146&gt;D146,1,0))</f>
        <v>0</v>
      </c>
      <c r="DQ146" s="1038">
        <f t="shared" ref="DQ146:DQ190" si="120">IF(AND(E146&gt;0,AS146=""),1,IF(AS146&gt;E146,1,0))</f>
        <v>0</v>
      </c>
      <c r="DR146" s="1038">
        <f t="shared" ref="DR146:DR190" si="121">IF(AND(D146&gt;0,AT146=""),1,IF(AT146&gt;D146,1,0))</f>
        <v>0</v>
      </c>
      <c r="DS146" s="1038">
        <f t="shared" ref="DS146:DS190" si="122">IF(AND(E146&gt;0,AU146=""),1,IF(AU146&gt;E146,1,0))</f>
        <v>0</v>
      </c>
    </row>
    <row r="147" spans="1:123" ht="15" customHeight="1" x14ac:dyDescent="0.25">
      <c r="A147" s="1844" t="s">
        <v>323</v>
      </c>
      <c r="B147" s="1845"/>
      <c r="C147" s="337">
        <f t="shared" ref="C147:C162" si="123">SUM(D147:E147)</f>
        <v>4</v>
      </c>
      <c r="D147" s="1127">
        <f t="shared" si="115"/>
        <v>3</v>
      </c>
      <c r="E147" s="885">
        <f t="shared" si="116"/>
        <v>1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0</v>
      </c>
      <c r="AJ147" s="643">
        <v>2</v>
      </c>
      <c r="AK147" s="643">
        <v>0</v>
      </c>
      <c r="AL147" s="643">
        <v>1</v>
      </c>
      <c r="AM147" s="643">
        <v>1</v>
      </c>
      <c r="AN147" s="643">
        <v>0</v>
      </c>
      <c r="AO147" s="643">
        <v>0</v>
      </c>
      <c r="AP147" s="643">
        <v>0</v>
      </c>
      <c r="AQ147" s="343">
        <v>0</v>
      </c>
      <c r="AR147" s="346">
        <v>1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8">
        <f t="shared" si="119"/>
        <v>0</v>
      </c>
      <c r="DQ147" s="1038">
        <f t="shared" si="120"/>
        <v>0</v>
      </c>
      <c r="DR147" s="1038">
        <f t="shared" si="121"/>
        <v>0</v>
      </c>
      <c r="DS147" s="1038">
        <f t="shared" si="122"/>
        <v>0</v>
      </c>
    </row>
    <row r="148" spans="1:123" ht="15" customHeight="1" x14ac:dyDescent="0.25">
      <c r="A148" s="1712" t="s">
        <v>324</v>
      </c>
      <c r="B148" s="1713" t="s">
        <v>324</v>
      </c>
      <c r="C148" s="352">
        <f t="shared" si="123"/>
        <v>66</v>
      </c>
      <c r="D148" s="1128">
        <f t="shared" si="115"/>
        <v>44</v>
      </c>
      <c r="E148" s="886">
        <f t="shared" si="116"/>
        <v>22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3</v>
      </c>
      <c r="AB148" s="375">
        <v>0</v>
      </c>
      <c r="AC148" s="375">
        <v>4</v>
      </c>
      <c r="AD148" s="375">
        <v>0</v>
      </c>
      <c r="AE148" s="375">
        <v>6</v>
      </c>
      <c r="AF148" s="375">
        <v>5</v>
      </c>
      <c r="AG148" s="375">
        <v>2</v>
      </c>
      <c r="AH148" s="375">
        <v>7</v>
      </c>
      <c r="AI148" s="375">
        <v>3</v>
      </c>
      <c r="AJ148" s="375">
        <v>16</v>
      </c>
      <c r="AK148" s="375">
        <v>1</v>
      </c>
      <c r="AL148" s="375">
        <v>13</v>
      </c>
      <c r="AM148" s="375">
        <v>0</v>
      </c>
      <c r="AN148" s="375">
        <v>2</v>
      </c>
      <c r="AO148" s="375">
        <v>1</v>
      </c>
      <c r="AP148" s="375">
        <v>1</v>
      </c>
      <c r="AQ148" s="355">
        <v>2</v>
      </c>
      <c r="AR148" s="357">
        <v>6</v>
      </c>
      <c r="AS148" s="355">
        <v>3</v>
      </c>
      <c r="AT148" s="353">
        <v>1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8">
        <f t="shared" si="119"/>
        <v>0</v>
      </c>
      <c r="DQ148" s="1038">
        <f t="shared" si="120"/>
        <v>0</v>
      </c>
      <c r="DR148" s="1038">
        <f t="shared" si="121"/>
        <v>0</v>
      </c>
      <c r="DS148" s="1038">
        <f t="shared" si="122"/>
        <v>0</v>
      </c>
    </row>
    <row r="149" spans="1:123" ht="15" customHeight="1" x14ac:dyDescent="0.25">
      <c r="A149" s="1712" t="s">
        <v>325</v>
      </c>
      <c r="B149" s="1713" t="s">
        <v>325</v>
      </c>
      <c r="C149" s="352">
        <f t="shared" si="123"/>
        <v>0</v>
      </c>
      <c r="D149" s="1128">
        <f t="shared" si="115"/>
        <v>0</v>
      </c>
      <c r="E149" s="886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8">
        <f t="shared" si="119"/>
        <v>0</v>
      </c>
      <c r="DQ149" s="1038">
        <f t="shared" si="120"/>
        <v>0</v>
      </c>
      <c r="DR149" s="1038">
        <f t="shared" si="121"/>
        <v>0</v>
      </c>
      <c r="DS149" s="1038">
        <f t="shared" si="122"/>
        <v>0</v>
      </c>
    </row>
    <row r="150" spans="1:123" ht="15" customHeight="1" x14ac:dyDescent="0.25">
      <c r="A150" s="1712" t="s">
        <v>326</v>
      </c>
      <c r="B150" s="1713" t="s">
        <v>326</v>
      </c>
      <c r="C150" s="352">
        <f t="shared" si="123"/>
        <v>1</v>
      </c>
      <c r="D150" s="1128">
        <f t="shared" si="115"/>
        <v>1</v>
      </c>
      <c r="E150" s="886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1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1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8">
        <f t="shared" si="119"/>
        <v>0</v>
      </c>
      <c r="DQ150" s="1038">
        <f t="shared" si="120"/>
        <v>0</v>
      </c>
      <c r="DR150" s="1038">
        <f t="shared" si="121"/>
        <v>0</v>
      </c>
      <c r="DS150" s="1038">
        <f t="shared" si="122"/>
        <v>0</v>
      </c>
    </row>
    <row r="151" spans="1:123" ht="15" customHeight="1" x14ac:dyDescent="0.25">
      <c r="A151" s="1712" t="s">
        <v>327</v>
      </c>
      <c r="B151" s="1713" t="s">
        <v>327</v>
      </c>
      <c r="C151" s="352">
        <f t="shared" si="123"/>
        <v>10</v>
      </c>
      <c r="D151" s="1128">
        <f t="shared" si="115"/>
        <v>5</v>
      </c>
      <c r="E151" s="886">
        <f t="shared" si="116"/>
        <v>5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1</v>
      </c>
      <c r="X151" s="375">
        <v>0</v>
      </c>
      <c r="Y151" s="375">
        <v>0</v>
      </c>
      <c r="Z151" s="375">
        <v>0</v>
      </c>
      <c r="AA151" s="375">
        <v>1</v>
      </c>
      <c r="AB151" s="375">
        <v>1</v>
      </c>
      <c r="AC151" s="375">
        <v>0</v>
      </c>
      <c r="AD151" s="375">
        <v>0</v>
      </c>
      <c r="AE151" s="375">
        <v>0</v>
      </c>
      <c r="AF151" s="375">
        <v>1</v>
      </c>
      <c r="AG151" s="375">
        <v>0</v>
      </c>
      <c r="AH151" s="375">
        <v>0</v>
      </c>
      <c r="AI151" s="375">
        <v>0</v>
      </c>
      <c r="AJ151" s="375">
        <v>0</v>
      </c>
      <c r="AK151" s="375">
        <v>2</v>
      </c>
      <c r="AL151" s="375">
        <v>2</v>
      </c>
      <c r="AM151" s="375">
        <v>1</v>
      </c>
      <c r="AN151" s="375">
        <v>0</v>
      </c>
      <c r="AO151" s="375">
        <v>0</v>
      </c>
      <c r="AP151" s="375">
        <v>1</v>
      </c>
      <c r="AQ151" s="355">
        <v>0</v>
      </c>
      <c r="AR151" s="357">
        <v>0</v>
      </c>
      <c r="AS151" s="355">
        <v>2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8">
        <f t="shared" si="119"/>
        <v>0</v>
      </c>
      <c r="DQ151" s="1038">
        <f t="shared" si="120"/>
        <v>0</v>
      </c>
      <c r="DR151" s="1038">
        <f t="shared" si="121"/>
        <v>0</v>
      </c>
      <c r="DS151" s="1038">
        <f t="shared" si="122"/>
        <v>0</v>
      </c>
    </row>
    <row r="152" spans="1:123" ht="15" customHeight="1" x14ac:dyDescent="0.25">
      <c r="A152" s="1712" t="s">
        <v>328</v>
      </c>
      <c r="B152" s="1713" t="s">
        <v>329</v>
      </c>
      <c r="C152" s="352">
        <f t="shared" si="123"/>
        <v>46</v>
      </c>
      <c r="D152" s="1128">
        <f t="shared" si="115"/>
        <v>25</v>
      </c>
      <c r="E152" s="886">
        <f t="shared" si="116"/>
        <v>21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1</v>
      </c>
      <c r="T152" s="375">
        <v>0</v>
      </c>
      <c r="U152" s="375">
        <v>0</v>
      </c>
      <c r="V152" s="375">
        <v>0</v>
      </c>
      <c r="W152" s="375">
        <v>0</v>
      </c>
      <c r="X152" s="375">
        <v>1</v>
      </c>
      <c r="Y152" s="375">
        <v>3</v>
      </c>
      <c r="Z152" s="375">
        <v>3</v>
      </c>
      <c r="AA152" s="375">
        <v>1</v>
      </c>
      <c r="AB152" s="375">
        <v>1</v>
      </c>
      <c r="AC152" s="375">
        <v>9</v>
      </c>
      <c r="AD152" s="375">
        <v>0</v>
      </c>
      <c r="AE152" s="375">
        <v>2</v>
      </c>
      <c r="AF152" s="375">
        <v>2</v>
      </c>
      <c r="AG152" s="375">
        <v>1</v>
      </c>
      <c r="AH152" s="375">
        <v>6</v>
      </c>
      <c r="AI152" s="375">
        <v>1</v>
      </c>
      <c r="AJ152" s="375">
        <v>7</v>
      </c>
      <c r="AK152" s="375">
        <v>0</v>
      </c>
      <c r="AL152" s="375">
        <v>4</v>
      </c>
      <c r="AM152" s="375">
        <v>3</v>
      </c>
      <c r="AN152" s="375">
        <v>1</v>
      </c>
      <c r="AO152" s="375">
        <v>0</v>
      </c>
      <c r="AP152" s="375">
        <v>0</v>
      </c>
      <c r="AQ152" s="355">
        <v>0</v>
      </c>
      <c r="AR152" s="357">
        <v>7</v>
      </c>
      <c r="AS152" s="355">
        <v>2</v>
      </c>
      <c r="AT152" s="353">
        <v>1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8">
        <f t="shared" si="119"/>
        <v>0</v>
      </c>
      <c r="DQ152" s="1038">
        <f t="shared" si="120"/>
        <v>0</v>
      </c>
      <c r="DR152" s="1038">
        <f t="shared" si="121"/>
        <v>0</v>
      </c>
      <c r="DS152" s="1038">
        <f t="shared" si="122"/>
        <v>0</v>
      </c>
    </row>
    <row r="153" spans="1:123" ht="15" customHeight="1" x14ac:dyDescent="0.25">
      <c r="A153" s="1712" t="s">
        <v>330</v>
      </c>
      <c r="B153" s="1713" t="s">
        <v>331</v>
      </c>
      <c r="C153" s="352">
        <f t="shared" si="123"/>
        <v>0</v>
      </c>
      <c r="D153" s="1128">
        <f t="shared" si="115"/>
        <v>0</v>
      </c>
      <c r="E153" s="886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8">
        <f t="shared" si="119"/>
        <v>0</v>
      </c>
      <c r="DQ153" s="1038">
        <f t="shared" si="120"/>
        <v>0</v>
      </c>
      <c r="DR153" s="1038">
        <f t="shared" si="121"/>
        <v>0</v>
      </c>
      <c r="DS153" s="1038">
        <f t="shared" si="122"/>
        <v>0</v>
      </c>
    </row>
    <row r="154" spans="1:123" s="228" customFormat="1" ht="15" customHeight="1" x14ac:dyDescent="0.15">
      <c r="A154" s="1712" t="s">
        <v>332</v>
      </c>
      <c r="B154" s="1713" t="s">
        <v>332</v>
      </c>
      <c r="C154" s="1130">
        <f t="shared" si="123"/>
        <v>9</v>
      </c>
      <c r="D154" s="698">
        <f t="shared" si="115"/>
        <v>5</v>
      </c>
      <c r="E154" s="887">
        <f t="shared" si="116"/>
        <v>4</v>
      </c>
      <c r="F154" s="884">
        <v>0</v>
      </c>
      <c r="G154" s="749">
        <v>0</v>
      </c>
      <c r="H154" s="749">
        <v>0</v>
      </c>
      <c r="I154" s="749">
        <v>0</v>
      </c>
      <c r="J154" s="749">
        <v>0</v>
      </c>
      <c r="K154" s="749">
        <v>0</v>
      </c>
      <c r="L154" s="749">
        <v>0</v>
      </c>
      <c r="M154" s="749">
        <v>0</v>
      </c>
      <c r="N154" s="749">
        <v>0</v>
      </c>
      <c r="O154" s="749">
        <v>0</v>
      </c>
      <c r="P154" s="749">
        <v>0</v>
      </c>
      <c r="Q154" s="749">
        <v>0</v>
      </c>
      <c r="R154" s="749">
        <v>0</v>
      </c>
      <c r="S154" s="749">
        <v>1</v>
      </c>
      <c r="T154" s="749">
        <v>1</v>
      </c>
      <c r="U154" s="749">
        <v>0</v>
      </c>
      <c r="V154" s="749">
        <v>0</v>
      </c>
      <c r="W154" s="749">
        <v>0</v>
      </c>
      <c r="X154" s="749">
        <v>0</v>
      </c>
      <c r="Y154" s="749">
        <v>0</v>
      </c>
      <c r="Z154" s="749">
        <v>1</v>
      </c>
      <c r="AA154" s="749">
        <v>0</v>
      </c>
      <c r="AB154" s="749">
        <v>1</v>
      </c>
      <c r="AC154" s="749">
        <v>3</v>
      </c>
      <c r="AD154" s="749">
        <v>1</v>
      </c>
      <c r="AE154" s="749">
        <v>0</v>
      </c>
      <c r="AF154" s="749">
        <v>0</v>
      </c>
      <c r="AG154" s="749">
        <v>0</v>
      </c>
      <c r="AH154" s="749">
        <v>1</v>
      </c>
      <c r="AI154" s="749">
        <v>0</v>
      </c>
      <c r="AJ154" s="749">
        <v>0</v>
      </c>
      <c r="AK154" s="749">
        <v>0</v>
      </c>
      <c r="AL154" s="749">
        <v>0</v>
      </c>
      <c r="AM154" s="749">
        <v>0</v>
      </c>
      <c r="AN154" s="749">
        <v>0</v>
      </c>
      <c r="AO154" s="749">
        <v>0</v>
      </c>
      <c r="AP154" s="749">
        <v>0</v>
      </c>
      <c r="AQ154" s="802">
        <v>0</v>
      </c>
      <c r="AR154" s="750">
        <v>3</v>
      </c>
      <c r="AS154" s="802">
        <v>2</v>
      </c>
      <c r="AT154" s="932">
        <v>0</v>
      </c>
      <c r="AU154" s="751">
        <v>0</v>
      </c>
      <c r="AV154" s="109" t="str">
        <f t="shared" si="124"/>
        <v/>
      </c>
      <c r="AW154" s="752"/>
      <c r="AX154" s="752"/>
      <c r="AY154" s="752"/>
      <c r="AZ154" s="752"/>
      <c r="BA154" s="803"/>
      <c r="BB154" s="803"/>
      <c r="BC154" s="803"/>
      <c r="BD154" s="803"/>
      <c r="BE154" s="803"/>
      <c r="BF154" s="803"/>
      <c r="BG154" s="803"/>
      <c r="BH154" s="803"/>
      <c r="BI154" s="803"/>
      <c r="BJ154" s="803"/>
      <c r="BK154" s="803"/>
      <c r="BL154" s="803"/>
      <c r="BM154" s="803"/>
      <c r="BN154" s="803"/>
      <c r="BO154" s="803"/>
      <c r="BP154" s="803"/>
      <c r="BQ154" s="803"/>
      <c r="BR154" s="803"/>
      <c r="BS154" s="803"/>
      <c r="BT154" s="803"/>
      <c r="BU154" s="803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8">
        <f t="shared" si="119"/>
        <v>0</v>
      </c>
      <c r="DQ154" s="1038">
        <f t="shared" si="120"/>
        <v>0</v>
      </c>
      <c r="DR154" s="1038">
        <f t="shared" si="121"/>
        <v>0</v>
      </c>
      <c r="DS154" s="1038">
        <f t="shared" si="122"/>
        <v>0</v>
      </c>
    </row>
    <row r="155" spans="1:123" ht="24" customHeight="1" x14ac:dyDescent="0.25">
      <c r="A155" s="1712" t="s">
        <v>333</v>
      </c>
      <c r="B155" s="1713" t="s">
        <v>333</v>
      </c>
      <c r="C155" s="352">
        <f t="shared" si="123"/>
        <v>18</v>
      </c>
      <c r="D155" s="1128">
        <f t="shared" si="115"/>
        <v>10</v>
      </c>
      <c r="E155" s="886">
        <f t="shared" si="116"/>
        <v>8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4</v>
      </c>
      <c r="AI155" s="375">
        <v>1</v>
      </c>
      <c r="AJ155" s="375">
        <v>3</v>
      </c>
      <c r="AK155" s="375">
        <v>4</v>
      </c>
      <c r="AL155" s="375">
        <v>3</v>
      </c>
      <c r="AM155" s="375">
        <v>3</v>
      </c>
      <c r="AN155" s="375">
        <v>0</v>
      </c>
      <c r="AO155" s="375">
        <v>0</v>
      </c>
      <c r="AP155" s="375">
        <v>0</v>
      </c>
      <c r="AQ155" s="355">
        <v>0</v>
      </c>
      <c r="AR155" s="357">
        <v>1</v>
      </c>
      <c r="AS155" s="355">
        <v>2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8">
        <f t="shared" si="119"/>
        <v>0</v>
      </c>
      <c r="DQ155" s="1038">
        <f t="shared" si="120"/>
        <v>0</v>
      </c>
      <c r="DR155" s="1038">
        <f t="shared" si="121"/>
        <v>0</v>
      </c>
      <c r="DS155" s="1038">
        <f t="shared" si="122"/>
        <v>0</v>
      </c>
    </row>
    <row r="156" spans="1:123" s="228" customFormat="1" ht="15" customHeight="1" x14ac:dyDescent="0.15">
      <c r="A156" s="1712" t="s">
        <v>334</v>
      </c>
      <c r="B156" s="1713" t="s">
        <v>335</v>
      </c>
      <c r="C156" s="1130">
        <f t="shared" si="123"/>
        <v>1</v>
      </c>
      <c r="D156" s="698">
        <f t="shared" si="115"/>
        <v>1</v>
      </c>
      <c r="E156" s="887">
        <f t="shared" si="116"/>
        <v>0</v>
      </c>
      <c r="F156" s="884">
        <v>0</v>
      </c>
      <c r="G156" s="749">
        <v>0</v>
      </c>
      <c r="H156" s="749">
        <v>0</v>
      </c>
      <c r="I156" s="749">
        <v>0</v>
      </c>
      <c r="J156" s="749">
        <v>0</v>
      </c>
      <c r="K156" s="749">
        <v>0</v>
      </c>
      <c r="L156" s="749">
        <v>0</v>
      </c>
      <c r="M156" s="749">
        <v>0</v>
      </c>
      <c r="N156" s="749">
        <v>0</v>
      </c>
      <c r="O156" s="749">
        <v>0</v>
      </c>
      <c r="P156" s="749">
        <v>0</v>
      </c>
      <c r="Q156" s="749">
        <v>0</v>
      </c>
      <c r="R156" s="749">
        <v>0</v>
      </c>
      <c r="S156" s="749">
        <v>0</v>
      </c>
      <c r="T156" s="749">
        <v>0</v>
      </c>
      <c r="U156" s="749">
        <v>0</v>
      </c>
      <c r="V156" s="749">
        <v>0</v>
      </c>
      <c r="W156" s="749">
        <v>0</v>
      </c>
      <c r="X156" s="749">
        <v>0</v>
      </c>
      <c r="Y156" s="749">
        <v>0</v>
      </c>
      <c r="Z156" s="749">
        <v>0</v>
      </c>
      <c r="AA156" s="749">
        <v>0</v>
      </c>
      <c r="AB156" s="749">
        <v>0</v>
      </c>
      <c r="AC156" s="749">
        <v>0</v>
      </c>
      <c r="AD156" s="749">
        <v>0</v>
      </c>
      <c r="AE156" s="749">
        <v>0</v>
      </c>
      <c r="AF156" s="749">
        <v>0</v>
      </c>
      <c r="AG156" s="749">
        <v>0</v>
      </c>
      <c r="AH156" s="749">
        <v>0</v>
      </c>
      <c r="AI156" s="749">
        <v>0</v>
      </c>
      <c r="AJ156" s="749">
        <v>0</v>
      </c>
      <c r="AK156" s="749">
        <v>0</v>
      </c>
      <c r="AL156" s="749">
        <v>1</v>
      </c>
      <c r="AM156" s="749">
        <v>0</v>
      </c>
      <c r="AN156" s="749">
        <v>0</v>
      </c>
      <c r="AO156" s="749">
        <v>0</v>
      </c>
      <c r="AP156" s="749">
        <v>0</v>
      </c>
      <c r="AQ156" s="802">
        <v>0</v>
      </c>
      <c r="AR156" s="750">
        <v>0</v>
      </c>
      <c r="AS156" s="802">
        <v>0</v>
      </c>
      <c r="AT156" s="932">
        <v>0</v>
      </c>
      <c r="AU156" s="751">
        <v>0</v>
      </c>
      <c r="AV156" s="109" t="str">
        <f t="shared" si="124"/>
        <v/>
      </c>
      <c r="AW156" s="752"/>
      <c r="AX156" s="752"/>
      <c r="AY156" s="752"/>
      <c r="AZ156" s="752"/>
      <c r="BA156" s="803"/>
      <c r="BB156" s="803"/>
      <c r="BC156" s="803"/>
      <c r="BD156" s="803"/>
      <c r="BE156" s="803"/>
      <c r="BF156" s="803"/>
      <c r="BG156" s="803"/>
      <c r="BH156" s="803"/>
      <c r="BI156" s="803"/>
      <c r="BJ156" s="803"/>
      <c r="BK156" s="803"/>
      <c r="BL156" s="803"/>
      <c r="BM156" s="803"/>
      <c r="BN156" s="803"/>
      <c r="BO156" s="803"/>
      <c r="BP156" s="803"/>
      <c r="BQ156" s="803"/>
      <c r="BR156" s="803"/>
      <c r="BS156" s="803"/>
      <c r="BT156" s="803"/>
      <c r="BU156" s="803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8">
        <f t="shared" si="119"/>
        <v>0</v>
      </c>
      <c r="DQ156" s="1038">
        <f t="shared" si="120"/>
        <v>0</v>
      </c>
      <c r="DR156" s="1038">
        <f t="shared" si="121"/>
        <v>0</v>
      </c>
      <c r="DS156" s="1038">
        <f t="shared" si="122"/>
        <v>0</v>
      </c>
    </row>
    <row r="157" spans="1:123" ht="24.75" customHeight="1" x14ac:dyDescent="0.25">
      <c r="A157" s="1712" t="s">
        <v>336</v>
      </c>
      <c r="B157" s="1713" t="s">
        <v>337</v>
      </c>
      <c r="C157" s="352">
        <f t="shared" si="123"/>
        <v>1</v>
      </c>
      <c r="D157" s="1128">
        <f t="shared" si="115"/>
        <v>0</v>
      </c>
      <c r="E157" s="886">
        <f t="shared" si="116"/>
        <v>1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1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8">
        <f t="shared" si="119"/>
        <v>0</v>
      </c>
      <c r="DQ157" s="1038">
        <f t="shared" si="120"/>
        <v>0</v>
      </c>
      <c r="DR157" s="1038">
        <f t="shared" si="121"/>
        <v>0</v>
      </c>
      <c r="DS157" s="1038">
        <f t="shared" si="122"/>
        <v>0</v>
      </c>
    </row>
    <row r="158" spans="1:123" ht="15" customHeight="1" x14ac:dyDescent="0.25">
      <c r="A158" s="1712" t="s">
        <v>338</v>
      </c>
      <c r="B158" s="1713" t="s">
        <v>338</v>
      </c>
      <c r="C158" s="352">
        <f t="shared" si="123"/>
        <v>3</v>
      </c>
      <c r="D158" s="1128">
        <f t="shared" si="115"/>
        <v>3</v>
      </c>
      <c r="E158" s="886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1</v>
      </c>
      <c r="AK158" s="375">
        <v>0</v>
      </c>
      <c r="AL158" s="375">
        <v>1</v>
      </c>
      <c r="AM158" s="375">
        <v>0</v>
      </c>
      <c r="AN158" s="375">
        <v>1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8">
        <f t="shared" si="119"/>
        <v>0</v>
      </c>
      <c r="DQ158" s="1038">
        <f t="shared" si="120"/>
        <v>0</v>
      </c>
      <c r="DR158" s="1038">
        <f t="shared" si="121"/>
        <v>0</v>
      </c>
      <c r="DS158" s="1038">
        <f t="shared" si="122"/>
        <v>0</v>
      </c>
    </row>
    <row r="159" spans="1:123" ht="15" customHeight="1" x14ac:dyDescent="0.25">
      <c r="A159" s="1712" t="s">
        <v>339</v>
      </c>
      <c r="B159" s="1713" t="s">
        <v>339</v>
      </c>
      <c r="C159" s="352">
        <f t="shared" si="123"/>
        <v>7</v>
      </c>
      <c r="D159" s="1128">
        <f t="shared" si="115"/>
        <v>3</v>
      </c>
      <c r="E159" s="886">
        <f t="shared" si="116"/>
        <v>4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1</v>
      </c>
      <c r="Y159" s="375">
        <v>2</v>
      </c>
      <c r="Z159" s="375">
        <v>0</v>
      </c>
      <c r="AA159" s="375">
        <v>1</v>
      </c>
      <c r="AB159" s="375">
        <v>0</v>
      </c>
      <c r="AC159" s="375">
        <v>0</v>
      </c>
      <c r="AD159" s="375">
        <v>0</v>
      </c>
      <c r="AE159" s="375">
        <v>0</v>
      </c>
      <c r="AF159" s="375">
        <v>2</v>
      </c>
      <c r="AG159" s="375">
        <v>0</v>
      </c>
      <c r="AH159" s="375">
        <v>0</v>
      </c>
      <c r="AI159" s="375">
        <v>0</v>
      </c>
      <c r="AJ159" s="375">
        <v>0</v>
      </c>
      <c r="AK159" s="375">
        <v>1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1</v>
      </c>
      <c r="AS159" s="355">
        <v>1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8">
        <f t="shared" si="119"/>
        <v>0</v>
      </c>
      <c r="DQ159" s="1038">
        <f t="shared" si="120"/>
        <v>0</v>
      </c>
      <c r="DR159" s="1038">
        <f t="shared" si="121"/>
        <v>0</v>
      </c>
      <c r="DS159" s="1038">
        <f t="shared" si="122"/>
        <v>0</v>
      </c>
    </row>
    <row r="160" spans="1:123" ht="15" customHeight="1" x14ac:dyDescent="0.25">
      <c r="A160" s="1712" t="s">
        <v>340</v>
      </c>
      <c r="B160" s="1713" t="s">
        <v>340</v>
      </c>
      <c r="C160" s="352">
        <f t="shared" si="123"/>
        <v>1</v>
      </c>
      <c r="D160" s="1128">
        <f t="shared" si="115"/>
        <v>0</v>
      </c>
      <c r="E160" s="886">
        <f t="shared" si="116"/>
        <v>1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1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8">
        <f t="shared" si="119"/>
        <v>0</v>
      </c>
      <c r="DQ160" s="1038">
        <f t="shared" si="120"/>
        <v>0</v>
      </c>
      <c r="DR160" s="1038">
        <f t="shared" si="121"/>
        <v>0</v>
      </c>
      <c r="DS160" s="1038">
        <f t="shared" si="122"/>
        <v>0</v>
      </c>
    </row>
    <row r="161" spans="1:123" ht="15" customHeight="1" x14ac:dyDescent="0.25">
      <c r="A161" s="1712" t="s">
        <v>341</v>
      </c>
      <c r="B161" s="1713" t="s">
        <v>341</v>
      </c>
      <c r="C161" s="352">
        <f t="shared" si="123"/>
        <v>45</v>
      </c>
      <c r="D161" s="1128">
        <f t="shared" si="115"/>
        <v>23</v>
      </c>
      <c r="E161" s="886">
        <f t="shared" si="116"/>
        <v>22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1</v>
      </c>
      <c r="T161" s="375">
        <v>1</v>
      </c>
      <c r="U161" s="375">
        <v>2</v>
      </c>
      <c r="V161" s="375">
        <v>2</v>
      </c>
      <c r="W161" s="375">
        <v>3</v>
      </c>
      <c r="X161" s="375">
        <v>2</v>
      </c>
      <c r="Y161" s="375">
        <v>5</v>
      </c>
      <c r="Z161" s="375">
        <v>5</v>
      </c>
      <c r="AA161" s="375">
        <v>0</v>
      </c>
      <c r="AB161" s="375">
        <v>0</v>
      </c>
      <c r="AC161" s="375">
        <v>4</v>
      </c>
      <c r="AD161" s="375">
        <v>2</v>
      </c>
      <c r="AE161" s="375">
        <v>0</v>
      </c>
      <c r="AF161" s="375">
        <v>4</v>
      </c>
      <c r="AG161" s="375">
        <v>0</v>
      </c>
      <c r="AH161" s="375">
        <v>3</v>
      </c>
      <c r="AI161" s="375">
        <v>5</v>
      </c>
      <c r="AJ161" s="375">
        <v>1</v>
      </c>
      <c r="AK161" s="375">
        <v>1</v>
      </c>
      <c r="AL161" s="375">
        <v>2</v>
      </c>
      <c r="AM161" s="375">
        <v>1</v>
      </c>
      <c r="AN161" s="375">
        <v>1</v>
      </c>
      <c r="AO161" s="375">
        <v>0</v>
      </c>
      <c r="AP161" s="375">
        <v>0</v>
      </c>
      <c r="AQ161" s="355">
        <v>0</v>
      </c>
      <c r="AR161" s="357">
        <v>4</v>
      </c>
      <c r="AS161" s="355">
        <v>4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8">
        <f t="shared" si="119"/>
        <v>0</v>
      </c>
      <c r="DQ161" s="1038">
        <f t="shared" si="120"/>
        <v>0</v>
      </c>
      <c r="DR161" s="1038">
        <f t="shared" si="121"/>
        <v>0</v>
      </c>
      <c r="DS161" s="1038">
        <f t="shared" si="122"/>
        <v>0</v>
      </c>
    </row>
    <row r="162" spans="1:123" s="228" customFormat="1" ht="15" customHeight="1" x14ac:dyDescent="0.15">
      <c r="A162" s="1712" t="s">
        <v>342</v>
      </c>
      <c r="B162" s="1713" t="s">
        <v>342</v>
      </c>
      <c r="C162" s="1130">
        <f t="shared" si="123"/>
        <v>1</v>
      </c>
      <c r="D162" s="698">
        <f t="shared" si="115"/>
        <v>1</v>
      </c>
      <c r="E162" s="887">
        <f t="shared" si="116"/>
        <v>0</v>
      </c>
      <c r="F162" s="884">
        <v>0</v>
      </c>
      <c r="G162" s="749">
        <v>0</v>
      </c>
      <c r="H162" s="749">
        <v>0</v>
      </c>
      <c r="I162" s="749">
        <v>0</v>
      </c>
      <c r="J162" s="749">
        <v>0</v>
      </c>
      <c r="K162" s="749">
        <v>0</v>
      </c>
      <c r="L162" s="749">
        <v>0</v>
      </c>
      <c r="M162" s="749">
        <v>0</v>
      </c>
      <c r="N162" s="749">
        <v>0</v>
      </c>
      <c r="O162" s="749">
        <v>0</v>
      </c>
      <c r="P162" s="749">
        <v>0</v>
      </c>
      <c r="Q162" s="749">
        <v>0</v>
      </c>
      <c r="R162" s="749">
        <v>0</v>
      </c>
      <c r="S162" s="749">
        <v>0</v>
      </c>
      <c r="T162" s="749">
        <v>0</v>
      </c>
      <c r="U162" s="749">
        <v>0</v>
      </c>
      <c r="V162" s="749">
        <v>0</v>
      </c>
      <c r="W162" s="749">
        <v>0</v>
      </c>
      <c r="X162" s="749">
        <v>0</v>
      </c>
      <c r="Y162" s="749">
        <v>0</v>
      </c>
      <c r="Z162" s="749">
        <v>0</v>
      </c>
      <c r="AA162" s="749">
        <v>0</v>
      </c>
      <c r="AB162" s="749">
        <v>0</v>
      </c>
      <c r="AC162" s="749">
        <v>0</v>
      </c>
      <c r="AD162" s="749">
        <v>1</v>
      </c>
      <c r="AE162" s="749">
        <v>0</v>
      </c>
      <c r="AF162" s="749">
        <v>0</v>
      </c>
      <c r="AG162" s="749">
        <v>0</v>
      </c>
      <c r="AH162" s="749">
        <v>0</v>
      </c>
      <c r="AI162" s="749">
        <v>0</v>
      </c>
      <c r="AJ162" s="749">
        <v>0</v>
      </c>
      <c r="AK162" s="749">
        <v>0</v>
      </c>
      <c r="AL162" s="749">
        <v>0</v>
      </c>
      <c r="AM162" s="749">
        <v>0</v>
      </c>
      <c r="AN162" s="749">
        <v>0</v>
      </c>
      <c r="AO162" s="749">
        <v>0</v>
      </c>
      <c r="AP162" s="749">
        <v>0</v>
      </c>
      <c r="AQ162" s="802">
        <v>0</v>
      </c>
      <c r="AR162" s="750">
        <v>1</v>
      </c>
      <c r="AS162" s="802">
        <v>0</v>
      </c>
      <c r="AT162" s="932">
        <v>0</v>
      </c>
      <c r="AU162" s="751">
        <v>0</v>
      </c>
      <c r="AV162" s="109" t="str">
        <f t="shared" si="124"/>
        <v/>
      </c>
      <c r="AW162" s="752"/>
      <c r="AX162" s="752"/>
      <c r="AY162" s="752"/>
      <c r="AZ162" s="752"/>
      <c r="BA162" s="803"/>
      <c r="BB162" s="803"/>
      <c r="BC162" s="803"/>
      <c r="BD162" s="803"/>
      <c r="BE162" s="803"/>
      <c r="BF162" s="803"/>
      <c r="BG162" s="803"/>
      <c r="BH162" s="803"/>
      <c r="BI162" s="803"/>
      <c r="BJ162" s="803"/>
      <c r="BK162" s="803"/>
      <c r="BL162" s="803"/>
      <c r="BM162" s="803"/>
      <c r="BN162" s="803"/>
      <c r="BO162" s="803"/>
      <c r="BP162" s="803"/>
      <c r="BQ162" s="803"/>
      <c r="BR162" s="803"/>
      <c r="BS162" s="803"/>
      <c r="BT162" s="803"/>
      <c r="BU162" s="803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8">
        <f t="shared" si="119"/>
        <v>0</v>
      </c>
      <c r="DQ162" s="1038">
        <f t="shared" si="120"/>
        <v>0</v>
      </c>
      <c r="DR162" s="1038">
        <f t="shared" si="121"/>
        <v>0</v>
      </c>
      <c r="DS162" s="1038">
        <f t="shared" si="122"/>
        <v>0</v>
      </c>
    </row>
    <row r="163" spans="1:123" ht="15" customHeight="1" x14ac:dyDescent="0.25">
      <c r="A163" s="1712" t="s">
        <v>343</v>
      </c>
      <c r="B163" s="1713"/>
      <c r="C163" s="1130">
        <f t="shared" ref="C163:C168" si="127">SUM(D163:E163)</f>
        <v>19</v>
      </c>
      <c r="D163" s="1128">
        <f t="shared" ref="D163:D190" si="128">+F163+H163+J163+L163+N163+P163+R163+T163+V163+X163+Z163+AB163+AD163+AF163+AH163+AN163+AP163+AJ163+AL163</f>
        <v>12</v>
      </c>
      <c r="E163" s="886">
        <f t="shared" ref="E163:E188" si="129">+G163+I163+K163+M163+O163+Q163+S163+U163+W163+Y163+AA163+AC163+AE163+AG163+AI163+AO163+AQ163+AK163+AM163</f>
        <v>7</v>
      </c>
      <c r="F163" s="356">
        <v>0</v>
      </c>
      <c r="G163" s="375">
        <v>0</v>
      </c>
      <c r="H163" s="375">
        <v>0</v>
      </c>
      <c r="I163" s="375">
        <v>0</v>
      </c>
      <c r="J163" s="375">
        <v>0</v>
      </c>
      <c r="K163" s="375">
        <v>0</v>
      </c>
      <c r="L163" s="375">
        <v>2</v>
      </c>
      <c r="M163" s="375">
        <v>1</v>
      </c>
      <c r="N163" s="375">
        <v>0</v>
      </c>
      <c r="O163" s="375">
        <v>0</v>
      </c>
      <c r="P163" s="375">
        <v>1</v>
      </c>
      <c r="Q163" s="375">
        <v>0</v>
      </c>
      <c r="R163" s="375">
        <v>1</v>
      </c>
      <c r="S163" s="375">
        <v>0</v>
      </c>
      <c r="T163" s="375">
        <v>6</v>
      </c>
      <c r="U163" s="375">
        <v>3</v>
      </c>
      <c r="V163" s="375">
        <v>2</v>
      </c>
      <c r="W163" s="375">
        <v>0</v>
      </c>
      <c r="X163" s="375">
        <v>0</v>
      </c>
      <c r="Y163" s="375">
        <v>2</v>
      </c>
      <c r="Z163" s="375">
        <v>0</v>
      </c>
      <c r="AA163" s="375">
        <v>1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1</v>
      </c>
      <c r="AS163" s="355">
        <v>3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8">
        <f t="shared" si="119"/>
        <v>0</v>
      </c>
      <c r="DQ163" s="1038">
        <f t="shared" si="120"/>
        <v>0</v>
      </c>
      <c r="DR163" s="1038">
        <f t="shared" si="121"/>
        <v>0</v>
      </c>
      <c r="DS163" s="1038">
        <f t="shared" si="122"/>
        <v>0</v>
      </c>
    </row>
    <row r="164" spans="1:123" s="228" customFormat="1" ht="15" customHeight="1" x14ac:dyDescent="0.15">
      <c r="A164" s="1712" t="s">
        <v>344</v>
      </c>
      <c r="B164" s="1713" t="s">
        <v>344</v>
      </c>
      <c r="C164" s="1130">
        <f t="shared" si="127"/>
        <v>1</v>
      </c>
      <c r="D164" s="698">
        <f t="shared" ref="D164:E168" si="130">+F164+H164+J164+L164+N164+P164+R164+T164+V164+X164+Z164+AB164+AD164+AF164+AH164+AN164+AP164+AJ164+AL164</f>
        <v>0</v>
      </c>
      <c r="E164" s="887">
        <f t="shared" si="130"/>
        <v>1</v>
      </c>
      <c r="F164" s="884">
        <v>0</v>
      </c>
      <c r="G164" s="749">
        <v>0</v>
      </c>
      <c r="H164" s="749">
        <v>0</v>
      </c>
      <c r="I164" s="749">
        <v>0</v>
      </c>
      <c r="J164" s="749">
        <v>0</v>
      </c>
      <c r="K164" s="749">
        <v>0</v>
      </c>
      <c r="L164" s="749">
        <v>0</v>
      </c>
      <c r="M164" s="749">
        <v>0</v>
      </c>
      <c r="N164" s="749">
        <v>0</v>
      </c>
      <c r="O164" s="749">
        <v>0</v>
      </c>
      <c r="P164" s="749">
        <v>0</v>
      </c>
      <c r="Q164" s="749">
        <v>0</v>
      </c>
      <c r="R164" s="749">
        <v>0</v>
      </c>
      <c r="S164" s="749">
        <v>0</v>
      </c>
      <c r="T164" s="749">
        <v>0</v>
      </c>
      <c r="U164" s="749">
        <v>0</v>
      </c>
      <c r="V164" s="749">
        <v>0</v>
      </c>
      <c r="W164" s="749">
        <v>0</v>
      </c>
      <c r="X164" s="749">
        <v>0</v>
      </c>
      <c r="Y164" s="749">
        <v>0</v>
      </c>
      <c r="Z164" s="749">
        <v>0</v>
      </c>
      <c r="AA164" s="749">
        <v>0</v>
      </c>
      <c r="AB164" s="749">
        <v>0</v>
      </c>
      <c r="AC164" s="749">
        <v>0</v>
      </c>
      <c r="AD164" s="749">
        <v>0</v>
      </c>
      <c r="AE164" s="749">
        <v>0</v>
      </c>
      <c r="AF164" s="749">
        <v>0</v>
      </c>
      <c r="AG164" s="749">
        <v>0</v>
      </c>
      <c r="AH164" s="749">
        <v>0</v>
      </c>
      <c r="AI164" s="749">
        <v>1</v>
      </c>
      <c r="AJ164" s="749">
        <v>0</v>
      </c>
      <c r="AK164" s="749">
        <v>0</v>
      </c>
      <c r="AL164" s="749">
        <v>0</v>
      </c>
      <c r="AM164" s="749">
        <v>0</v>
      </c>
      <c r="AN164" s="749">
        <v>0</v>
      </c>
      <c r="AO164" s="749">
        <v>0</v>
      </c>
      <c r="AP164" s="749">
        <v>0</v>
      </c>
      <c r="AQ164" s="802">
        <v>0</v>
      </c>
      <c r="AR164" s="750">
        <v>0</v>
      </c>
      <c r="AS164" s="802">
        <v>0</v>
      </c>
      <c r="AT164" s="932">
        <v>0</v>
      </c>
      <c r="AU164" s="751">
        <v>0</v>
      </c>
      <c r="AV164" s="109" t="str">
        <f t="shared" si="124"/>
        <v/>
      </c>
      <c r="AW164" s="752"/>
      <c r="AX164" s="752"/>
      <c r="AY164" s="752"/>
      <c r="AZ164" s="752"/>
      <c r="BA164" s="803"/>
      <c r="BB164" s="803"/>
      <c r="BC164" s="803"/>
      <c r="BD164" s="803"/>
      <c r="BE164" s="803"/>
      <c r="BF164" s="803"/>
      <c r="BG164" s="803"/>
      <c r="BH164" s="803"/>
      <c r="BI164" s="803"/>
      <c r="BJ164" s="803"/>
      <c r="BK164" s="803"/>
      <c r="BL164" s="803"/>
      <c r="BM164" s="803"/>
      <c r="BN164" s="803"/>
      <c r="BO164" s="803"/>
      <c r="BP164" s="803"/>
      <c r="BQ164" s="803"/>
      <c r="BR164" s="803"/>
      <c r="BS164" s="803"/>
      <c r="BT164" s="803"/>
      <c r="BU164" s="803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8">
        <f t="shared" si="119"/>
        <v>0</v>
      </c>
      <c r="DQ164" s="1038">
        <f t="shared" si="120"/>
        <v>0</v>
      </c>
      <c r="DR164" s="1038">
        <f t="shared" si="121"/>
        <v>0</v>
      </c>
      <c r="DS164" s="1038">
        <f t="shared" si="122"/>
        <v>0</v>
      </c>
    </row>
    <row r="165" spans="1:123" ht="15" customHeight="1" x14ac:dyDescent="0.25">
      <c r="A165" s="1712" t="s">
        <v>345</v>
      </c>
      <c r="B165" s="1713" t="s">
        <v>345</v>
      </c>
      <c r="C165" s="352">
        <f t="shared" si="127"/>
        <v>0</v>
      </c>
      <c r="D165" s="1128">
        <f t="shared" si="130"/>
        <v>0</v>
      </c>
      <c r="E165" s="886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8">
        <f t="shared" si="119"/>
        <v>0</v>
      </c>
      <c r="DQ165" s="1038">
        <f t="shared" si="120"/>
        <v>0</v>
      </c>
      <c r="DR165" s="1038">
        <f t="shared" si="121"/>
        <v>0</v>
      </c>
      <c r="DS165" s="1038">
        <f t="shared" si="122"/>
        <v>0</v>
      </c>
    </row>
    <row r="166" spans="1:123" ht="15" customHeight="1" x14ac:dyDescent="0.25">
      <c r="A166" s="1712" t="s">
        <v>346</v>
      </c>
      <c r="B166" s="1713" t="s">
        <v>346</v>
      </c>
      <c r="C166" s="352">
        <f t="shared" si="127"/>
        <v>0</v>
      </c>
      <c r="D166" s="1128">
        <f t="shared" si="130"/>
        <v>0</v>
      </c>
      <c r="E166" s="886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8">
        <f t="shared" si="119"/>
        <v>0</v>
      </c>
      <c r="DQ166" s="1038">
        <f t="shared" si="120"/>
        <v>0</v>
      </c>
      <c r="DR166" s="1038">
        <f t="shared" si="121"/>
        <v>0</v>
      </c>
      <c r="DS166" s="1038">
        <f t="shared" si="122"/>
        <v>0</v>
      </c>
    </row>
    <row r="167" spans="1:123" s="228" customFormat="1" ht="15" customHeight="1" x14ac:dyDescent="0.15">
      <c r="A167" s="1712" t="s">
        <v>347</v>
      </c>
      <c r="B167" s="1713" t="s">
        <v>347</v>
      </c>
      <c r="C167" s="1130">
        <f t="shared" si="127"/>
        <v>8</v>
      </c>
      <c r="D167" s="698">
        <f t="shared" si="130"/>
        <v>5</v>
      </c>
      <c r="E167" s="887">
        <f t="shared" si="130"/>
        <v>3</v>
      </c>
      <c r="F167" s="884">
        <v>0</v>
      </c>
      <c r="G167" s="749">
        <v>0</v>
      </c>
      <c r="H167" s="749">
        <v>0</v>
      </c>
      <c r="I167" s="749">
        <v>0</v>
      </c>
      <c r="J167" s="749">
        <v>0</v>
      </c>
      <c r="K167" s="749">
        <v>0</v>
      </c>
      <c r="L167" s="749">
        <v>0</v>
      </c>
      <c r="M167" s="749">
        <v>0</v>
      </c>
      <c r="N167" s="749">
        <v>0</v>
      </c>
      <c r="O167" s="749">
        <v>0</v>
      </c>
      <c r="P167" s="749">
        <v>0</v>
      </c>
      <c r="Q167" s="749">
        <v>0</v>
      </c>
      <c r="R167" s="749">
        <v>0</v>
      </c>
      <c r="S167" s="749">
        <v>0</v>
      </c>
      <c r="T167" s="749">
        <v>0</v>
      </c>
      <c r="U167" s="749">
        <v>0</v>
      </c>
      <c r="V167" s="749">
        <v>1</v>
      </c>
      <c r="W167" s="749">
        <v>0</v>
      </c>
      <c r="X167" s="749">
        <v>2</v>
      </c>
      <c r="Y167" s="749">
        <v>1</v>
      </c>
      <c r="Z167" s="749">
        <v>0</v>
      </c>
      <c r="AA167" s="749">
        <v>1</v>
      </c>
      <c r="AB167" s="749">
        <v>0</v>
      </c>
      <c r="AC167" s="749">
        <v>1</v>
      </c>
      <c r="AD167" s="749">
        <v>0</v>
      </c>
      <c r="AE167" s="749">
        <v>0</v>
      </c>
      <c r="AF167" s="749">
        <v>1</v>
      </c>
      <c r="AG167" s="749">
        <v>0</v>
      </c>
      <c r="AH167" s="749">
        <v>0</v>
      </c>
      <c r="AI167" s="749">
        <v>0</v>
      </c>
      <c r="AJ167" s="749">
        <v>0</v>
      </c>
      <c r="AK167" s="749">
        <v>0</v>
      </c>
      <c r="AL167" s="749">
        <v>1</v>
      </c>
      <c r="AM167" s="749">
        <v>0</v>
      </c>
      <c r="AN167" s="749">
        <v>0</v>
      </c>
      <c r="AO167" s="749">
        <v>0</v>
      </c>
      <c r="AP167" s="749">
        <v>0</v>
      </c>
      <c r="AQ167" s="802">
        <v>0</v>
      </c>
      <c r="AR167" s="750">
        <v>2</v>
      </c>
      <c r="AS167" s="802">
        <v>0</v>
      </c>
      <c r="AT167" s="932">
        <v>0</v>
      </c>
      <c r="AU167" s="751">
        <v>0</v>
      </c>
      <c r="AV167" s="109" t="str">
        <f t="shared" si="124"/>
        <v/>
      </c>
      <c r="AW167" s="752"/>
      <c r="AX167" s="752"/>
      <c r="AY167" s="752"/>
      <c r="AZ167" s="752"/>
      <c r="BA167" s="803"/>
      <c r="BB167" s="803"/>
      <c r="BC167" s="803"/>
      <c r="BD167" s="803"/>
      <c r="BE167" s="803"/>
      <c r="BF167" s="803"/>
      <c r="BG167" s="803"/>
      <c r="BH167" s="803"/>
      <c r="BI167" s="803"/>
      <c r="BJ167" s="803"/>
      <c r="BK167" s="803"/>
      <c r="BL167" s="803"/>
      <c r="BM167" s="803"/>
      <c r="BN167" s="803"/>
      <c r="BO167" s="803"/>
      <c r="BP167" s="803"/>
      <c r="BQ167" s="803"/>
      <c r="BR167" s="803"/>
      <c r="BS167" s="803"/>
      <c r="BT167" s="803"/>
      <c r="BU167" s="803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8">
        <f t="shared" si="119"/>
        <v>0</v>
      </c>
      <c r="DQ167" s="1038">
        <f t="shared" si="120"/>
        <v>0</v>
      </c>
      <c r="DR167" s="1038">
        <f t="shared" si="121"/>
        <v>0</v>
      </c>
      <c r="DS167" s="1038">
        <f t="shared" si="122"/>
        <v>0</v>
      </c>
    </row>
    <row r="168" spans="1:123" s="228" customFormat="1" ht="15" customHeight="1" x14ac:dyDescent="0.15">
      <c r="A168" s="1712" t="s">
        <v>348</v>
      </c>
      <c r="B168" s="1713" t="s">
        <v>348</v>
      </c>
      <c r="C168" s="1130">
        <f t="shared" si="127"/>
        <v>1</v>
      </c>
      <c r="D168" s="698">
        <f t="shared" si="130"/>
        <v>0</v>
      </c>
      <c r="E168" s="887">
        <f t="shared" si="130"/>
        <v>1</v>
      </c>
      <c r="F168" s="884">
        <v>0</v>
      </c>
      <c r="G168" s="749">
        <v>0</v>
      </c>
      <c r="H168" s="749">
        <v>0</v>
      </c>
      <c r="I168" s="749">
        <v>0</v>
      </c>
      <c r="J168" s="749">
        <v>0</v>
      </c>
      <c r="K168" s="749">
        <v>0</v>
      </c>
      <c r="L168" s="749">
        <v>0</v>
      </c>
      <c r="M168" s="749">
        <v>0</v>
      </c>
      <c r="N168" s="749">
        <v>0</v>
      </c>
      <c r="O168" s="749">
        <v>0</v>
      </c>
      <c r="P168" s="749">
        <v>0</v>
      </c>
      <c r="Q168" s="749">
        <v>0</v>
      </c>
      <c r="R168" s="749">
        <v>0</v>
      </c>
      <c r="S168" s="749">
        <v>0</v>
      </c>
      <c r="T168" s="749">
        <v>0</v>
      </c>
      <c r="U168" s="749">
        <v>0</v>
      </c>
      <c r="V168" s="749">
        <v>0</v>
      </c>
      <c r="W168" s="749">
        <v>0</v>
      </c>
      <c r="X168" s="749">
        <v>0</v>
      </c>
      <c r="Y168" s="749">
        <v>0</v>
      </c>
      <c r="Z168" s="749">
        <v>0</v>
      </c>
      <c r="AA168" s="749">
        <v>0</v>
      </c>
      <c r="AB168" s="749">
        <v>0</v>
      </c>
      <c r="AC168" s="749">
        <v>0</v>
      </c>
      <c r="AD168" s="749">
        <v>0</v>
      </c>
      <c r="AE168" s="749">
        <v>0</v>
      </c>
      <c r="AF168" s="749">
        <v>0</v>
      </c>
      <c r="AG168" s="749">
        <v>0</v>
      </c>
      <c r="AH168" s="749">
        <v>0</v>
      </c>
      <c r="AI168" s="749">
        <v>1</v>
      </c>
      <c r="AJ168" s="749">
        <v>0</v>
      </c>
      <c r="AK168" s="749">
        <v>0</v>
      </c>
      <c r="AL168" s="749">
        <v>0</v>
      </c>
      <c r="AM168" s="749">
        <v>0</v>
      </c>
      <c r="AN168" s="749">
        <v>0</v>
      </c>
      <c r="AO168" s="749">
        <v>0</v>
      </c>
      <c r="AP168" s="749">
        <v>0</v>
      </c>
      <c r="AQ168" s="802">
        <v>0</v>
      </c>
      <c r="AR168" s="750">
        <v>0</v>
      </c>
      <c r="AS168" s="802">
        <v>0</v>
      </c>
      <c r="AT168" s="932">
        <v>0</v>
      </c>
      <c r="AU168" s="751">
        <v>0</v>
      </c>
      <c r="AV168" s="109" t="str">
        <f t="shared" si="124"/>
        <v/>
      </c>
      <c r="AW168" s="752"/>
      <c r="AX168" s="752"/>
      <c r="AY168" s="752"/>
      <c r="AZ168" s="752"/>
      <c r="BA168" s="803"/>
      <c r="BB168" s="803"/>
      <c r="BC168" s="803"/>
      <c r="BD168" s="803"/>
      <c r="BE168" s="803"/>
      <c r="BF168" s="803"/>
      <c r="BG168" s="803"/>
      <c r="BH168" s="803"/>
      <c r="BI168" s="803"/>
      <c r="BJ168" s="803"/>
      <c r="BK168" s="803"/>
      <c r="BL168" s="803"/>
      <c r="BM168" s="803"/>
      <c r="BN168" s="803"/>
      <c r="BO168" s="803"/>
      <c r="BP168" s="803"/>
      <c r="BQ168" s="803"/>
      <c r="BR168" s="803"/>
      <c r="BS168" s="803"/>
      <c r="BT168" s="803"/>
      <c r="BU168" s="803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8">
        <f t="shared" si="119"/>
        <v>0</v>
      </c>
      <c r="DQ168" s="1038">
        <f t="shared" si="120"/>
        <v>0</v>
      </c>
      <c r="DR168" s="1038">
        <f t="shared" si="121"/>
        <v>0</v>
      </c>
      <c r="DS168" s="1038">
        <f t="shared" si="122"/>
        <v>0</v>
      </c>
    </row>
    <row r="169" spans="1:123" ht="15" customHeight="1" x14ac:dyDescent="0.25">
      <c r="A169" s="1712" t="s">
        <v>349</v>
      </c>
      <c r="B169" s="1713" t="s">
        <v>349</v>
      </c>
      <c r="C169" s="352">
        <f t="shared" ref="C169:C190" si="131">SUM(D169:E169)</f>
        <v>3</v>
      </c>
      <c r="D169" s="1128">
        <f t="shared" si="128"/>
        <v>2</v>
      </c>
      <c r="E169" s="886">
        <f t="shared" si="129"/>
        <v>1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1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2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8">
        <f t="shared" si="119"/>
        <v>0</v>
      </c>
      <c r="DQ169" s="1038">
        <f t="shared" si="120"/>
        <v>0</v>
      </c>
      <c r="DR169" s="1038">
        <f t="shared" si="121"/>
        <v>0</v>
      </c>
      <c r="DS169" s="1038">
        <f t="shared" si="122"/>
        <v>0</v>
      </c>
    </row>
    <row r="170" spans="1:123" ht="15" customHeight="1" x14ac:dyDescent="0.25">
      <c r="A170" s="1712" t="s">
        <v>350</v>
      </c>
      <c r="B170" s="1713" t="s">
        <v>350</v>
      </c>
      <c r="C170" s="352">
        <f t="shared" si="131"/>
        <v>1</v>
      </c>
      <c r="D170" s="1128">
        <f t="shared" si="128"/>
        <v>0</v>
      </c>
      <c r="E170" s="886">
        <f t="shared" si="129"/>
        <v>1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1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8">
        <f t="shared" si="119"/>
        <v>0</v>
      </c>
      <c r="DQ170" s="1038">
        <f t="shared" si="120"/>
        <v>0</v>
      </c>
      <c r="DR170" s="1038">
        <f t="shared" si="121"/>
        <v>0</v>
      </c>
      <c r="DS170" s="1038">
        <f t="shared" si="122"/>
        <v>0</v>
      </c>
    </row>
    <row r="171" spans="1:123" ht="15" customHeight="1" x14ac:dyDescent="0.25">
      <c r="A171" s="1712" t="s">
        <v>351</v>
      </c>
      <c r="B171" s="1713" t="s">
        <v>351</v>
      </c>
      <c r="C171" s="352">
        <f t="shared" si="131"/>
        <v>0</v>
      </c>
      <c r="D171" s="1128">
        <f t="shared" si="128"/>
        <v>0</v>
      </c>
      <c r="E171" s="886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8">
        <f t="shared" si="119"/>
        <v>0</v>
      </c>
      <c r="DQ171" s="1038">
        <f t="shared" si="120"/>
        <v>0</v>
      </c>
      <c r="DR171" s="1038">
        <f t="shared" si="121"/>
        <v>0</v>
      </c>
      <c r="DS171" s="1038">
        <f t="shared" si="122"/>
        <v>0</v>
      </c>
    </row>
    <row r="172" spans="1:123" ht="15" customHeight="1" x14ac:dyDescent="0.25">
      <c r="A172" s="1712" t="s">
        <v>352</v>
      </c>
      <c r="B172" s="1713" t="s">
        <v>352</v>
      </c>
      <c r="C172" s="352">
        <f t="shared" ref="C172:C178" si="132">SUM(D172:E172)</f>
        <v>5</v>
      </c>
      <c r="D172" s="1128">
        <f t="shared" ref="D172:E178" si="133">+F172+H172+J172+L172+N172+P172+R172+T172+V172+X172+Z172+AB172+AD172+AF172+AH172+AN172+AP172+AJ172+AL172</f>
        <v>2</v>
      </c>
      <c r="E172" s="886">
        <f t="shared" si="133"/>
        <v>3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1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1</v>
      </c>
      <c r="AI172" s="375">
        <v>1</v>
      </c>
      <c r="AJ172" s="375">
        <v>0</v>
      </c>
      <c r="AK172" s="375">
        <v>2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3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8">
        <f t="shared" si="119"/>
        <v>0</v>
      </c>
      <c r="DQ172" s="1038">
        <f t="shared" si="120"/>
        <v>0</v>
      </c>
      <c r="DR172" s="1038">
        <f t="shared" si="121"/>
        <v>0</v>
      </c>
      <c r="DS172" s="1038">
        <f t="shared" si="122"/>
        <v>0</v>
      </c>
    </row>
    <row r="173" spans="1:123" ht="15" customHeight="1" x14ac:dyDescent="0.25">
      <c r="A173" s="1712" t="s">
        <v>353</v>
      </c>
      <c r="B173" s="1713" t="s">
        <v>353</v>
      </c>
      <c r="C173" s="352">
        <f t="shared" si="132"/>
        <v>1</v>
      </c>
      <c r="D173" s="1128">
        <f t="shared" si="133"/>
        <v>1</v>
      </c>
      <c r="E173" s="886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1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8">
        <f t="shared" si="119"/>
        <v>0</v>
      </c>
      <c r="DQ173" s="1038">
        <f t="shared" si="120"/>
        <v>0</v>
      </c>
      <c r="DR173" s="1038">
        <f t="shared" si="121"/>
        <v>0</v>
      </c>
      <c r="DS173" s="1038">
        <f t="shared" si="122"/>
        <v>0</v>
      </c>
    </row>
    <row r="174" spans="1:123" ht="15" customHeight="1" x14ac:dyDescent="0.25">
      <c r="A174" s="1712" t="s">
        <v>354</v>
      </c>
      <c r="B174" s="1713" t="s">
        <v>354</v>
      </c>
      <c r="C174" s="352">
        <f t="shared" si="132"/>
        <v>0</v>
      </c>
      <c r="D174" s="1128">
        <f t="shared" si="133"/>
        <v>0</v>
      </c>
      <c r="E174" s="886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8">
        <f t="shared" si="119"/>
        <v>0</v>
      </c>
      <c r="DQ174" s="1038">
        <f t="shared" si="120"/>
        <v>0</v>
      </c>
      <c r="DR174" s="1038">
        <f t="shared" si="121"/>
        <v>0</v>
      </c>
      <c r="DS174" s="1038">
        <f t="shared" si="122"/>
        <v>0</v>
      </c>
    </row>
    <row r="175" spans="1:123" ht="15" customHeight="1" x14ac:dyDescent="0.25">
      <c r="A175" s="1712" t="s">
        <v>355</v>
      </c>
      <c r="B175" s="1713" t="s">
        <v>355</v>
      </c>
      <c r="C175" s="352">
        <f t="shared" si="132"/>
        <v>22</v>
      </c>
      <c r="D175" s="1128">
        <f t="shared" si="133"/>
        <v>12</v>
      </c>
      <c r="E175" s="886">
        <f t="shared" si="133"/>
        <v>10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1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1</v>
      </c>
      <c r="U175" s="375">
        <v>1</v>
      </c>
      <c r="V175" s="375">
        <v>0</v>
      </c>
      <c r="W175" s="375">
        <v>0</v>
      </c>
      <c r="X175" s="375">
        <v>0</v>
      </c>
      <c r="Y175" s="375">
        <v>0</v>
      </c>
      <c r="Z175" s="375">
        <v>2</v>
      </c>
      <c r="AA175" s="375">
        <v>1</v>
      </c>
      <c r="AB175" s="375">
        <v>2</v>
      </c>
      <c r="AC175" s="375">
        <v>1</v>
      </c>
      <c r="AD175" s="375">
        <v>0</v>
      </c>
      <c r="AE175" s="375">
        <v>0</v>
      </c>
      <c r="AF175" s="375">
        <v>1</v>
      </c>
      <c r="AG175" s="375">
        <v>0</v>
      </c>
      <c r="AH175" s="375">
        <v>1</v>
      </c>
      <c r="AI175" s="375">
        <v>3</v>
      </c>
      <c r="AJ175" s="375">
        <v>1</v>
      </c>
      <c r="AK175" s="375">
        <v>2</v>
      </c>
      <c r="AL175" s="375">
        <v>3</v>
      </c>
      <c r="AM175" s="375">
        <v>1</v>
      </c>
      <c r="AN175" s="375">
        <v>0</v>
      </c>
      <c r="AO175" s="375">
        <v>0</v>
      </c>
      <c r="AP175" s="375">
        <v>0</v>
      </c>
      <c r="AQ175" s="355">
        <v>1</v>
      </c>
      <c r="AR175" s="357">
        <v>2</v>
      </c>
      <c r="AS175" s="355">
        <v>1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8">
        <f t="shared" si="119"/>
        <v>0</v>
      </c>
      <c r="DQ175" s="1038">
        <f t="shared" si="120"/>
        <v>0</v>
      </c>
      <c r="DR175" s="1038">
        <f t="shared" si="121"/>
        <v>0</v>
      </c>
      <c r="DS175" s="1038">
        <f t="shared" si="122"/>
        <v>0</v>
      </c>
    </row>
    <row r="176" spans="1:123" ht="15" customHeight="1" x14ac:dyDescent="0.25">
      <c r="A176" s="1712" t="s">
        <v>356</v>
      </c>
      <c r="B176" s="1713"/>
      <c r="C176" s="337">
        <f t="shared" si="132"/>
        <v>0</v>
      </c>
      <c r="D176" s="1127">
        <f t="shared" si="133"/>
        <v>0</v>
      </c>
      <c r="E176" s="885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8">
        <f t="shared" si="119"/>
        <v>0</v>
      </c>
      <c r="DQ176" s="1038">
        <f t="shared" si="120"/>
        <v>0</v>
      </c>
      <c r="DR176" s="1038">
        <f t="shared" si="121"/>
        <v>0</v>
      </c>
      <c r="DS176" s="1038">
        <f t="shared" si="122"/>
        <v>0</v>
      </c>
    </row>
    <row r="177" spans="1:123" ht="15" customHeight="1" x14ac:dyDescent="0.25">
      <c r="A177" s="1712" t="s">
        <v>357</v>
      </c>
      <c r="B177" s="1713" t="s">
        <v>357</v>
      </c>
      <c r="C177" s="352">
        <f t="shared" si="132"/>
        <v>0</v>
      </c>
      <c r="D177" s="1128">
        <f t="shared" si="133"/>
        <v>0</v>
      </c>
      <c r="E177" s="886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8">
        <f t="shared" si="119"/>
        <v>0</v>
      </c>
      <c r="DQ177" s="1038">
        <f t="shared" si="120"/>
        <v>0</v>
      </c>
      <c r="DR177" s="1038">
        <f t="shared" si="121"/>
        <v>0</v>
      </c>
      <c r="DS177" s="1038">
        <f t="shared" si="122"/>
        <v>0</v>
      </c>
    </row>
    <row r="178" spans="1:123" ht="15" customHeight="1" x14ac:dyDescent="0.25">
      <c r="A178" s="1712" t="s">
        <v>358</v>
      </c>
      <c r="B178" s="1713" t="s">
        <v>358</v>
      </c>
      <c r="C178" s="352">
        <f t="shared" si="132"/>
        <v>0</v>
      </c>
      <c r="D178" s="1128">
        <f t="shared" si="133"/>
        <v>0</v>
      </c>
      <c r="E178" s="886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8">
        <f t="shared" si="119"/>
        <v>0</v>
      </c>
      <c r="DQ178" s="1038">
        <f t="shared" si="120"/>
        <v>0</v>
      </c>
      <c r="DR178" s="1038">
        <f t="shared" si="121"/>
        <v>0</v>
      </c>
      <c r="DS178" s="1038">
        <f t="shared" si="122"/>
        <v>0</v>
      </c>
    </row>
    <row r="179" spans="1:123" ht="15" customHeight="1" x14ac:dyDescent="0.25">
      <c r="A179" s="1712" t="s">
        <v>359</v>
      </c>
      <c r="B179" s="1713"/>
      <c r="C179" s="352">
        <f t="shared" si="131"/>
        <v>0</v>
      </c>
      <c r="D179" s="1128">
        <f t="shared" si="128"/>
        <v>0</v>
      </c>
      <c r="E179" s="886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8">
        <f t="shared" si="119"/>
        <v>0</v>
      </c>
      <c r="DQ179" s="1038">
        <f t="shared" si="120"/>
        <v>0</v>
      </c>
      <c r="DR179" s="1038">
        <f t="shared" si="121"/>
        <v>0</v>
      </c>
      <c r="DS179" s="1038">
        <f t="shared" si="122"/>
        <v>0</v>
      </c>
    </row>
    <row r="180" spans="1:123" ht="15" customHeight="1" x14ac:dyDescent="0.25">
      <c r="A180" s="1712" t="s">
        <v>360</v>
      </c>
      <c r="B180" s="1713" t="s">
        <v>360</v>
      </c>
      <c r="C180" s="352">
        <f t="shared" si="131"/>
        <v>14</v>
      </c>
      <c r="D180" s="1128">
        <f t="shared" si="128"/>
        <v>8</v>
      </c>
      <c r="E180" s="886">
        <f t="shared" si="129"/>
        <v>6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0</v>
      </c>
      <c r="AG180" s="375">
        <v>0</v>
      </c>
      <c r="AH180" s="375">
        <v>1</v>
      </c>
      <c r="AI180" s="375">
        <v>2</v>
      </c>
      <c r="AJ180" s="375">
        <v>1</v>
      </c>
      <c r="AK180" s="375">
        <v>0</v>
      </c>
      <c r="AL180" s="375">
        <v>2</v>
      </c>
      <c r="AM180" s="375">
        <v>1</v>
      </c>
      <c r="AN180" s="375">
        <v>3</v>
      </c>
      <c r="AO180" s="375">
        <v>2</v>
      </c>
      <c r="AP180" s="375">
        <v>1</v>
      </c>
      <c r="AQ180" s="355">
        <v>1</v>
      </c>
      <c r="AR180" s="357">
        <v>1</v>
      </c>
      <c r="AS180" s="355">
        <v>1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8">
        <f t="shared" si="119"/>
        <v>0</v>
      </c>
      <c r="DQ180" s="1038">
        <f t="shared" si="120"/>
        <v>0</v>
      </c>
      <c r="DR180" s="1038">
        <f t="shared" si="121"/>
        <v>0</v>
      </c>
      <c r="DS180" s="1038">
        <f t="shared" si="122"/>
        <v>0</v>
      </c>
    </row>
    <row r="181" spans="1:123" ht="15" customHeight="1" x14ac:dyDescent="0.25">
      <c r="A181" s="1712" t="s">
        <v>361</v>
      </c>
      <c r="B181" s="1713" t="s">
        <v>361</v>
      </c>
      <c r="C181" s="352">
        <f t="shared" si="131"/>
        <v>14</v>
      </c>
      <c r="D181" s="1128">
        <f t="shared" si="128"/>
        <v>9</v>
      </c>
      <c r="E181" s="886">
        <f t="shared" si="129"/>
        <v>5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1</v>
      </c>
      <c r="V181" s="375">
        <v>0</v>
      </c>
      <c r="W181" s="375">
        <v>1</v>
      </c>
      <c r="X181" s="375">
        <v>3</v>
      </c>
      <c r="Y181" s="375">
        <v>0</v>
      </c>
      <c r="Z181" s="375">
        <v>3</v>
      </c>
      <c r="AA181" s="375">
        <v>0</v>
      </c>
      <c r="AB181" s="375">
        <v>2</v>
      </c>
      <c r="AC181" s="375">
        <v>2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1</v>
      </c>
      <c r="AM181" s="375">
        <v>0</v>
      </c>
      <c r="AN181" s="375">
        <v>0</v>
      </c>
      <c r="AO181" s="375">
        <v>1</v>
      </c>
      <c r="AP181" s="375">
        <v>0</v>
      </c>
      <c r="AQ181" s="355">
        <v>0</v>
      </c>
      <c r="AR181" s="357">
        <v>1</v>
      </c>
      <c r="AS181" s="355">
        <v>1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8">
        <f t="shared" si="119"/>
        <v>0</v>
      </c>
      <c r="DQ181" s="1038">
        <f t="shared" si="120"/>
        <v>0</v>
      </c>
      <c r="DR181" s="1038">
        <f t="shared" si="121"/>
        <v>0</v>
      </c>
      <c r="DS181" s="1038">
        <f t="shared" si="122"/>
        <v>0</v>
      </c>
    </row>
    <row r="182" spans="1:123" ht="15" customHeight="1" x14ac:dyDescent="0.25">
      <c r="A182" s="1712" t="s">
        <v>362</v>
      </c>
      <c r="B182" s="1713" t="s">
        <v>362</v>
      </c>
      <c r="C182" s="352">
        <f t="shared" si="131"/>
        <v>0</v>
      </c>
      <c r="D182" s="1128">
        <f t="shared" si="128"/>
        <v>0</v>
      </c>
      <c r="E182" s="886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8">
        <f t="shared" si="119"/>
        <v>0</v>
      </c>
      <c r="DQ182" s="1038">
        <f t="shared" si="120"/>
        <v>0</v>
      </c>
      <c r="DR182" s="1038">
        <f t="shared" si="121"/>
        <v>0</v>
      </c>
      <c r="DS182" s="1038">
        <f t="shared" si="122"/>
        <v>0</v>
      </c>
    </row>
    <row r="183" spans="1:123" ht="15" customHeight="1" x14ac:dyDescent="0.25">
      <c r="A183" s="1712" t="s">
        <v>363</v>
      </c>
      <c r="B183" s="1713" t="s">
        <v>363</v>
      </c>
      <c r="C183" s="352">
        <f t="shared" si="131"/>
        <v>8</v>
      </c>
      <c r="D183" s="1128">
        <f t="shared" si="128"/>
        <v>7</v>
      </c>
      <c r="E183" s="886">
        <f t="shared" si="129"/>
        <v>1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2</v>
      </c>
      <c r="AA183" s="375">
        <v>0</v>
      </c>
      <c r="AB183" s="375">
        <v>1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1</v>
      </c>
      <c r="AI183" s="375">
        <v>0</v>
      </c>
      <c r="AJ183" s="375">
        <v>2</v>
      </c>
      <c r="AK183" s="375">
        <v>0</v>
      </c>
      <c r="AL183" s="375">
        <v>0</v>
      </c>
      <c r="AM183" s="375">
        <v>0</v>
      </c>
      <c r="AN183" s="375">
        <v>1</v>
      </c>
      <c r="AO183" s="375">
        <v>0</v>
      </c>
      <c r="AP183" s="375">
        <v>0</v>
      </c>
      <c r="AQ183" s="355">
        <v>1</v>
      </c>
      <c r="AR183" s="357">
        <v>2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8">
        <f t="shared" si="119"/>
        <v>0</v>
      </c>
      <c r="DQ183" s="1038">
        <f t="shared" si="120"/>
        <v>0</v>
      </c>
      <c r="DR183" s="1038">
        <f t="shared" si="121"/>
        <v>0</v>
      </c>
      <c r="DS183" s="1038">
        <f t="shared" si="122"/>
        <v>0</v>
      </c>
    </row>
    <row r="184" spans="1:123" ht="15" customHeight="1" x14ac:dyDescent="0.25">
      <c r="A184" s="1712" t="s">
        <v>364</v>
      </c>
      <c r="B184" s="1713" t="s">
        <v>364</v>
      </c>
      <c r="C184" s="352">
        <f t="shared" si="131"/>
        <v>21</v>
      </c>
      <c r="D184" s="1128">
        <f t="shared" si="128"/>
        <v>6</v>
      </c>
      <c r="E184" s="886">
        <f t="shared" si="129"/>
        <v>15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1</v>
      </c>
      <c r="AI184" s="375">
        <v>0</v>
      </c>
      <c r="AJ184" s="375">
        <v>2</v>
      </c>
      <c r="AK184" s="375">
        <v>2</v>
      </c>
      <c r="AL184" s="375">
        <v>0</v>
      </c>
      <c r="AM184" s="375">
        <v>2</v>
      </c>
      <c r="AN184" s="375">
        <v>1</v>
      </c>
      <c r="AO184" s="375">
        <v>6</v>
      </c>
      <c r="AP184" s="375">
        <v>2</v>
      </c>
      <c r="AQ184" s="355">
        <v>5</v>
      </c>
      <c r="AR184" s="357">
        <v>1</v>
      </c>
      <c r="AS184" s="355">
        <v>4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8">
        <f t="shared" si="119"/>
        <v>0</v>
      </c>
      <c r="DQ184" s="1038">
        <f t="shared" si="120"/>
        <v>0</v>
      </c>
      <c r="DR184" s="1038">
        <f t="shared" si="121"/>
        <v>0</v>
      </c>
      <c r="DS184" s="1038">
        <f t="shared" si="122"/>
        <v>0</v>
      </c>
    </row>
    <row r="185" spans="1:123" ht="24.75" customHeight="1" x14ac:dyDescent="0.25">
      <c r="A185" s="1712" t="s">
        <v>365</v>
      </c>
      <c r="B185" s="1713" t="s">
        <v>366</v>
      </c>
      <c r="C185" s="352">
        <f t="shared" ref="C185:C188" si="134">SUM(D185:E185)</f>
        <v>2</v>
      </c>
      <c r="D185" s="1128">
        <f t="shared" ref="D185:D188" si="135">+F185+H185+J185+L185+N185+P185+R185+T185+V185+X185+Z185+AB185+AD185+AF185+AH185+AN185+AP185+AJ185+AL185</f>
        <v>1</v>
      </c>
      <c r="E185" s="886">
        <f t="shared" si="129"/>
        <v>1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1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1</v>
      </c>
      <c r="AP185" s="375">
        <v>0</v>
      </c>
      <c r="AQ185" s="355">
        <v>0</v>
      </c>
      <c r="AR185" s="357">
        <v>0</v>
      </c>
      <c r="AS185" s="355">
        <v>1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8">
        <f t="shared" si="119"/>
        <v>0</v>
      </c>
      <c r="DQ185" s="1038">
        <f t="shared" si="120"/>
        <v>0</v>
      </c>
      <c r="DR185" s="1038">
        <f t="shared" si="121"/>
        <v>0</v>
      </c>
      <c r="DS185" s="1038">
        <f t="shared" si="122"/>
        <v>0</v>
      </c>
    </row>
    <row r="186" spans="1:123" ht="15" customHeight="1" x14ac:dyDescent="0.25">
      <c r="A186" s="1712" t="s">
        <v>367</v>
      </c>
      <c r="B186" s="1713" t="s">
        <v>368</v>
      </c>
      <c r="C186" s="352">
        <f t="shared" si="134"/>
        <v>0</v>
      </c>
      <c r="D186" s="1128">
        <f t="shared" si="135"/>
        <v>0</v>
      </c>
      <c r="E186" s="886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8">
        <f t="shared" si="119"/>
        <v>0</v>
      </c>
      <c r="DQ186" s="1038">
        <f t="shared" si="120"/>
        <v>0</v>
      </c>
      <c r="DR186" s="1038">
        <f t="shared" si="121"/>
        <v>0</v>
      </c>
      <c r="DS186" s="1038">
        <f t="shared" si="122"/>
        <v>0</v>
      </c>
    </row>
    <row r="187" spans="1:123" ht="15" customHeight="1" x14ac:dyDescent="0.25">
      <c r="A187" s="1712" t="s">
        <v>369</v>
      </c>
      <c r="B187" s="1713" t="s">
        <v>369</v>
      </c>
      <c r="C187" s="352">
        <f t="shared" si="134"/>
        <v>1</v>
      </c>
      <c r="D187" s="1128">
        <f t="shared" si="135"/>
        <v>1</v>
      </c>
      <c r="E187" s="886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1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8">
        <f t="shared" si="119"/>
        <v>0</v>
      </c>
      <c r="DQ187" s="1038">
        <f t="shared" si="120"/>
        <v>0</v>
      </c>
      <c r="DR187" s="1038">
        <f t="shared" si="121"/>
        <v>0</v>
      </c>
      <c r="DS187" s="1038">
        <f t="shared" si="122"/>
        <v>0</v>
      </c>
    </row>
    <row r="188" spans="1:123" ht="15" customHeight="1" x14ac:dyDescent="0.25">
      <c r="A188" s="1712" t="s">
        <v>370</v>
      </c>
      <c r="B188" s="1713" t="s">
        <v>370</v>
      </c>
      <c r="C188" s="352">
        <f t="shared" si="134"/>
        <v>21</v>
      </c>
      <c r="D188" s="1128">
        <f t="shared" si="135"/>
        <v>16</v>
      </c>
      <c r="E188" s="886">
        <f t="shared" si="129"/>
        <v>5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3</v>
      </c>
      <c r="S188" s="375">
        <v>1</v>
      </c>
      <c r="T188" s="375">
        <v>1</v>
      </c>
      <c r="U188" s="375">
        <v>1</v>
      </c>
      <c r="V188" s="375">
        <v>0</v>
      </c>
      <c r="W188" s="375">
        <v>1</v>
      </c>
      <c r="X188" s="375">
        <v>5</v>
      </c>
      <c r="Y188" s="375">
        <v>1</v>
      </c>
      <c r="Z188" s="375">
        <v>5</v>
      </c>
      <c r="AA188" s="375">
        <v>0</v>
      </c>
      <c r="AB188" s="375">
        <v>1</v>
      </c>
      <c r="AC188" s="375">
        <v>0</v>
      </c>
      <c r="AD188" s="375">
        <v>0</v>
      </c>
      <c r="AE188" s="375">
        <v>0</v>
      </c>
      <c r="AF188" s="375">
        <v>1</v>
      </c>
      <c r="AG188" s="375">
        <v>1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2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8">
        <f t="shared" si="119"/>
        <v>0</v>
      </c>
      <c r="DQ188" s="1038">
        <f t="shared" si="120"/>
        <v>0</v>
      </c>
      <c r="DR188" s="1038">
        <f t="shared" si="121"/>
        <v>0</v>
      </c>
      <c r="DS188" s="1038">
        <f t="shared" si="122"/>
        <v>0</v>
      </c>
    </row>
    <row r="189" spans="1:123" ht="15" customHeight="1" x14ac:dyDescent="0.25">
      <c r="A189" s="1712" t="s">
        <v>371</v>
      </c>
      <c r="B189" s="1713" t="s">
        <v>371</v>
      </c>
      <c r="C189" s="352">
        <f t="shared" si="131"/>
        <v>0</v>
      </c>
      <c r="D189" s="1128">
        <f t="shared" si="128"/>
        <v>0</v>
      </c>
      <c r="E189" s="886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8">
        <f t="shared" si="119"/>
        <v>0</v>
      </c>
      <c r="DQ189" s="1038">
        <f t="shared" si="120"/>
        <v>0</v>
      </c>
      <c r="DR189" s="1038">
        <f t="shared" si="121"/>
        <v>0</v>
      </c>
      <c r="DS189" s="1038">
        <f t="shared" si="122"/>
        <v>0</v>
      </c>
    </row>
    <row r="190" spans="1:123" ht="15" customHeight="1" x14ac:dyDescent="0.25">
      <c r="A190" s="1739" t="s">
        <v>372</v>
      </c>
      <c r="B190" s="1740" t="s">
        <v>372</v>
      </c>
      <c r="C190" s="377">
        <f t="shared" si="131"/>
        <v>0</v>
      </c>
      <c r="D190" s="1129">
        <f t="shared" si="128"/>
        <v>0</v>
      </c>
      <c r="E190" s="888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8">
        <f t="shared" si="119"/>
        <v>0</v>
      </c>
      <c r="DQ190" s="1038">
        <f t="shared" si="120"/>
        <v>0</v>
      </c>
      <c r="DR190" s="1038">
        <f t="shared" si="121"/>
        <v>0</v>
      </c>
      <c r="DS190" s="1038">
        <f t="shared" si="122"/>
        <v>0</v>
      </c>
    </row>
    <row r="191" spans="1:123" ht="17.100000000000001" customHeight="1" x14ac:dyDescent="0.25">
      <c r="A191" s="1834" t="s">
        <v>373</v>
      </c>
      <c r="B191" s="1834"/>
      <c r="C191" s="1834"/>
      <c r="D191" s="1834"/>
      <c r="E191" s="1834"/>
      <c r="F191" s="1834"/>
      <c r="G191" s="1834"/>
      <c r="H191" s="1834"/>
      <c r="I191" s="1834"/>
      <c r="J191" s="1834"/>
      <c r="K191" s="1834"/>
      <c r="L191" s="1834"/>
      <c r="M191" s="1834"/>
      <c r="N191" s="1834"/>
      <c r="O191" s="1834"/>
      <c r="P191" s="1834"/>
      <c r="Q191" s="1834"/>
      <c r="R191" s="1834"/>
      <c r="S191" s="1834"/>
      <c r="T191" s="1834"/>
      <c r="U191" s="1834"/>
      <c r="V191" s="1834"/>
      <c r="W191" s="1834"/>
      <c r="X191" s="1834"/>
      <c r="Y191" s="1834"/>
      <c r="Z191" s="1834"/>
      <c r="AA191" s="1834"/>
      <c r="AB191" s="1834"/>
      <c r="AC191" s="1834"/>
      <c r="AD191" s="1834"/>
      <c r="AE191" s="1834"/>
      <c r="AF191" s="1834"/>
      <c r="AG191" s="1834"/>
      <c r="AH191" s="1834"/>
      <c r="AI191" s="1834"/>
      <c r="AJ191" s="1834"/>
      <c r="AK191" s="1834"/>
      <c r="AL191" s="1834"/>
      <c r="AM191" s="1834"/>
      <c r="AN191" s="1834"/>
      <c r="AO191" s="1834"/>
      <c r="AP191" s="1834"/>
      <c r="AQ191" s="1834"/>
      <c r="AR191" s="107"/>
      <c r="AS191" s="107"/>
      <c r="AT191" s="107"/>
      <c r="AU191" s="107"/>
      <c r="AV191" s="107"/>
    </row>
    <row r="192" spans="1:123" ht="15" customHeight="1" x14ac:dyDescent="0.25">
      <c r="A192" s="1725" t="s">
        <v>374</v>
      </c>
      <c r="B192" s="1705"/>
      <c r="C192" s="1714" t="s">
        <v>54</v>
      </c>
      <c r="D192" s="1715"/>
      <c r="E192" s="1716"/>
      <c r="F192" s="1737" t="s">
        <v>250</v>
      </c>
      <c r="G192" s="1738"/>
      <c r="H192" s="1738"/>
      <c r="I192" s="1738"/>
      <c r="J192" s="1738"/>
      <c r="K192" s="1738"/>
      <c r="L192" s="1738"/>
      <c r="M192" s="1738"/>
      <c r="N192" s="1738"/>
      <c r="O192" s="1738"/>
      <c r="P192" s="1738"/>
      <c r="Q192" s="1738"/>
      <c r="R192" s="1738"/>
      <c r="S192" s="1738"/>
      <c r="T192" s="1738"/>
      <c r="U192" s="1738"/>
      <c r="V192" s="1738"/>
      <c r="W192" s="1738"/>
      <c r="X192" s="1738"/>
      <c r="Y192" s="1738"/>
      <c r="Z192" s="1738"/>
      <c r="AA192" s="1738"/>
      <c r="AB192" s="1738"/>
      <c r="AC192" s="1738"/>
      <c r="AD192" s="1738"/>
      <c r="AE192" s="1738"/>
      <c r="AF192" s="1738"/>
      <c r="AG192" s="1738"/>
      <c r="AH192" s="1738"/>
      <c r="AI192" s="1738"/>
      <c r="AJ192" s="1738"/>
      <c r="AK192" s="1738"/>
      <c r="AL192" s="1738"/>
      <c r="AM192" s="1738"/>
      <c r="AN192" s="1738"/>
      <c r="AO192" s="1738"/>
      <c r="AP192" s="1738"/>
      <c r="AQ192" s="1744"/>
      <c r="AR192" s="1696" t="s">
        <v>56</v>
      </c>
      <c r="AS192" s="1653"/>
      <c r="AT192" s="1710" t="s">
        <v>57</v>
      </c>
      <c r="AU192" s="1653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741"/>
      <c r="B193" s="1706"/>
      <c r="C193" s="1717"/>
      <c r="D193" s="1718"/>
      <c r="E193" s="1719"/>
      <c r="F193" s="1702" t="s">
        <v>216</v>
      </c>
      <c r="G193" s="1703"/>
      <c r="H193" s="1702" t="s">
        <v>217</v>
      </c>
      <c r="I193" s="1703"/>
      <c r="J193" s="1702" t="s">
        <v>218</v>
      </c>
      <c r="K193" s="1703"/>
      <c r="L193" s="1702" t="s">
        <v>219</v>
      </c>
      <c r="M193" s="1703"/>
      <c r="N193" s="1702" t="s">
        <v>220</v>
      </c>
      <c r="O193" s="1703"/>
      <c r="P193" s="1702" t="s">
        <v>221</v>
      </c>
      <c r="Q193" s="1703"/>
      <c r="R193" s="1702" t="s">
        <v>222</v>
      </c>
      <c r="S193" s="1703"/>
      <c r="T193" s="1702" t="s">
        <v>223</v>
      </c>
      <c r="U193" s="1703"/>
      <c r="V193" s="1702" t="s">
        <v>224</v>
      </c>
      <c r="W193" s="1703"/>
      <c r="X193" s="1702" t="s">
        <v>225</v>
      </c>
      <c r="Y193" s="1703"/>
      <c r="Z193" s="1702" t="s">
        <v>226</v>
      </c>
      <c r="AA193" s="1703"/>
      <c r="AB193" s="1702" t="s">
        <v>227</v>
      </c>
      <c r="AC193" s="1703"/>
      <c r="AD193" s="1702" t="s">
        <v>228</v>
      </c>
      <c r="AE193" s="1703"/>
      <c r="AF193" s="1702" t="s">
        <v>229</v>
      </c>
      <c r="AG193" s="1703"/>
      <c r="AH193" s="1704" t="s">
        <v>314</v>
      </c>
      <c r="AI193" s="1703"/>
      <c r="AJ193" s="1702" t="s">
        <v>319</v>
      </c>
      <c r="AK193" s="1703"/>
      <c r="AL193" s="1702" t="s">
        <v>320</v>
      </c>
      <c r="AM193" s="1703"/>
      <c r="AN193" s="1704" t="s">
        <v>321</v>
      </c>
      <c r="AO193" s="1703"/>
      <c r="AP193" s="1702" t="s">
        <v>62</v>
      </c>
      <c r="AQ193" s="1743"/>
      <c r="AR193" s="1698"/>
      <c r="AS193" s="1654"/>
      <c r="AT193" s="1711"/>
      <c r="AU193" s="1654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42"/>
      <c r="B194" s="1707"/>
      <c r="C194" s="59" t="s">
        <v>230</v>
      </c>
      <c r="D194" s="1205" t="s">
        <v>91</v>
      </c>
      <c r="E194" s="1421" t="s">
        <v>231</v>
      </c>
      <c r="F194" s="1205" t="s">
        <v>91</v>
      </c>
      <c r="G194" s="889" t="s">
        <v>231</v>
      </c>
      <c r="H194" s="1205" t="s">
        <v>91</v>
      </c>
      <c r="I194" s="889" t="s">
        <v>231</v>
      </c>
      <c r="J194" s="1205" t="s">
        <v>91</v>
      </c>
      <c r="K194" s="889" t="s">
        <v>231</v>
      </c>
      <c r="L194" s="1205" t="s">
        <v>91</v>
      </c>
      <c r="M194" s="889" t="s">
        <v>231</v>
      </c>
      <c r="N194" s="1205" t="s">
        <v>91</v>
      </c>
      <c r="O194" s="889" t="s">
        <v>231</v>
      </c>
      <c r="P194" s="1205" t="s">
        <v>91</v>
      </c>
      <c r="Q194" s="889" t="s">
        <v>231</v>
      </c>
      <c r="R194" s="1205" t="s">
        <v>91</v>
      </c>
      <c r="S194" s="889" t="s">
        <v>231</v>
      </c>
      <c r="T194" s="1205" t="s">
        <v>91</v>
      </c>
      <c r="U194" s="889" t="s">
        <v>231</v>
      </c>
      <c r="V194" s="1205" t="s">
        <v>91</v>
      </c>
      <c r="W194" s="889" t="s">
        <v>231</v>
      </c>
      <c r="X194" s="1205" t="s">
        <v>91</v>
      </c>
      <c r="Y194" s="889" t="s">
        <v>231</v>
      </c>
      <c r="Z194" s="1205" t="s">
        <v>91</v>
      </c>
      <c r="AA194" s="889" t="s">
        <v>231</v>
      </c>
      <c r="AB194" s="1205" t="s">
        <v>91</v>
      </c>
      <c r="AC194" s="889" t="s">
        <v>231</v>
      </c>
      <c r="AD194" s="1205" t="s">
        <v>91</v>
      </c>
      <c r="AE194" s="889" t="s">
        <v>231</v>
      </c>
      <c r="AF194" s="1205" t="s">
        <v>91</v>
      </c>
      <c r="AG194" s="889" t="s">
        <v>231</v>
      </c>
      <c r="AH194" s="601" t="s">
        <v>91</v>
      </c>
      <c r="AI194" s="965" t="s">
        <v>231</v>
      </c>
      <c r="AJ194" s="964" t="s">
        <v>91</v>
      </c>
      <c r="AK194" s="889" t="s">
        <v>231</v>
      </c>
      <c r="AL194" s="601" t="s">
        <v>91</v>
      </c>
      <c r="AM194" s="965" t="s">
        <v>231</v>
      </c>
      <c r="AN194" s="601" t="s">
        <v>91</v>
      </c>
      <c r="AO194" s="889" t="s">
        <v>231</v>
      </c>
      <c r="AP194" s="601" t="s">
        <v>91</v>
      </c>
      <c r="AQ194" s="966" t="s">
        <v>231</v>
      </c>
      <c r="AR194" s="967" t="s">
        <v>91</v>
      </c>
      <c r="AS194" s="965" t="s">
        <v>231</v>
      </c>
      <c r="AT194" s="1205" t="s">
        <v>91</v>
      </c>
      <c r="AU194" s="1421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02" t="s">
        <v>375</v>
      </c>
      <c r="B195" s="1703"/>
      <c r="C195" s="320">
        <f>SUM(D195:E195)</f>
        <v>355</v>
      </c>
      <c r="D195" s="362">
        <f>+F195+H195+J195+L195+N195+P195+R195+T195+V195+X195+Z195+AB195+AD195+AF195+AH195+AN195+AP195+AJ195+AL195</f>
        <v>206</v>
      </c>
      <c r="E195" s="363">
        <f>+G195+I195+K195+M195+O195+Q195+S195+U195+W195+Y195+AA195+AC195+AE195+AG195+AI195+AO195+AQ195+AK195+AM195</f>
        <v>149</v>
      </c>
      <c r="F195" s="891">
        <f>SUM(F196:F198)</f>
        <v>0</v>
      </c>
      <c r="G195" s="892">
        <f>SUM(G196:G198)</f>
        <v>0</v>
      </c>
      <c r="H195" s="891">
        <f t="shared" ref="H195:AQ195" si="137">SUM(H196:H198)</f>
        <v>0</v>
      </c>
      <c r="I195" s="892">
        <f t="shared" si="137"/>
        <v>0</v>
      </c>
      <c r="J195" s="891">
        <f t="shared" si="137"/>
        <v>0</v>
      </c>
      <c r="K195" s="892">
        <f t="shared" si="137"/>
        <v>0</v>
      </c>
      <c r="L195" s="891">
        <f t="shared" si="137"/>
        <v>2</v>
      </c>
      <c r="M195" s="892">
        <f t="shared" si="137"/>
        <v>1</v>
      </c>
      <c r="N195" s="891">
        <f t="shared" si="137"/>
        <v>1</v>
      </c>
      <c r="O195" s="892">
        <f t="shared" si="137"/>
        <v>0</v>
      </c>
      <c r="P195" s="891">
        <f t="shared" si="137"/>
        <v>1</v>
      </c>
      <c r="Q195" s="892">
        <f t="shared" si="137"/>
        <v>0</v>
      </c>
      <c r="R195" s="891">
        <f t="shared" si="137"/>
        <v>4</v>
      </c>
      <c r="S195" s="892">
        <f t="shared" si="137"/>
        <v>4</v>
      </c>
      <c r="T195" s="891">
        <f t="shared" si="137"/>
        <v>11</v>
      </c>
      <c r="U195" s="892">
        <f t="shared" si="137"/>
        <v>8</v>
      </c>
      <c r="V195" s="891">
        <f t="shared" si="137"/>
        <v>6</v>
      </c>
      <c r="W195" s="892">
        <f t="shared" si="137"/>
        <v>6</v>
      </c>
      <c r="X195" s="891">
        <f t="shared" si="137"/>
        <v>15</v>
      </c>
      <c r="Y195" s="892">
        <f t="shared" si="137"/>
        <v>14</v>
      </c>
      <c r="Z195" s="891">
        <f t="shared" si="137"/>
        <v>21</v>
      </c>
      <c r="AA195" s="892">
        <f t="shared" si="137"/>
        <v>9</v>
      </c>
      <c r="AB195" s="891">
        <f t="shared" si="137"/>
        <v>9</v>
      </c>
      <c r="AC195" s="892">
        <f t="shared" si="137"/>
        <v>25</v>
      </c>
      <c r="AD195" s="891">
        <f t="shared" si="137"/>
        <v>4</v>
      </c>
      <c r="AE195" s="892">
        <f t="shared" si="137"/>
        <v>8</v>
      </c>
      <c r="AF195" s="891">
        <f t="shared" si="137"/>
        <v>17</v>
      </c>
      <c r="AG195" s="892">
        <f t="shared" si="137"/>
        <v>4</v>
      </c>
      <c r="AH195" s="891">
        <f t="shared" si="137"/>
        <v>26</v>
      </c>
      <c r="AI195" s="892">
        <f t="shared" si="137"/>
        <v>18</v>
      </c>
      <c r="AJ195" s="891">
        <f t="shared" si="137"/>
        <v>37</v>
      </c>
      <c r="AK195" s="892">
        <f t="shared" si="137"/>
        <v>17</v>
      </c>
      <c r="AL195" s="891">
        <f t="shared" si="137"/>
        <v>36</v>
      </c>
      <c r="AM195" s="892">
        <f t="shared" si="137"/>
        <v>13</v>
      </c>
      <c r="AN195" s="891">
        <f t="shared" si="137"/>
        <v>11</v>
      </c>
      <c r="AO195" s="892">
        <f t="shared" si="137"/>
        <v>11</v>
      </c>
      <c r="AP195" s="891">
        <f t="shared" si="137"/>
        <v>5</v>
      </c>
      <c r="AQ195" s="892">
        <f t="shared" si="137"/>
        <v>11</v>
      </c>
      <c r="AR195" s="893">
        <f>SUM(AR196:AR198)</f>
        <v>34</v>
      </c>
      <c r="AS195" s="892">
        <f>SUM(AS196:AS198)</f>
        <v>33</v>
      </c>
      <c r="AT195" s="1208">
        <f>SUM(AT196:AT198)</f>
        <v>2</v>
      </c>
      <c r="AU195" s="892">
        <f>SUM(AU196:AU198)</f>
        <v>0</v>
      </c>
      <c r="BR195" s="604"/>
      <c r="BS195" s="604"/>
      <c r="BT195" s="604"/>
      <c r="BU195" s="604"/>
      <c r="DP195" s="1038">
        <f t="shared" ref="DP195:DQ198" si="138">IF(AND(D195&gt;0,AR195=""),1,IF(AR195&gt;D195,1,0))</f>
        <v>0</v>
      </c>
      <c r="DQ195" s="1038">
        <f t="shared" si="138"/>
        <v>0</v>
      </c>
      <c r="DR195" s="1038">
        <f t="shared" ref="DR195:DS198" si="139">IF(AND(D195&gt;0,AT195=""),1,IF(AT195&gt;D195,1,0))</f>
        <v>0</v>
      </c>
      <c r="DS195" s="1038">
        <f t="shared" si="139"/>
        <v>0</v>
      </c>
    </row>
    <row r="196" spans="1:127" ht="15" customHeight="1" x14ac:dyDescent="0.25">
      <c r="A196" s="1731" t="s">
        <v>376</v>
      </c>
      <c r="B196" s="1732"/>
      <c r="C196" s="320">
        <f>SUM(D196:E196)</f>
        <v>350</v>
      </c>
      <c r="D196" s="362">
        <f>+F196+H196+J196+L196+N196+P196+R196+T196+V196+X196+Z196+AB196+AD196+AF196+AH196+AN196+AP196+AJ196+AL196</f>
        <v>203</v>
      </c>
      <c r="E196" s="363">
        <f>+G196+I196+K196+M196+O196+Q196+S196+U196+W196+Y196+AA196+AC196+AE196+AG196+AI196+AO196+AQ196+AK196+AM196</f>
        <v>147</v>
      </c>
      <c r="F196" s="321">
        <v>0</v>
      </c>
      <c r="G196" s="322">
        <v>0</v>
      </c>
      <c r="H196" s="321">
        <v>0</v>
      </c>
      <c r="I196" s="322">
        <v>0</v>
      </c>
      <c r="J196" s="321">
        <v>0</v>
      </c>
      <c r="K196" s="322">
        <v>0</v>
      </c>
      <c r="L196" s="321">
        <v>2</v>
      </c>
      <c r="M196" s="323">
        <v>1</v>
      </c>
      <c r="N196" s="321">
        <v>1</v>
      </c>
      <c r="O196" s="322">
        <v>0</v>
      </c>
      <c r="P196" s="321">
        <v>1</v>
      </c>
      <c r="Q196" s="322">
        <v>0</v>
      </c>
      <c r="R196" s="324">
        <v>4</v>
      </c>
      <c r="S196" s="322">
        <v>4</v>
      </c>
      <c r="T196" s="321">
        <v>11</v>
      </c>
      <c r="U196" s="323">
        <v>8</v>
      </c>
      <c r="V196" s="321">
        <v>6</v>
      </c>
      <c r="W196" s="322">
        <v>6</v>
      </c>
      <c r="X196" s="321">
        <v>15</v>
      </c>
      <c r="Y196" s="322">
        <v>14</v>
      </c>
      <c r="Z196" s="321">
        <v>21</v>
      </c>
      <c r="AA196" s="322">
        <v>9</v>
      </c>
      <c r="AB196" s="321">
        <v>9</v>
      </c>
      <c r="AC196" s="335">
        <v>25</v>
      </c>
      <c r="AD196" s="321">
        <v>4</v>
      </c>
      <c r="AE196" s="322">
        <v>8</v>
      </c>
      <c r="AF196" s="321">
        <v>15</v>
      </c>
      <c r="AG196" s="323">
        <v>4</v>
      </c>
      <c r="AH196" s="321">
        <v>26</v>
      </c>
      <c r="AI196" s="323">
        <v>17</v>
      </c>
      <c r="AJ196" s="321">
        <v>37</v>
      </c>
      <c r="AK196" s="323">
        <v>16</v>
      </c>
      <c r="AL196" s="321">
        <v>35</v>
      </c>
      <c r="AM196" s="322">
        <v>13</v>
      </c>
      <c r="AN196" s="324">
        <v>11</v>
      </c>
      <c r="AO196" s="323">
        <v>11</v>
      </c>
      <c r="AP196" s="321">
        <v>5</v>
      </c>
      <c r="AQ196" s="804">
        <v>11</v>
      </c>
      <c r="AR196" s="325">
        <v>33</v>
      </c>
      <c r="AS196" s="322">
        <v>31</v>
      </c>
      <c r="AT196" s="321">
        <v>2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8">
        <f t="shared" si="138"/>
        <v>0</v>
      </c>
      <c r="DQ196" s="1038">
        <f t="shared" si="138"/>
        <v>0</v>
      </c>
      <c r="DR196" s="1038">
        <f t="shared" si="139"/>
        <v>0</v>
      </c>
      <c r="DS196" s="1038">
        <f t="shared" si="139"/>
        <v>0</v>
      </c>
    </row>
    <row r="197" spans="1:127" ht="15" customHeight="1" x14ac:dyDescent="0.25">
      <c r="A197" s="1733" t="s">
        <v>377</v>
      </c>
      <c r="B197" s="1734"/>
      <c r="C197" s="352">
        <f t="shared" ref="C197:C198" si="140">SUM(D197:E197)</f>
        <v>5</v>
      </c>
      <c r="D197" s="364">
        <f t="shared" ref="D197:D198" si="141">+F197+H197+J197+L197+N197+P197+R197+T197+V197+X197+Z197+AB197+AD197+AF197+AH197+AN197+AP197+AJ197+AL197</f>
        <v>3</v>
      </c>
      <c r="E197" s="365">
        <f t="shared" ref="E197:E198" si="142">+G197+I197+K197+M197+O197+Q197+S197+U197+W197+Y197+AA197+AC197+AE197+AG197+AI197+AO197+AQ197+AK197+AM197</f>
        <v>2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0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93">
        <v>0</v>
      </c>
      <c r="AD197" s="353">
        <v>0</v>
      </c>
      <c r="AE197" s="354">
        <v>0</v>
      </c>
      <c r="AF197" s="353">
        <v>2</v>
      </c>
      <c r="AG197" s="355">
        <v>0</v>
      </c>
      <c r="AH197" s="353">
        <v>0</v>
      </c>
      <c r="AI197" s="355">
        <v>1</v>
      </c>
      <c r="AJ197" s="353">
        <v>0</v>
      </c>
      <c r="AK197" s="355">
        <v>1</v>
      </c>
      <c r="AL197" s="353">
        <v>1</v>
      </c>
      <c r="AM197" s="354">
        <v>0</v>
      </c>
      <c r="AN197" s="356">
        <v>0</v>
      </c>
      <c r="AO197" s="355">
        <v>0</v>
      </c>
      <c r="AP197" s="353">
        <v>0</v>
      </c>
      <c r="AQ197" s="805">
        <v>0</v>
      </c>
      <c r="AR197" s="357">
        <v>1</v>
      </c>
      <c r="AS197" s="354">
        <v>2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8">
        <f>IF(AND(D197&gt;0,AR197=""),1,IF(AR197&gt;D197,1,0))</f>
        <v>0</v>
      </c>
      <c r="DQ197" s="1038">
        <f t="shared" si="138"/>
        <v>0</v>
      </c>
      <c r="DR197" s="1038">
        <f t="shared" si="139"/>
        <v>0</v>
      </c>
      <c r="DS197" s="1038">
        <f t="shared" si="139"/>
        <v>0</v>
      </c>
    </row>
    <row r="198" spans="1:127" ht="15" customHeight="1" x14ac:dyDescent="0.25">
      <c r="A198" s="1735" t="s">
        <v>378</v>
      </c>
      <c r="B198" s="1736"/>
      <c r="C198" s="377">
        <f t="shared" si="140"/>
        <v>0</v>
      </c>
      <c r="D198" s="744">
        <f t="shared" si="141"/>
        <v>0</v>
      </c>
      <c r="E198" s="701">
        <f t="shared" si="142"/>
        <v>0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0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8">
        <f>IF(AND(D198&gt;0,AR198=""),1,IF(AR198&gt;D198,1,0))</f>
        <v>0</v>
      </c>
      <c r="DQ198" s="1038">
        <f t="shared" si="138"/>
        <v>0</v>
      </c>
      <c r="DR198" s="1038">
        <f t="shared" si="139"/>
        <v>0</v>
      </c>
      <c r="DS198" s="1038">
        <f t="shared" si="139"/>
        <v>0</v>
      </c>
    </row>
    <row r="199" spans="1:127" ht="17.100000000000001" customHeight="1" x14ac:dyDescent="0.25">
      <c r="A199" s="1834" t="s">
        <v>379</v>
      </c>
      <c r="B199" s="1834"/>
      <c r="C199" s="1834"/>
      <c r="D199" s="1834"/>
      <c r="E199" s="1834"/>
      <c r="F199" s="1834"/>
      <c r="G199" s="1834"/>
      <c r="H199" s="1834"/>
      <c r="I199" s="1834"/>
      <c r="J199" s="1834"/>
      <c r="K199" s="1834"/>
      <c r="L199" s="1834"/>
      <c r="M199" s="1834"/>
      <c r="N199" s="1834"/>
      <c r="O199" s="1834"/>
      <c r="P199" s="1834"/>
      <c r="Q199" s="1834"/>
      <c r="R199" s="1834"/>
      <c r="S199" s="1834"/>
      <c r="T199" s="1834"/>
      <c r="U199" s="1834"/>
      <c r="V199" s="1834"/>
      <c r="W199" s="1834"/>
      <c r="X199" s="1834"/>
      <c r="Y199" s="1834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5" t="s">
        <v>380</v>
      </c>
      <c r="B200" s="1726"/>
      <c r="C200" s="1714" t="s">
        <v>54</v>
      </c>
      <c r="D200" s="1715"/>
      <c r="E200" s="1716"/>
      <c r="F200" s="1737" t="s">
        <v>381</v>
      </c>
      <c r="G200" s="1738"/>
      <c r="H200" s="1738"/>
      <c r="I200" s="1738"/>
      <c r="J200" s="1738"/>
      <c r="K200" s="1738"/>
      <c r="L200" s="1738"/>
      <c r="M200" s="1738"/>
      <c r="N200" s="1738"/>
      <c r="O200" s="1738"/>
      <c r="P200" s="1738"/>
      <c r="Q200" s="1738"/>
      <c r="R200" s="1738"/>
      <c r="S200" s="1738"/>
      <c r="T200" s="1738"/>
      <c r="U200" s="1738"/>
      <c r="V200" s="1738"/>
      <c r="W200" s="1738"/>
      <c r="X200" s="1738"/>
      <c r="Y200" s="1738"/>
      <c r="Z200" s="1696" t="s">
        <v>56</v>
      </c>
      <c r="AA200" s="1653"/>
      <c r="AB200" s="1700" t="s">
        <v>57</v>
      </c>
      <c r="AC200" s="1653"/>
      <c r="AD200" s="1700" t="s">
        <v>382</v>
      </c>
      <c r="AE200" s="1653"/>
      <c r="AF200" s="1710" t="s">
        <v>383</v>
      </c>
      <c r="AG200" s="1653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7"/>
      <c r="B201" s="1728"/>
      <c r="C201" s="1717"/>
      <c r="D201" s="1718"/>
      <c r="E201" s="1719"/>
      <c r="F201" s="1702" t="s">
        <v>384</v>
      </c>
      <c r="G201" s="1703"/>
      <c r="H201" s="1702" t="s">
        <v>385</v>
      </c>
      <c r="I201" s="1703"/>
      <c r="J201" s="1702" t="s">
        <v>386</v>
      </c>
      <c r="K201" s="1703"/>
      <c r="L201" s="1702" t="s">
        <v>387</v>
      </c>
      <c r="M201" s="1703"/>
      <c r="N201" s="1702" t="s">
        <v>388</v>
      </c>
      <c r="O201" s="1703"/>
      <c r="P201" s="1702" t="s">
        <v>389</v>
      </c>
      <c r="Q201" s="1703"/>
      <c r="R201" s="1702" t="s">
        <v>390</v>
      </c>
      <c r="S201" s="1703"/>
      <c r="T201" s="1702" t="s">
        <v>391</v>
      </c>
      <c r="U201" s="1703"/>
      <c r="V201" s="1702" t="s">
        <v>392</v>
      </c>
      <c r="W201" s="1703"/>
      <c r="X201" s="1702" t="s">
        <v>393</v>
      </c>
      <c r="Y201" s="1704"/>
      <c r="Z201" s="1698"/>
      <c r="AA201" s="1654"/>
      <c r="AB201" s="1701"/>
      <c r="AC201" s="1654"/>
      <c r="AD201" s="1701"/>
      <c r="AE201" s="1654"/>
      <c r="AF201" s="1711"/>
      <c r="AG201" s="1654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29"/>
      <c r="B202" s="1730"/>
      <c r="C202" s="59" t="s">
        <v>230</v>
      </c>
      <c r="D202" s="1205" t="s">
        <v>91</v>
      </c>
      <c r="E202" s="1421" t="s">
        <v>231</v>
      </c>
      <c r="F202" s="1447" t="s">
        <v>91</v>
      </c>
      <c r="G202" s="1435" t="s">
        <v>231</v>
      </c>
      <c r="H202" s="1447" t="s">
        <v>91</v>
      </c>
      <c r="I202" s="1435" t="s">
        <v>231</v>
      </c>
      <c r="J202" s="1447" t="s">
        <v>91</v>
      </c>
      <c r="K202" s="1435" t="s">
        <v>231</v>
      </c>
      <c r="L202" s="1447" t="s">
        <v>91</v>
      </c>
      <c r="M202" s="1435" t="s">
        <v>231</v>
      </c>
      <c r="N202" s="1447" t="s">
        <v>91</v>
      </c>
      <c r="O202" s="1435" t="s">
        <v>231</v>
      </c>
      <c r="P202" s="1447" t="s">
        <v>91</v>
      </c>
      <c r="Q202" s="1435" t="s">
        <v>231</v>
      </c>
      <c r="R202" s="1447" t="s">
        <v>91</v>
      </c>
      <c r="S202" s="1435" t="s">
        <v>231</v>
      </c>
      <c r="T202" s="1447" t="s">
        <v>91</v>
      </c>
      <c r="U202" s="1435" t="s">
        <v>231</v>
      </c>
      <c r="V202" s="1447" t="s">
        <v>91</v>
      </c>
      <c r="W202" s="1435" t="s">
        <v>231</v>
      </c>
      <c r="X202" s="1447" t="s">
        <v>91</v>
      </c>
      <c r="Y202" s="1454" t="s">
        <v>231</v>
      </c>
      <c r="Z202" s="190" t="s">
        <v>91</v>
      </c>
      <c r="AA202" s="1400" t="s">
        <v>231</v>
      </c>
      <c r="AB202" s="1459" t="s">
        <v>91</v>
      </c>
      <c r="AC202" s="1460" t="s">
        <v>231</v>
      </c>
      <c r="AD202" s="1459" t="s">
        <v>91</v>
      </c>
      <c r="AE202" s="1460" t="s">
        <v>231</v>
      </c>
      <c r="AF202" s="1461" t="s">
        <v>91</v>
      </c>
      <c r="AG202" s="1460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08" t="s">
        <v>394</v>
      </c>
      <c r="B203" s="1709"/>
      <c r="C203" s="938">
        <f t="shared" ref="C203:C205" si="143">SUM(D203:E203)</f>
        <v>621</v>
      </c>
      <c r="D203" s="939">
        <f t="shared" ref="D203" si="144">+F203+H203+J203+L203+N203+P203+R203+T203+V203+X203</f>
        <v>299</v>
      </c>
      <c r="E203" s="940">
        <f>+G203+I203+K203+M203+O203+Q203+S203+U203+W203+Y203</f>
        <v>322</v>
      </c>
      <c r="F203" s="941">
        <v>22</v>
      </c>
      <c r="G203" s="942">
        <v>24</v>
      </c>
      <c r="H203" s="941">
        <v>51</v>
      </c>
      <c r="I203" s="942">
        <v>49</v>
      </c>
      <c r="J203" s="941">
        <v>40</v>
      </c>
      <c r="K203" s="942">
        <v>47</v>
      </c>
      <c r="L203" s="941">
        <v>30</v>
      </c>
      <c r="M203" s="942">
        <v>30</v>
      </c>
      <c r="N203" s="941">
        <v>32</v>
      </c>
      <c r="O203" s="942">
        <v>21</v>
      </c>
      <c r="P203" s="941">
        <v>26</v>
      </c>
      <c r="Q203" s="942">
        <v>35</v>
      </c>
      <c r="R203" s="941">
        <v>31</v>
      </c>
      <c r="S203" s="942">
        <v>33</v>
      </c>
      <c r="T203" s="941">
        <v>27</v>
      </c>
      <c r="U203" s="942">
        <v>33</v>
      </c>
      <c r="V203" s="941">
        <v>21</v>
      </c>
      <c r="W203" s="942">
        <v>29</v>
      </c>
      <c r="X203" s="941">
        <v>19</v>
      </c>
      <c r="Y203" s="943">
        <v>21</v>
      </c>
      <c r="Z203" s="944">
        <v>39</v>
      </c>
      <c r="AA203" s="942">
        <v>46</v>
      </c>
      <c r="AB203" s="941">
        <v>4</v>
      </c>
      <c r="AC203" s="942">
        <v>9</v>
      </c>
      <c r="AD203" s="941">
        <v>3</v>
      </c>
      <c r="AE203" s="942">
        <v>1</v>
      </c>
      <c r="AF203" s="941">
        <v>0</v>
      </c>
      <c r="AG203" s="942">
        <v>0</v>
      </c>
      <c r="AH203" s="107" t="str">
        <f>CA203&amp;CB203&amp;CC203&amp;CD203&amp;CE203&amp;CF203&amp;CG203&amp;CH203</f>
        <v/>
      </c>
      <c r="AI203" s="945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8">
        <f t="shared" ref="DP203:DQ205" si="145">IF(AND(D203&gt;0,Z203=""),1,IF(Z203&gt;D203,1,0))</f>
        <v>0</v>
      </c>
      <c r="DQ203" s="1038">
        <f t="shared" si="145"/>
        <v>0</v>
      </c>
      <c r="DR203" s="1038">
        <f t="shared" ref="DR203:DS205" si="146">IF(AND(D203&gt;0,AB203=""),1,IF(AB203&gt;D203,1,0))</f>
        <v>0</v>
      </c>
      <c r="DS203" s="1038">
        <f t="shared" si="146"/>
        <v>0</v>
      </c>
      <c r="DT203" s="1038">
        <f t="shared" ref="DT203:DU205" si="147">IF(AND(D203&gt;0,AD203=""),1,IF(AD203&gt;D203,1,0))</f>
        <v>0</v>
      </c>
      <c r="DU203" s="1038">
        <f t="shared" si="147"/>
        <v>0</v>
      </c>
      <c r="DV203" s="1038">
        <f t="shared" ref="DV203:DW205" si="148">IF(AND(D203&gt;0,AF203=""),1,IF(AF203&gt;D203,1,0))</f>
        <v>0</v>
      </c>
      <c r="DW203" s="1038">
        <f t="shared" si="148"/>
        <v>0</v>
      </c>
    </row>
    <row r="204" spans="1:127" ht="15" customHeight="1" thickTop="1" x14ac:dyDescent="0.15">
      <c r="A204" s="1720" t="s">
        <v>395</v>
      </c>
      <c r="B204" s="933" t="s">
        <v>396</v>
      </c>
      <c r="C204" s="337">
        <f t="shared" si="143"/>
        <v>316</v>
      </c>
      <c r="D204" s="368">
        <f>+F204+H204+J204+L204+N204+P204+R204+T204+V204+X204</f>
        <v>156</v>
      </c>
      <c r="E204" s="369">
        <f t="shared" ref="E204:E205" si="149">+G204+I204+K204+M204+O204+Q204+S204+U204+W204+Y204</f>
        <v>160</v>
      </c>
      <c r="F204" s="934">
        <v>4</v>
      </c>
      <c r="G204" s="935">
        <v>6</v>
      </c>
      <c r="H204" s="934">
        <v>18</v>
      </c>
      <c r="I204" s="935">
        <v>12</v>
      </c>
      <c r="J204" s="934">
        <v>15</v>
      </c>
      <c r="K204" s="935">
        <v>16</v>
      </c>
      <c r="L204" s="934">
        <v>14</v>
      </c>
      <c r="M204" s="935">
        <v>17</v>
      </c>
      <c r="N204" s="934">
        <v>17</v>
      </c>
      <c r="O204" s="935">
        <v>12</v>
      </c>
      <c r="P204" s="934">
        <v>17</v>
      </c>
      <c r="Q204" s="935">
        <v>25</v>
      </c>
      <c r="R204" s="934">
        <v>21</v>
      </c>
      <c r="S204" s="935">
        <v>15</v>
      </c>
      <c r="T204" s="934">
        <v>19</v>
      </c>
      <c r="U204" s="935">
        <v>20</v>
      </c>
      <c r="V204" s="934">
        <v>16</v>
      </c>
      <c r="W204" s="935">
        <v>22</v>
      </c>
      <c r="X204" s="934">
        <v>15</v>
      </c>
      <c r="Y204" s="936">
        <v>15</v>
      </c>
      <c r="Z204" s="937">
        <v>22</v>
      </c>
      <c r="AA204" s="935">
        <v>28</v>
      </c>
      <c r="AB204" s="934">
        <v>0</v>
      </c>
      <c r="AC204" s="935">
        <v>3</v>
      </c>
      <c r="AD204" s="934">
        <v>3</v>
      </c>
      <c r="AE204" s="935">
        <v>0</v>
      </c>
      <c r="AF204" s="934">
        <v>0</v>
      </c>
      <c r="AG204" s="935">
        <v>0</v>
      </c>
      <c r="AH204" s="107" t="str">
        <f>CA204&amp;CB204&amp;CC204&amp;CD204&amp;CE204&amp;CF204&amp;CG204&amp;CH204</f>
        <v/>
      </c>
      <c r="AI204" s="94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8">
        <f t="shared" si="145"/>
        <v>0</v>
      </c>
      <c r="DQ204" s="1038">
        <f t="shared" si="145"/>
        <v>0</v>
      </c>
      <c r="DR204" s="1038">
        <f t="shared" si="146"/>
        <v>0</v>
      </c>
      <c r="DS204" s="1038">
        <f t="shared" si="146"/>
        <v>0</v>
      </c>
      <c r="DT204" s="1038">
        <f t="shared" si="147"/>
        <v>0</v>
      </c>
      <c r="DU204" s="1038">
        <f t="shared" si="147"/>
        <v>0</v>
      </c>
      <c r="DV204" s="1038">
        <f t="shared" si="148"/>
        <v>0</v>
      </c>
      <c r="DW204" s="1038">
        <f t="shared" si="148"/>
        <v>0</v>
      </c>
    </row>
    <row r="205" spans="1:127" ht="15" customHeight="1" x14ac:dyDescent="0.25">
      <c r="A205" s="1720"/>
      <c r="B205" s="760" t="s">
        <v>397</v>
      </c>
      <c r="C205" s="313">
        <f t="shared" si="143"/>
        <v>305</v>
      </c>
      <c r="D205" s="764">
        <f>+F205+H205+J205+L205+N205+P205+R205+T205+V205+X205</f>
        <v>143</v>
      </c>
      <c r="E205" s="370">
        <f t="shared" si="149"/>
        <v>162</v>
      </c>
      <c r="F205" s="904">
        <v>18</v>
      </c>
      <c r="G205" s="905">
        <v>18</v>
      </c>
      <c r="H205" s="904">
        <v>33</v>
      </c>
      <c r="I205" s="905">
        <v>37</v>
      </c>
      <c r="J205" s="904">
        <v>25</v>
      </c>
      <c r="K205" s="905">
        <v>31</v>
      </c>
      <c r="L205" s="904">
        <v>16</v>
      </c>
      <c r="M205" s="905">
        <v>13</v>
      </c>
      <c r="N205" s="904">
        <v>15</v>
      </c>
      <c r="O205" s="905">
        <v>9</v>
      </c>
      <c r="P205" s="904">
        <v>9</v>
      </c>
      <c r="Q205" s="905">
        <v>10</v>
      </c>
      <c r="R205" s="904">
        <v>10</v>
      </c>
      <c r="S205" s="905">
        <v>18</v>
      </c>
      <c r="T205" s="904">
        <v>8</v>
      </c>
      <c r="U205" s="905">
        <v>13</v>
      </c>
      <c r="V205" s="904">
        <v>5</v>
      </c>
      <c r="W205" s="905">
        <v>7</v>
      </c>
      <c r="X205" s="904">
        <v>4</v>
      </c>
      <c r="Y205" s="906">
        <v>6</v>
      </c>
      <c r="Z205" s="907">
        <v>17</v>
      </c>
      <c r="AA205" s="905">
        <v>18</v>
      </c>
      <c r="AB205" s="904">
        <v>4</v>
      </c>
      <c r="AC205" s="905">
        <v>6</v>
      </c>
      <c r="AD205" s="904">
        <v>0</v>
      </c>
      <c r="AE205" s="905">
        <v>1</v>
      </c>
      <c r="AF205" s="904">
        <v>0</v>
      </c>
      <c r="AG205" s="905">
        <v>0</v>
      </c>
      <c r="AH205" s="107" t="str">
        <f>CA205&amp;CB205&amp;CC205&amp;CD205&amp;CE205&amp;CF205&amp;CG205&amp;CH205</f>
        <v/>
      </c>
      <c r="AI205" s="94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8">
        <f t="shared" si="145"/>
        <v>0</v>
      </c>
      <c r="DQ205" s="1038">
        <f t="shared" si="145"/>
        <v>0</v>
      </c>
      <c r="DR205" s="1038">
        <f t="shared" si="146"/>
        <v>0</v>
      </c>
      <c r="DS205" s="1038">
        <f t="shared" si="146"/>
        <v>0</v>
      </c>
      <c r="DT205" s="1038">
        <f t="shared" si="147"/>
        <v>0</v>
      </c>
      <c r="DU205" s="1038">
        <f t="shared" si="147"/>
        <v>0</v>
      </c>
      <c r="DV205" s="1038">
        <f t="shared" si="148"/>
        <v>0</v>
      </c>
      <c r="DW205" s="1038">
        <f t="shared" si="148"/>
        <v>0</v>
      </c>
    </row>
    <row r="206" spans="1:127" ht="15" customHeight="1" x14ac:dyDescent="0.25">
      <c r="A206" s="1721"/>
      <c r="B206" s="1443" t="s">
        <v>94</v>
      </c>
      <c r="C206" s="1425">
        <f>SUM(D206:E206)</f>
        <v>621</v>
      </c>
      <c r="D206" s="1207">
        <f>+F206+H206+J206+L206+N206+P206+R206+T206+V206+X206</f>
        <v>299</v>
      </c>
      <c r="E206" s="1439">
        <f>+G206+I206+K206+M206+O206+Q206+S206+U206+W206+Y206</f>
        <v>322</v>
      </c>
      <c r="F206" s="1207">
        <f>SUM(F204:F205)</f>
        <v>22</v>
      </c>
      <c r="G206" s="1439">
        <f t="shared" ref="G206:AG206" si="150">SUM(G204:G205)</f>
        <v>24</v>
      </c>
      <c r="H206" s="1207">
        <f t="shared" si="150"/>
        <v>51</v>
      </c>
      <c r="I206" s="1439">
        <f t="shared" si="150"/>
        <v>49</v>
      </c>
      <c r="J206" s="1207">
        <f t="shared" si="150"/>
        <v>40</v>
      </c>
      <c r="K206" s="1439">
        <f t="shared" si="150"/>
        <v>47</v>
      </c>
      <c r="L206" s="1207">
        <f t="shared" si="150"/>
        <v>30</v>
      </c>
      <c r="M206" s="1439">
        <f t="shared" si="150"/>
        <v>30</v>
      </c>
      <c r="N206" s="1207">
        <f t="shared" si="150"/>
        <v>32</v>
      </c>
      <c r="O206" s="1439">
        <f t="shared" si="150"/>
        <v>21</v>
      </c>
      <c r="P206" s="1207">
        <f t="shared" si="150"/>
        <v>26</v>
      </c>
      <c r="Q206" s="1439">
        <f t="shared" si="150"/>
        <v>35</v>
      </c>
      <c r="R206" s="1207">
        <f t="shared" si="150"/>
        <v>31</v>
      </c>
      <c r="S206" s="1439">
        <f t="shared" si="150"/>
        <v>33</v>
      </c>
      <c r="T206" s="1207">
        <f t="shared" si="150"/>
        <v>27</v>
      </c>
      <c r="U206" s="1439">
        <f t="shared" si="150"/>
        <v>33</v>
      </c>
      <c r="V206" s="1207">
        <f t="shared" si="150"/>
        <v>21</v>
      </c>
      <c r="W206" s="1439">
        <f t="shared" si="150"/>
        <v>29</v>
      </c>
      <c r="X206" s="1207">
        <f>SUM(X204:X205)</f>
        <v>19</v>
      </c>
      <c r="Y206" s="1428">
        <f t="shared" si="150"/>
        <v>21</v>
      </c>
      <c r="Z206" s="334">
        <f t="shared" si="150"/>
        <v>39</v>
      </c>
      <c r="AA206" s="1439">
        <f t="shared" si="150"/>
        <v>46</v>
      </c>
      <c r="AB206" s="1207">
        <f t="shared" si="150"/>
        <v>4</v>
      </c>
      <c r="AC206" s="1439">
        <f t="shared" si="150"/>
        <v>9</v>
      </c>
      <c r="AD206" s="1207">
        <f t="shared" si="150"/>
        <v>3</v>
      </c>
      <c r="AE206" s="1439">
        <f>SUM(AE204:AE205)</f>
        <v>1</v>
      </c>
      <c r="AF206" s="1207">
        <f t="shared" si="150"/>
        <v>0</v>
      </c>
      <c r="AG206" s="1439">
        <f t="shared" si="150"/>
        <v>0</v>
      </c>
      <c r="AH206" s="107"/>
      <c r="AI206" s="94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2" t="s">
        <v>398</v>
      </c>
      <c r="B207" s="761">
        <v>0</v>
      </c>
      <c r="C207" s="320">
        <f t="shared" ref="C207:C213" si="151">SUM(D207:E207)</f>
        <v>477</v>
      </c>
      <c r="D207" s="362">
        <f t="shared" ref="D207:D214" si="152">+F207+H207+J207+L207+N207+P207+R207+T207+V207+X207</f>
        <v>233</v>
      </c>
      <c r="E207" s="363">
        <f t="shared" ref="E207:E214" si="153">+G207+I207+K207+M207+O207+Q207+S207+U207+W207+Y207</f>
        <v>244</v>
      </c>
      <c r="F207" s="900">
        <v>22</v>
      </c>
      <c r="G207" s="901">
        <v>24</v>
      </c>
      <c r="H207" s="900">
        <v>51</v>
      </c>
      <c r="I207" s="901">
        <v>49</v>
      </c>
      <c r="J207" s="900">
        <v>39</v>
      </c>
      <c r="K207" s="901">
        <v>46</v>
      </c>
      <c r="L207" s="900">
        <v>23</v>
      </c>
      <c r="M207" s="901">
        <v>21</v>
      </c>
      <c r="N207" s="900">
        <v>24</v>
      </c>
      <c r="O207" s="901">
        <v>17</v>
      </c>
      <c r="P207" s="900">
        <v>13</v>
      </c>
      <c r="Q207" s="901">
        <v>14</v>
      </c>
      <c r="R207" s="900">
        <v>15</v>
      </c>
      <c r="S207" s="901">
        <v>21</v>
      </c>
      <c r="T207" s="900">
        <v>17</v>
      </c>
      <c r="U207" s="901">
        <v>18</v>
      </c>
      <c r="V207" s="900">
        <v>14</v>
      </c>
      <c r="W207" s="901">
        <v>21</v>
      </c>
      <c r="X207" s="900">
        <v>15</v>
      </c>
      <c r="Y207" s="902">
        <v>13</v>
      </c>
      <c r="Z207" s="903">
        <v>27</v>
      </c>
      <c r="AA207" s="901">
        <v>32</v>
      </c>
      <c r="AB207" s="900">
        <v>3</v>
      </c>
      <c r="AC207" s="901">
        <v>6</v>
      </c>
      <c r="AD207" s="900">
        <v>1</v>
      </c>
      <c r="AE207" s="901">
        <v>1</v>
      </c>
      <c r="AF207" s="900">
        <v>0</v>
      </c>
      <c r="AG207" s="901">
        <v>0</v>
      </c>
      <c r="AH207" s="107" t="str">
        <f t="shared" ref="AH207:AH212" si="154">CA207&amp;CB207&amp;CC207&amp;CD207&amp;CE207&amp;CF207&amp;CG207&amp;CH207</f>
        <v/>
      </c>
      <c r="AI207" s="945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8">
        <f t="shared" ref="DP207:DQ212" si="163">IF(AND(D207&gt;0,Z207=""),1,IF(Z207&gt;D207,1,0))</f>
        <v>0</v>
      </c>
      <c r="DQ207" s="1038">
        <f t="shared" si="163"/>
        <v>0</v>
      </c>
      <c r="DR207" s="1038">
        <f t="shared" ref="DR207:DS212" si="164">IF(AND(D207&gt;0,AB207=""),1,IF(AB207&gt;D207,1,0))</f>
        <v>0</v>
      </c>
      <c r="DS207" s="1038">
        <f t="shared" si="164"/>
        <v>0</v>
      </c>
      <c r="DT207" s="1038">
        <f t="shared" ref="DT207:DU212" si="165">IF(AND(D207&gt;0,AD207=""),1,IF(AD207&gt;D207,1,0))</f>
        <v>0</v>
      </c>
      <c r="DU207" s="1038">
        <f t="shared" si="165"/>
        <v>0</v>
      </c>
      <c r="DV207" s="1038">
        <f t="shared" ref="DV207:DW212" si="166">IF(AND(D207&gt;0,AF207=""),1,IF(AF207&gt;D207,1,0))</f>
        <v>0</v>
      </c>
      <c r="DW207" s="1038">
        <f t="shared" si="166"/>
        <v>0</v>
      </c>
    </row>
    <row r="208" spans="1:127" ht="15" customHeight="1" x14ac:dyDescent="0.25">
      <c r="A208" s="1720"/>
      <c r="B208" s="762" t="s">
        <v>399</v>
      </c>
      <c r="C208" s="352">
        <f t="shared" si="151"/>
        <v>62</v>
      </c>
      <c r="D208" s="364">
        <f t="shared" si="152"/>
        <v>32</v>
      </c>
      <c r="E208" s="365">
        <f t="shared" si="153"/>
        <v>30</v>
      </c>
      <c r="F208" s="908">
        <v>0</v>
      </c>
      <c r="G208" s="909">
        <v>0</v>
      </c>
      <c r="H208" s="908">
        <v>0</v>
      </c>
      <c r="I208" s="909">
        <v>0</v>
      </c>
      <c r="J208" s="908">
        <v>0</v>
      </c>
      <c r="K208" s="909">
        <v>1</v>
      </c>
      <c r="L208" s="908">
        <v>4</v>
      </c>
      <c r="M208" s="909">
        <v>0</v>
      </c>
      <c r="N208" s="908">
        <v>4</v>
      </c>
      <c r="O208" s="909">
        <v>0</v>
      </c>
      <c r="P208" s="908">
        <v>6</v>
      </c>
      <c r="Q208" s="909">
        <v>12</v>
      </c>
      <c r="R208" s="908">
        <v>8</v>
      </c>
      <c r="S208" s="909">
        <v>4</v>
      </c>
      <c r="T208" s="908">
        <v>5</v>
      </c>
      <c r="U208" s="909">
        <v>6</v>
      </c>
      <c r="V208" s="908">
        <v>2</v>
      </c>
      <c r="W208" s="909">
        <v>2</v>
      </c>
      <c r="X208" s="908">
        <v>3</v>
      </c>
      <c r="Y208" s="910">
        <v>5</v>
      </c>
      <c r="Z208" s="911">
        <v>5</v>
      </c>
      <c r="AA208" s="909">
        <v>6</v>
      </c>
      <c r="AB208" s="908">
        <v>1</v>
      </c>
      <c r="AC208" s="909">
        <v>2</v>
      </c>
      <c r="AD208" s="908">
        <v>1</v>
      </c>
      <c r="AE208" s="909">
        <v>0</v>
      </c>
      <c r="AF208" s="908">
        <v>0</v>
      </c>
      <c r="AG208" s="909">
        <v>0</v>
      </c>
      <c r="AH208" s="107" t="str">
        <f t="shared" si="154"/>
        <v/>
      </c>
      <c r="AI208" s="945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8">
        <f t="shared" si="163"/>
        <v>0</v>
      </c>
      <c r="DQ208" s="1038">
        <f t="shared" si="163"/>
        <v>0</v>
      </c>
      <c r="DR208" s="1038">
        <f t="shared" si="164"/>
        <v>0</v>
      </c>
      <c r="DS208" s="1038">
        <f t="shared" si="164"/>
        <v>0</v>
      </c>
      <c r="DT208" s="1038">
        <f t="shared" si="165"/>
        <v>0</v>
      </c>
      <c r="DU208" s="1038">
        <f t="shared" si="165"/>
        <v>0</v>
      </c>
      <c r="DV208" s="1038">
        <f t="shared" si="166"/>
        <v>0</v>
      </c>
      <c r="DW208" s="1038">
        <f t="shared" si="166"/>
        <v>0</v>
      </c>
    </row>
    <row r="209" spans="1:127" ht="15" customHeight="1" x14ac:dyDescent="0.25">
      <c r="A209" s="1720"/>
      <c r="B209" s="762" t="s">
        <v>400</v>
      </c>
      <c r="C209" s="352">
        <f t="shared" si="151"/>
        <v>32</v>
      </c>
      <c r="D209" s="364">
        <f t="shared" si="152"/>
        <v>13</v>
      </c>
      <c r="E209" s="365">
        <f t="shared" si="153"/>
        <v>19</v>
      </c>
      <c r="F209" s="908">
        <v>0</v>
      </c>
      <c r="G209" s="909">
        <v>0</v>
      </c>
      <c r="H209" s="908">
        <v>0</v>
      </c>
      <c r="I209" s="909">
        <v>0</v>
      </c>
      <c r="J209" s="908">
        <v>0</v>
      </c>
      <c r="K209" s="909">
        <v>0</v>
      </c>
      <c r="L209" s="908">
        <v>0</v>
      </c>
      <c r="M209" s="909">
        <v>2</v>
      </c>
      <c r="N209" s="908">
        <v>2</v>
      </c>
      <c r="O209" s="909">
        <v>3</v>
      </c>
      <c r="P209" s="908">
        <v>3</v>
      </c>
      <c r="Q209" s="909">
        <v>3</v>
      </c>
      <c r="R209" s="908">
        <v>3</v>
      </c>
      <c r="S209" s="909">
        <v>1</v>
      </c>
      <c r="T209" s="908">
        <v>1</v>
      </c>
      <c r="U209" s="909">
        <v>5</v>
      </c>
      <c r="V209" s="908">
        <v>3</v>
      </c>
      <c r="W209" s="909">
        <v>2</v>
      </c>
      <c r="X209" s="908">
        <v>1</v>
      </c>
      <c r="Y209" s="910">
        <v>3</v>
      </c>
      <c r="Z209" s="911">
        <v>2</v>
      </c>
      <c r="AA209" s="909">
        <v>2</v>
      </c>
      <c r="AB209" s="908">
        <v>0</v>
      </c>
      <c r="AC209" s="909">
        <v>0</v>
      </c>
      <c r="AD209" s="908">
        <v>0</v>
      </c>
      <c r="AE209" s="909">
        <v>0</v>
      </c>
      <c r="AF209" s="908">
        <v>0</v>
      </c>
      <c r="AG209" s="909">
        <v>0</v>
      </c>
      <c r="AH209" s="107" t="str">
        <f t="shared" si="154"/>
        <v/>
      </c>
      <c r="AI209" s="945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8">
        <f t="shared" si="163"/>
        <v>0</v>
      </c>
      <c r="DQ209" s="1038">
        <f t="shared" si="163"/>
        <v>0</v>
      </c>
      <c r="DR209" s="1038">
        <f t="shared" si="164"/>
        <v>0</v>
      </c>
      <c r="DS209" s="1038">
        <f t="shared" si="164"/>
        <v>0</v>
      </c>
      <c r="DT209" s="1038">
        <f t="shared" si="165"/>
        <v>0</v>
      </c>
      <c r="DU209" s="1038">
        <f t="shared" si="165"/>
        <v>0</v>
      </c>
      <c r="DV209" s="1038">
        <f t="shared" si="166"/>
        <v>0</v>
      </c>
      <c r="DW209" s="1038">
        <f t="shared" si="166"/>
        <v>0</v>
      </c>
    </row>
    <row r="210" spans="1:127" ht="15" customHeight="1" x14ac:dyDescent="0.25">
      <c r="A210" s="1720"/>
      <c r="B210" s="762" t="s">
        <v>401</v>
      </c>
      <c r="C210" s="352">
        <f t="shared" si="151"/>
        <v>21</v>
      </c>
      <c r="D210" s="364">
        <f t="shared" si="152"/>
        <v>8</v>
      </c>
      <c r="E210" s="365">
        <f t="shared" si="153"/>
        <v>13</v>
      </c>
      <c r="F210" s="908">
        <v>0</v>
      </c>
      <c r="G210" s="909">
        <v>0</v>
      </c>
      <c r="H210" s="908">
        <v>0</v>
      </c>
      <c r="I210" s="909">
        <v>0</v>
      </c>
      <c r="J210" s="908">
        <v>1</v>
      </c>
      <c r="K210" s="909">
        <v>0</v>
      </c>
      <c r="L210" s="908">
        <v>0</v>
      </c>
      <c r="M210" s="909">
        <v>4</v>
      </c>
      <c r="N210" s="908">
        <v>1</v>
      </c>
      <c r="O210" s="909">
        <v>1</v>
      </c>
      <c r="P210" s="908">
        <v>3</v>
      </c>
      <c r="Q210" s="909">
        <v>3</v>
      </c>
      <c r="R210" s="908">
        <v>1</v>
      </c>
      <c r="S210" s="909">
        <v>2</v>
      </c>
      <c r="T210" s="908">
        <v>2</v>
      </c>
      <c r="U210" s="909">
        <v>2</v>
      </c>
      <c r="V210" s="908">
        <v>0</v>
      </c>
      <c r="W210" s="909">
        <v>1</v>
      </c>
      <c r="X210" s="908">
        <v>0</v>
      </c>
      <c r="Y210" s="910">
        <v>0</v>
      </c>
      <c r="Z210" s="911">
        <v>1</v>
      </c>
      <c r="AA210" s="909">
        <v>4</v>
      </c>
      <c r="AB210" s="908">
        <v>0</v>
      </c>
      <c r="AC210" s="909">
        <v>0</v>
      </c>
      <c r="AD210" s="908">
        <v>0</v>
      </c>
      <c r="AE210" s="909">
        <v>0</v>
      </c>
      <c r="AF210" s="908">
        <v>0</v>
      </c>
      <c r="AG210" s="909">
        <v>0</v>
      </c>
      <c r="AH210" s="107" t="str">
        <f t="shared" si="154"/>
        <v/>
      </c>
      <c r="AI210" s="945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8">
        <f t="shared" si="163"/>
        <v>0</v>
      </c>
      <c r="DQ210" s="1038">
        <f t="shared" si="163"/>
        <v>0</v>
      </c>
      <c r="DR210" s="1038">
        <f t="shared" si="164"/>
        <v>0</v>
      </c>
      <c r="DS210" s="1038">
        <f t="shared" si="164"/>
        <v>0</v>
      </c>
      <c r="DT210" s="1038">
        <f t="shared" si="165"/>
        <v>0</v>
      </c>
      <c r="DU210" s="1038">
        <f t="shared" si="165"/>
        <v>0</v>
      </c>
      <c r="DV210" s="1038">
        <f t="shared" si="166"/>
        <v>0</v>
      </c>
      <c r="DW210" s="1038">
        <f t="shared" si="166"/>
        <v>0</v>
      </c>
    </row>
    <row r="211" spans="1:127" ht="15" customHeight="1" x14ac:dyDescent="0.25">
      <c r="A211" s="1720"/>
      <c r="B211" s="763" t="s">
        <v>402</v>
      </c>
      <c r="C211" s="377">
        <f t="shared" si="151"/>
        <v>11</v>
      </c>
      <c r="D211" s="744">
        <f t="shared" si="152"/>
        <v>5</v>
      </c>
      <c r="E211" s="701">
        <f t="shared" si="153"/>
        <v>6</v>
      </c>
      <c r="F211" s="912">
        <v>0</v>
      </c>
      <c r="G211" s="913">
        <v>0</v>
      </c>
      <c r="H211" s="912">
        <v>0</v>
      </c>
      <c r="I211" s="913">
        <v>0</v>
      </c>
      <c r="J211" s="912">
        <v>0</v>
      </c>
      <c r="K211" s="913">
        <v>0</v>
      </c>
      <c r="L211" s="912">
        <v>0</v>
      </c>
      <c r="M211" s="913">
        <v>2</v>
      </c>
      <c r="N211" s="912">
        <v>0</v>
      </c>
      <c r="O211" s="913">
        <v>0</v>
      </c>
      <c r="P211" s="912">
        <v>1</v>
      </c>
      <c r="Q211" s="913">
        <v>1</v>
      </c>
      <c r="R211" s="912">
        <v>3</v>
      </c>
      <c r="S211" s="913">
        <v>2</v>
      </c>
      <c r="T211" s="912">
        <v>1</v>
      </c>
      <c r="U211" s="913">
        <v>0</v>
      </c>
      <c r="V211" s="912">
        <v>0</v>
      </c>
      <c r="W211" s="913">
        <v>1</v>
      </c>
      <c r="X211" s="912">
        <v>0</v>
      </c>
      <c r="Y211" s="914">
        <v>0</v>
      </c>
      <c r="Z211" s="915">
        <v>1</v>
      </c>
      <c r="AA211" s="913">
        <v>0</v>
      </c>
      <c r="AB211" s="912">
        <v>0</v>
      </c>
      <c r="AC211" s="913">
        <v>1</v>
      </c>
      <c r="AD211" s="912">
        <v>1</v>
      </c>
      <c r="AE211" s="913">
        <v>0</v>
      </c>
      <c r="AF211" s="912">
        <v>0</v>
      </c>
      <c r="AG211" s="913">
        <v>0</v>
      </c>
      <c r="AH211" s="107" t="str">
        <f t="shared" si="154"/>
        <v/>
      </c>
      <c r="AI211" s="945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8">
        <f t="shared" si="163"/>
        <v>0</v>
      </c>
      <c r="DQ211" s="1038">
        <f t="shared" si="163"/>
        <v>0</v>
      </c>
      <c r="DR211" s="1038">
        <f t="shared" si="164"/>
        <v>0</v>
      </c>
      <c r="DS211" s="1038">
        <f t="shared" si="164"/>
        <v>0</v>
      </c>
      <c r="DT211" s="1038">
        <f t="shared" si="165"/>
        <v>0</v>
      </c>
      <c r="DU211" s="1038">
        <f t="shared" si="165"/>
        <v>0</v>
      </c>
      <c r="DV211" s="1038">
        <f t="shared" si="166"/>
        <v>0</v>
      </c>
      <c r="DW211" s="1038">
        <f t="shared" si="166"/>
        <v>0</v>
      </c>
    </row>
    <row r="212" spans="1:127" ht="15" customHeight="1" x14ac:dyDescent="0.25">
      <c r="A212" s="1720"/>
      <c r="B212" s="1462" t="s">
        <v>403</v>
      </c>
      <c r="C212" s="1425">
        <f t="shared" si="151"/>
        <v>18</v>
      </c>
      <c r="D212" s="1207">
        <f t="shared" si="152"/>
        <v>8</v>
      </c>
      <c r="E212" s="1439">
        <f t="shared" si="153"/>
        <v>10</v>
      </c>
      <c r="F212" s="1211">
        <v>0</v>
      </c>
      <c r="G212" s="1463">
        <v>0</v>
      </c>
      <c r="H212" s="1211">
        <v>0</v>
      </c>
      <c r="I212" s="1463">
        <v>0</v>
      </c>
      <c r="J212" s="1211">
        <v>0</v>
      </c>
      <c r="K212" s="1463">
        <v>0</v>
      </c>
      <c r="L212" s="1211">
        <v>3</v>
      </c>
      <c r="M212" s="1463">
        <v>1</v>
      </c>
      <c r="N212" s="1211">
        <v>1</v>
      </c>
      <c r="O212" s="1463">
        <v>0</v>
      </c>
      <c r="P212" s="1211">
        <v>0</v>
      </c>
      <c r="Q212" s="1463">
        <v>2</v>
      </c>
      <c r="R212" s="1211">
        <v>1</v>
      </c>
      <c r="S212" s="1463">
        <v>3</v>
      </c>
      <c r="T212" s="1211">
        <v>1</v>
      </c>
      <c r="U212" s="1463">
        <v>2</v>
      </c>
      <c r="V212" s="1211">
        <v>2</v>
      </c>
      <c r="W212" s="1463">
        <v>2</v>
      </c>
      <c r="X212" s="1211">
        <v>0</v>
      </c>
      <c r="Y212" s="1464">
        <v>0</v>
      </c>
      <c r="Z212" s="916">
        <v>3</v>
      </c>
      <c r="AA212" s="1463">
        <v>2</v>
      </c>
      <c r="AB212" s="1211">
        <v>0</v>
      </c>
      <c r="AC212" s="1463">
        <v>0</v>
      </c>
      <c r="AD212" s="1211">
        <v>0</v>
      </c>
      <c r="AE212" s="1463">
        <v>0</v>
      </c>
      <c r="AF212" s="1211">
        <v>0</v>
      </c>
      <c r="AG212" s="1463">
        <v>0</v>
      </c>
      <c r="AH212" s="107" t="str">
        <f t="shared" si="154"/>
        <v/>
      </c>
      <c r="AI212" s="945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8">
        <f t="shared" si="163"/>
        <v>0</v>
      </c>
      <c r="DQ212" s="1038">
        <f t="shared" si="163"/>
        <v>0</v>
      </c>
      <c r="DR212" s="1038">
        <f t="shared" si="164"/>
        <v>0</v>
      </c>
      <c r="DS212" s="1038">
        <f t="shared" si="164"/>
        <v>0</v>
      </c>
      <c r="DT212" s="1038">
        <f t="shared" si="165"/>
        <v>0</v>
      </c>
      <c r="DU212" s="1038">
        <f t="shared" si="165"/>
        <v>0</v>
      </c>
      <c r="DV212" s="1038">
        <f t="shared" si="166"/>
        <v>0</v>
      </c>
      <c r="DW212" s="1038">
        <f t="shared" si="166"/>
        <v>0</v>
      </c>
    </row>
    <row r="213" spans="1:127" ht="15" customHeight="1" x14ac:dyDescent="0.25">
      <c r="A213" s="1720"/>
      <c r="B213" s="1465" t="s">
        <v>94</v>
      </c>
      <c r="C213" s="1425">
        <f t="shared" si="151"/>
        <v>621</v>
      </c>
      <c r="D213" s="1207">
        <f t="shared" si="152"/>
        <v>299</v>
      </c>
      <c r="E213" s="1439">
        <f t="shared" si="153"/>
        <v>322</v>
      </c>
      <c r="F213" s="1207">
        <f>SUM(F207:F212)</f>
        <v>22</v>
      </c>
      <c r="G213" s="1439">
        <f t="shared" ref="G213:AG213" si="167">SUM(G207:G212)</f>
        <v>24</v>
      </c>
      <c r="H213" s="1466">
        <f t="shared" si="167"/>
        <v>51</v>
      </c>
      <c r="I213" s="1467">
        <f t="shared" si="167"/>
        <v>49</v>
      </c>
      <c r="J213" s="1466">
        <f t="shared" si="167"/>
        <v>40</v>
      </c>
      <c r="K213" s="1467">
        <f t="shared" si="167"/>
        <v>47</v>
      </c>
      <c r="L213" s="1466">
        <f t="shared" si="167"/>
        <v>30</v>
      </c>
      <c r="M213" s="1467">
        <f t="shared" si="167"/>
        <v>30</v>
      </c>
      <c r="N213" s="1466">
        <f t="shared" si="167"/>
        <v>32</v>
      </c>
      <c r="O213" s="1467">
        <f t="shared" si="167"/>
        <v>21</v>
      </c>
      <c r="P213" s="1466">
        <f t="shared" si="167"/>
        <v>26</v>
      </c>
      <c r="Q213" s="1467">
        <f t="shared" si="167"/>
        <v>35</v>
      </c>
      <c r="R213" s="1466">
        <f t="shared" si="167"/>
        <v>31</v>
      </c>
      <c r="S213" s="1467">
        <f t="shared" si="167"/>
        <v>33</v>
      </c>
      <c r="T213" s="1466">
        <f t="shared" si="167"/>
        <v>27</v>
      </c>
      <c r="U213" s="1467">
        <f t="shared" si="167"/>
        <v>33</v>
      </c>
      <c r="V213" s="1466">
        <f t="shared" si="167"/>
        <v>21</v>
      </c>
      <c r="W213" s="1467">
        <f t="shared" si="167"/>
        <v>29</v>
      </c>
      <c r="X213" s="1466">
        <f t="shared" si="167"/>
        <v>19</v>
      </c>
      <c r="Y213" s="1468">
        <f t="shared" si="167"/>
        <v>21</v>
      </c>
      <c r="Z213" s="1469">
        <f t="shared" si="167"/>
        <v>39</v>
      </c>
      <c r="AA213" s="1467">
        <f t="shared" si="167"/>
        <v>46</v>
      </c>
      <c r="AB213" s="1466">
        <f t="shared" si="167"/>
        <v>4</v>
      </c>
      <c r="AC213" s="1467">
        <f t="shared" si="167"/>
        <v>9</v>
      </c>
      <c r="AD213" s="1466">
        <f t="shared" si="167"/>
        <v>3</v>
      </c>
      <c r="AE213" s="1467">
        <f t="shared" si="167"/>
        <v>1</v>
      </c>
      <c r="AF213" s="1466">
        <f t="shared" si="167"/>
        <v>0</v>
      </c>
      <c r="AG213" s="1470">
        <f t="shared" si="167"/>
        <v>0</v>
      </c>
      <c r="AH213" s="107"/>
      <c r="AI213" s="94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23" t="s">
        <v>404</v>
      </c>
      <c r="B214" s="1724"/>
      <c r="C214" s="1425">
        <f>SUM(D214:E214)</f>
        <v>746</v>
      </c>
      <c r="D214" s="1207">
        <f t="shared" si="152"/>
        <v>370</v>
      </c>
      <c r="E214" s="1439">
        <f t="shared" si="153"/>
        <v>376</v>
      </c>
      <c r="F214" s="1088"/>
      <c r="G214" s="1089"/>
      <c r="H214" s="1211">
        <v>25</v>
      </c>
      <c r="I214" s="1463">
        <v>14</v>
      </c>
      <c r="J214" s="1211">
        <v>39</v>
      </c>
      <c r="K214" s="1463">
        <v>37</v>
      </c>
      <c r="L214" s="1211">
        <v>54</v>
      </c>
      <c r="M214" s="1463">
        <v>61</v>
      </c>
      <c r="N214" s="1211">
        <v>52</v>
      </c>
      <c r="O214" s="1463">
        <v>36</v>
      </c>
      <c r="P214" s="1211">
        <v>40</v>
      </c>
      <c r="Q214" s="1463">
        <v>44</v>
      </c>
      <c r="R214" s="1211">
        <v>41</v>
      </c>
      <c r="S214" s="1463">
        <v>54</v>
      </c>
      <c r="T214" s="1211">
        <v>38</v>
      </c>
      <c r="U214" s="1463">
        <v>39</v>
      </c>
      <c r="V214" s="1211">
        <v>45</v>
      </c>
      <c r="W214" s="1463">
        <v>55</v>
      </c>
      <c r="X214" s="1211">
        <v>36</v>
      </c>
      <c r="Y214" s="1464">
        <v>36</v>
      </c>
      <c r="Z214" s="916">
        <v>44</v>
      </c>
      <c r="AA214" s="1463">
        <v>61</v>
      </c>
      <c r="AB214" s="1211">
        <v>6</v>
      </c>
      <c r="AC214" s="1463">
        <v>12</v>
      </c>
      <c r="AD214" s="1211">
        <v>4</v>
      </c>
      <c r="AE214" s="1463">
        <v>0</v>
      </c>
      <c r="AF214" s="1211">
        <v>0</v>
      </c>
      <c r="AG214" s="1463">
        <v>1</v>
      </c>
      <c r="AH214" s="107" t="str">
        <f>CA214&amp;CB214&amp;CC214&amp;CD214&amp;CE214&amp;CF214&amp;CG214&amp;CH214</f>
        <v/>
      </c>
      <c r="AI214" s="94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8">
        <f>IF(AND(D214&gt;0,Z214=""),1,IF(Z214&gt;D214,1,0))</f>
        <v>0</v>
      </c>
      <c r="DQ214" s="1038">
        <f>IF(AND(E214&gt;0,AA214=""),1,IF(AA214&gt;E214,1,0))</f>
        <v>0</v>
      </c>
      <c r="DR214" s="1038">
        <f>IF(AND(D214&gt;0,AB214=""),1,IF(AB214&gt;D214,1,0))</f>
        <v>0</v>
      </c>
      <c r="DS214" s="1038">
        <f>IF(AND(E214&gt;0,AC214=""),1,IF(AC214&gt;E214,1,0))</f>
        <v>0</v>
      </c>
      <c r="DT214" s="1038">
        <f>IF(AND(D214&gt;0,AD214=""),1,IF(AD214&gt;D214,1,0))</f>
        <v>0</v>
      </c>
      <c r="DU214" s="1038">
        <f>IF(AND(E214&gt;0,AE214=""),1,IF(AE214&gt;E214,1,0))</f>
        <v>0</v>
      </c>
      <c r="DV214" s="1038">
        <f>IF(AND(D214&gt;0,AF214=""),1,IF(AF214&gt;D214,1,0))</f>
        <v>0</v>
      </c>
      <c r="DW214" s="103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71">
        <f>SUM(C12:C40,C45:C48,C50:C51,C53,C54:C55,C57:C58,C60:C63,C65:C70,C72,C74,C78:C105,C109:C111,C116:C117,C121:C125,C131:C134,C139:C140,C146:C190,C196:C198,C203,C206,C213,C214)</f>
        <v>16342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71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11" zoomScale="75" zoomScaleNormal="75" workbookViewId="0">
      <selection activeCell="C15" sqref="C15:C17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2"/>
      <c r="G6" s="1102"/>
      <c r="H6" s="1102"/>
      <c r="I6" s="1102"/>
      <c r="J6" s="1102"/>
      <c r="K6" s="1102"/>
      <c r="AZ6" s="176"/>
      <c r="BP6" s="176"/>
    </row>
    <row r="7" spans="1:95" ht="21.75" customHeight="1" x14ac:dyDescent="0.25">
      <c r="A7" s="1847" t="s">
        <v>405</v>
      </c>
      <c r="B7" s="1847"/>
      <c r="C7" s="1847"/>
      <c r="D7" s="1847"/>
      <c r="E7" s="1847"/>
      <c r="F7" s="1847"/>
      <c r="G7" s="1847"/>
      <c r="H7" s="1847"/>
      <c r="I7" s="1847"/>
      <c r="J7" s="1847"/>
      <c r="K7" s="1847"/>
      <c r="L7" s="1847"/>
      <c r="M7" s="1847"/>
      <c r="N7" s="1847"/>
      <c r="O7" s="1847"/>
      <c r="P7" s="1847"/>
      <c r="Q7" s="1847"/>
      <c r="R7" s="1847"/>
      <c r="S7" s="1847"/>
      <c r="T7" s="1847"/>
      <c r="U7" s="1102"/>
      <c r="V7" s="1102"/>
      <c r="W7" s="1102"/>
      <c r="X7" s="1102"/>
      <c r="Y7" s="1102"/>
    </row>
    <row r="8" spans="1:95" ht="17.100000000000001" customHeight="1" x14ac:dyDescent="0.25">
      <c r="A8" s="1340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89" t="s">
        <v>407</v>
      </c>
      <c r="B9" s="1889"/>
      <c r="C9" s="1714" t="s">
        <v>54</v>
      </c>
      <c r="D9" s="1715"/>
      <c r="E9" s="1716"/>
      <c r="F9" s="1878" t="s">
        <v>381</v>
      </c>
      <c r="G9" s="1879"/>
      <c r="H9" s="1879"/>
      <c r="I9" s="1879"/>
      <c r="J9" s="1879"/>
      <c r="K9" s="1879"/>
      <c r="L9" s="1879"/>
      <c r="M9" s="1879"/>
      <c r="N9" s="1879"/>
      <c r="O9" s="1879"/>
      <c r="P9" s="1879"/>
      <c r="Q9" s="1879"/>
      <c r="R9" s="1879"/>
      <c r="S9" s="1879"/>
      <c r="T9" s="1879"/>
      <c r="U9" s="1879"/>
      <c r="V9" s="1879"/>
      <c r="W9" s="1879"/>
      <c r="X9" s="1879"/>
      <c r="Y9" s="1879"/>
      <c r="Z9" s="1879"/>
      <c r="AA9" s="1879"/>
      <c r="AB9" s="1879"/>
      <c r="AC9" s="1879"/>
      <c r="AD9" s="1879"/>
      <c r="AE9" s="1879"/>
      <c r="AF9" s="1879"/>
      <c r="AG9" s="1879"/>
      <c r="AH9" s="1879"/>
      <c r="AI9" s="1879"/>
      <c r="AJ9" s="1879"/>
      <c r="AK9" s="1879"/>
      <c r="AL9" s="1879"/>
      <c r="AM9" s="1880"/>
      <c r="AN9" s="1870" t="s">
        <v>408</v>
      </c>
      <c r="AO9" s="1848" t="s">
        <v>56</v>
      </c>
      <c r="AP9" s="1849"/>
      <c r="AQ9" s="1848" t="s">
        <v>113</v>
      </c>
      <c r="AR9" s="1866"/>
      <c r="AY9" s="172"/>
      <c r="AZ9" s="604"/>
      <c r="BO9" s="172"/>
      <c r="BP9" s="107"/>
    </row>
    <row r="10" spans="1:95" ht="20.25" customHeight="1" x14ac:dyDescent="0.25">
      <c r="A10" s="1890"/>
      <c r="B10" s="1890"/>
      <c r="C10" s="1717"/>
      <c r="D10" s="1718"/>
      <c r="E10" s="1719"/>
      <c r="F10" s="1873" t="s">
        <v>409</v>
      </c>
      <c r="G10" s="1874"/>
      <c r="H10" s="1873" t="s">
        <v>410</v>
      </c>
      <c r="I10" s="1874"/>
      <c r="J10" s="1873" t="s">
        <v>321</v>
      </c>
      <c r="K10" s="1874"/>
      <c r="L10" s="1875" t="s">
        <v>62</v>
      </c>
      <c r="M10" s="1875"/>
      <c r="N10" s="1875" t="s">
        <v>63</v>
      </c>
      <c r="O10" s="1875"/>
      <c r="P10" s="1875" t="s">
        <v>64</v>
      </c>
      <c r="Q10" s="1875"/>
      <c r="R10" s="1648" t="s">
        <v>65</v>
      </c>
      <c r="S10" s="1650"/>
      <c r="T10" s="1875" t="s">
        <v>66</v>
      </c>
      <c r="U10" s="1875"/>
      <c r="V10" s="1648" t="s">
        <v>67</v>
      </c>
      <c r="W10" s="1650"/>
      <c r="X10" s="1875" t="s">
        <v>68</v>
      </c>
      <c r="Y10" s="1875"/>
      <c r="Z10" s="1648" t="s">
        <v>69</v>
      </c>
      <c r="AA10" s="1650"/>
      <c r="AB10" s="1875" t="s">
        <v>70</v>
      </c>
      <c r="AC10" s="1875"/>
      <c r="AD10" s="1648" t="s">
        <v>71</v>
      </c>
      <c r="AE10" s="1650"/>
      <c r="AF10" s="1876" t="s">
        <v>72</v>
      </c>
      <c r="AG10" s="1877"/>
      <c r="AH10" s="1876" t="s">
        <v>411</v>
      </c>
      <c r="AI10" s="1877"/>
      <c r="AJ10" s="1876" t="s">
        <v>412</v>
      </c>
      <c r="AK10" s="1877"/>
      <c r="AL10" s="1876" t="s">
        <v>413</v>
      </c>
      <c r="AM10" s="1881"/>
      <c r="AN10" s="1871"/>
      <c r="AO10" s="1850"/>
      <c r="AP10" s="1851"/>
      <c r="AQ10" s="1850"/>
      <c r="AR10" s="1868"/>
      <c r="AY10" s="172"/>
      <c r="AZ10" s="604"/>
      <c r="BO10" s="172"/>
      <c r="BP10" s="107"/>
    </row>
    <row r="11" spans="1:95" ht="21" x14ac:dyDescent="0.25">
      <c r="A11" s="1890"/>
      <c r="B11" s="1890"/>
      <c r="C11" s="1458" t="s">
        <v>414</v>
      </c>
      <c r="D11" s="1472" t="s">
        <v>91</v>
      </c>
      <c r="E11" s="1473" t="s">
        <v>231</v>
      </c>
      <c r="F11" s="1474" t="s">
        <v>91</v>
      </c>
      <c r="G11" s="1473" t="s">
        <v>231</v>
      </c>
      <c r="H11" s="1474" t="s">
        <v>91</v>
      </c>
      <c r="I11" s="1473" t="s">
        <v>231</v>
      </c>
      <c r="J11" s="1474" t="s">
        <v>91</v>
      </c>
      <c r="K11" s="1473" t="s">
        <v>231</v>
      </c>
      <c r="L11" s="1475" t="s">
        <v>91</v>
      </c>
      <c r="M11" s="1476" t="s">
        <v>231</v>
      </c>
      <c r="N11" s="1475" t="s">
        <v>91</v>
      </c>
      <c r="O11" s="1476" t="s">
        <v>231</v>
      </c>
      <c r="P11" s="1475" t="s">
        <v>91</v>
      </c>
      <c r="Q11" s="1476" t="s">
        <v>231</v>
      </c>
      <c r="R11" s="1212" t="s">
        <v>91</v>
      </c>
      <c r="S11" s="984" t="s">
        <v>231</v>
      </c>
      <c r="T11" s="1475" t="s">
        <v>91</v>
      </c>
      <c r="U11" s="1476" t="s">
        <v>231</v>
      </c>
      <c r="V11" s="1212" t="s">
        <v>91</v>
      </c>
      <c r="W11" s="984" t="s">
        <v>231</v>
      </c>
      <c r="X11" s="1475" t="s">
        <v>91</v>
      </c>
      <c r="Y11" s="1476" t="s">
        <v>231</v>
      </c>
      <c r="Z11" s="1212" t="s">
        <v>91</v>
      </c>
      <c r="AA11" s="984" t="s">
        <v>231</v>
      </c>
      <c r="AB11" s="1475" t="s">
        <v>91</v>
      </c>
      <c r="AC11" s="1476" t="s">
        <v>231</v>
      </c>
      <c r="AD11" s="1212" t="s">
        <v>91</v>
      </c>
      <c r="AE11" s="984" t="s">
        <v>231</v>
      </c>
      <c r="AF11" s="1213" t="s">
        <v>415</v>
      </c>
      <c r="AG11" s="871" t="s">
        <v>231</v>
      </c>
      <c r="AH11" s="1213" t="s">
        <v>415</v>
      </c>
      <c r="AI11" s="871" t="s">
        <v>231</v>
      </c>
      <c r="AJ11" s="1213" t="s">
        <v>415</v>
      </c>
      <c r="AK11" s="871" t="s">
        <v>231</v>
      </c>
      <c r="AL11" s="1213" t="s">
        <v>415</v>
      </c>
      <c r="AM11" s="86" t="s">
        <v>231</v>
      </c>
      <c r="AN11" s="1872"/>
      <c r="AO11" s="754" t="s">
        <v>415</v>
      </c>
      <c r="AP11" s="755" t="s">
        <v>231</v>
      </c>
      <c r="AQ11" s="1477" t="s">
        <v>415</v>
      </c>
      <c r="AR11" s="871" t="s">
        <v>231</v>
      </c>
      <c r="AY11" s="172"/>
      <c r="AZ11" s="604"/>
      <c r="BO11" s="172"/>
      <c r="BP11" s="107"/>
    </row>
    <row r="12" spans="1:95" ht="15" customHeight="1" x14ac:dyDescent="0.25">
      <c r="A12" s="1899" t="s">
        <v>416</v>
      </c>
      <c r="B12" s="566" t="s">
        <v>286</v>
      </c>
      <c r="C12" s="1136">
        <f>SUM(D12:E12)</f>
        <v>3</v>
      </c>
      <c r="D12" s="391">
        <f>+F12</f>
        <v>1</v>
      </c>
      <c r="E12" s="392">
        <f>+G12</f>
        <v>2</v>
      </c>
      <c r="F12" s="393">
        <v>1</v>
      </c>
      <c r="G12" s="394">
        <v>2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7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8">
        <f>IF($AN12&lt;=$C12,0,1)</f>
        <v>0</v>
      </c>
      <c r="CN12" s="1038">
        <f>IF(AND(D12&gt;0,OR(AO12="")),1,IF(AO12&gt;D12,1,0))</f>
        <v>0</v>
      </c>
      <c r="CO12" s="1038">
        <f>IF(AND(E12&gt;0,OR(AP12="")),1,IF(AP12&gt;E12,1,0))</f>
        <v>0</v>
      </c>
      <c r="CP12" s="1038">
        <f>IF(AND(D12&gt;0,OR(AQ12="")),1,IF(AQ12&gt;D12,1,0))</f>
        <v>0</v>
      </c>
      <c r="CQ12" s="1038">
        <f>IF(AND(E12&gt;0,OR(AR12="")),1,IF(AR12&gt;E12,1,0))</f>
        <v>0</v>
      </c>
    </row>
    <row r="13" spans="1:95" ht="15" customHeight="1" x14ac:dyDescent="0.25">
      <c r="A13" s="1900"/>
      <c r="B13" s="87" t="s">
        <v>287</v>
      </c>
      <c r="C13" s="1133">
        <f t="shared" ref="C13:C39" si="0">SUM(D13:E13)</f>
        <v>51</v>
      </c>
      <c r="D13" s="396">
        <f>+F13</f>
        <v>29</v>
      </c>
      <c r="E13" s="384">
        <f t="shared" ref="D13:E14" si="1">+G13</f>
        <v>22</v>
      </c>
      <c r="F13" s="397">
        <v>29</v>
      </c>
      <c r="G13" s="398">
        <v>22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9</v>
      </c>
      <c r="AP13" s="398">
        <v>6</v>
      </c>
      <c r="AQ13" s="443">
        <v>0</v>
      </c>
      <c r="AR13" s="398">
        <v>0</v>
      </c>
      <c r="AS13" s="1047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8">
        <f t="shared" ref="CM13:CM18" si="8">IF($AN13&lt;=$C13,0,1)</f>
        <v>0</v>
      </c>
      <c r="CN13" s="1038">
        <f t="shared" ref="CN13:CN44" si="9">IF(AND(D13&gt;0,OR(AO13="")),1,IF(AO13&gt;D13,1,0))</f>
        <v>0</v>
      </c>
      <c r="CO13" s="1038">
        <f t="shared" ref="CO13:CO44" si="10">IF(AND(E13&gt;0,OR(AP13="")),1,IF(AP13&gt;E13,1,0))</f>
        <v>0</v>
      </c>
      <c r="CP13" s="1038">
        <f t="shared" ref="CP13:CP44" si="11">IF(AND(D13&gt;0,OR(AQ13="")),1,IF(AQ13&gt;D13,1,0))</f>
        <v>0</v>
      </c>
      <c r="CQ13" s="1038">
        <f t="shared" ref="CQ13:CQ44" si="12">IF(AND(E13&gt;0,OR(AR13="")),1,IF(AR13&gt;E13,1,0))</f>
        <v>0</v>
      </c>
    </row>
    <row r="14" spans="1:95" ht="15" customHeight="1" x14ac:dyDescent="0.25">
      <c r="A14" s="1896"/>
      <c r="B14" s="88" t="s">
        <v>417</v>
      </c>
      <c r="C14" s="1310">
        <f t="shared" si="0"/>
        <v>2</v>
      </c>
      <c r="D14" s="400">
        <f t="shared" si="1"/>
        <v>2</v>
      </c>
      <c r="E14" s="401">
        <f t="shared" si="1"/>
        <v>0</v>
      </c>
      <c r="F14" s="402">
        <v>2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7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8">
        <f t="shared" si="8"/>
        <v>0</v>
      </c>
      <c r="CN14" s="1038">
        <f t="shared" si="9"/>
        <v>0</v>
      </c>
      <c r="CO14" s="1038">
        <f t="shared" si="10"/>
        <v>0</v>
      </c>
      <c r="CP14" s="1038">
        <f t="shared" si="11"/>
        <v>0</v>
      </c>
      <c r="CQ14" s="1038">
        <f t="shared" si="12"/>
        <v>0</v>
      </c>
    </row>
    <row r="15" spans="1:95" ht="15" customHeight="1" x14ac:dyDescent="0.25">
      <c r="A15" s="1892" t="s">
        <v>418</v>
      </c>
      <c r="B15" s="566" t="s">
        <v>286</v>
      </c>
      <c r="C15" s="1136">
        <f t="shared" si="0"/>
        <v>113</v>
      </c>
      <c r="D15" s="391">
        <f>+F15+H15+J15+L15+N15+P15+R15+T15+V15+X15+Z15+AB15+AD15+AF15+AH15+AJ15+AL15</f>
        <v>37</v>
      </c>
      <c r="E15" s="392">
        <f>+G15+I15+K15+M15+O15+Q15+S15+U15+W15+Y15+AA15+AC15+AE15+AG15+AI15+AK15+AM15</f>
        <v>76</v>
      </c>
      <c r="F15" s="393">
        <v>0</v>
      </c>
      <c r="G15" s="394">
        <v>0</v>
      </c>
      <c r="H15" s="393">
        <v>3</v>
      </c>
      <c r="I15" s="394">
        <v>3</v>
      </c>
      <c r="J15" s="393">
        <v>7</v>
      </c>
      <c r="K15" s="394">
        <v>0</v>
      </c>
      <c r="L15" s="393">
        <v>6</v>
      </c>
      <c r="M15" s="394">
        <v>3</v>
      </c>
      <c r="N15" s="393">
        <v>3</v>
      </c>
      <c r="O15" s="394">
        <v>8</v>
      </c>
      <c r="P15" s="393">
        <v>1</v>
      </c>
      <c r="Q15" s="394">
        <v>9</v>
      </c>
      <c r="R15" s="393">
        <v>2</v>
      </c>
      <c r="S15" s="394">
        <v>5</v>
      </c>
      <c r="T15" s="393">
        <v>1</v>
      </c>
      <c r="U15" s="394">
        <v>4</v>
      </c>
      <c r="V15" s="393">
        <v>0</v>
      </c>
      <c r="W15" s="394">
        <v>4</v>
      </c>
      <c r="X15" s="393">
        <v>1</v>
      </c>
      <c r="Y15" s="394">
        <v>1</v>
      </c>
      <c r="Z15" s="393">
        <v>2</v>
      </c>
      <c r="AA15" s="394">
        <v>6</v>
      </c>
      <c r="AB15" s="393">
        <v>0</v>
      </c>
      <c r="AC15" s="394">
        <v>7</v>
      </c>
      <c r="AD15" s="393">
        <v>1</v>
      </c>
      <c r="AE15" s="394">
        <v>5</v>
      </c>
      <c r="AF15" s="393">
        <v>2</v>
      </c>
      <c r="AG15" s="394">
        <v>8</v>
      </c>
      <c r="AH15" s="393">
        <v>4</v>
      </c>
      <c r="AI15" s="394">
        <v>3</v>
      </c>
      <c r="AJ15" s="393">
        <v>2</v>
      </c>
      <c r="AK15" s="394">
        <v>5</v>
      </c>
      <c r="AL15" s="393">
        <v>2</v>
      </c>
      <c r="AM15" s="404">
        <v>5</v>
      </c>
      <c r="AN15" s="395">
        <v>0</v>
      </c>
      <c r="AO15" s="410">
        <v>13</v>
      </c>
      <c r="AP15" s="394">
        <v>10</v>
      </c>
      <c r="AQ15" s="410">
        <v>2</v>
      </c>
      <c r="AR15" s="394">
        <v>1</v>
      </c>
      <c r="AS15" s="1047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8">
        <f t="shared" si="8"/>
        <v>0</v>
      </c>
      <c r="CN15" s="1038">
        <f t="shared" si="9"/>
        <v>0</v>
      </c>
      <c r="CO15" s="1038">
        <f t="shared" si="10"/>
        <v>0</v>
      </c>
      <c r="CP15" s="1038">
        <f t="shared" si="11"/>
        <v>0</v>
      </c>
      <c r="CQ15" s="1038">
        <f t="shared" si="12"/>
        <v>0</v>
      </c>
    </row>
    <row r="16" spans="1:95" ht="15" customHeight="1" x14ac:dyDescent="0.25">
      <c r="A16" s="1893"/>
      <c r="B16" s="87" t="s">
        <v>287</v>
      </c>
      <c r="C16" s="1133">
        <f t="shared" si="0"/>
        <v>344</v>
      </c>
      <c r="D16" s="396">
        <f t="shared" ref="D16:E17" si="13">+F16+H16+J16+L16+N16+P16+R16+T16+V16+X16+Z16+AB16+AD16+AF16+AH16+AJ16+AL16</f>
        <v>157</v>
      </c>
      <c r="E16" s="384">
        <f t="shared" si="13"/>
        <v>187</v>
      </c>
      <c r="F16" s="397">
        <v>1</v>
      </c>
      <c r="G16" s="398">
        <v>1</v>
      </c>
      <c r="H16" s="397">
        <v>53</v>
      </c>
      <c r="I16" s="398">
        <v>39</v>
      </c>
      <c r="J16" s="397">
        <v>34</v>
      </c>
      <c r="K16" s="398">
        <v>19</v>
      </c>
      <c r="L16" s="397">
        <v>21</v>
      </c>
      <c r="M16" s="398">
        <v>15</v>
      </c>
      <c r="N16" s="397">
        <v>5</v>
      </c>
      <c r="O16" s="398">
        <v>8</v>
      </c>
      <c r="P16" s="397">
        <v>0</v>
      </c>
      <c r="Q16" s="398">
        <v>7</v>
      </c>
      <c r="R16" s="397">
        <v>2</v>
      </c>
      <c r="S16" s="398">
        <v>10</v>
      </c>
      <c r="T16" s="397">
        <v>6</v>
      </c>
      <c r="U16" s="398">
        <v>8</v>
      </c>
      <c r="V16" s="397">
        <v>2</v>
      </c>
      <c r="W16" s="398">
        <v>6</v>
      </c>
      <c r="X16" s="397">
        <v>5</v>
      </c>
      <c r="Y16" s="398">
        <v>6</v>
      </c>
      <c r="Z16" s="397">
        <v>1</v>
      </c>
      <c r="AA16" s="398">
        <v>6</v>
      </c>
      <c r="AB16" s="397">
        <v>7</v>
      </c>
      <c r="AC16" s="398">
        <v>10</v>
      </c>
      <c r="AD16" s="397">
        <v>10</v>
      </c>
      <c r="AE16" s="398">
        <v>22</v>
      </c>
      <c r="AF16" s="397">
        <v>2</v>
      </c>
      <c r="AG16" s="398">
        <v>7</v>
      </c>
      <c r="AH16" s="397">
        <v>2</v>
      </c>
      <c r="AI16" s="398">
        <v>8</v>
      </c>
      <c r="AJ16" s="397">
        <v>2</v>
      </c>
      <c r="AK16" s="398">
        <v>8</v>
      </c>
      <c r="AL16" s="397">
        <v>4</v>
      </c>
      <c r="AM16" s="405">
        <v>7</v>
      </c>
      <c r="AN16" s="399">
        <v>0</v>
      </c>
      <c r="AO16" s="443">
        <v>20</v>
      </c>
      <c r="AP16" s="398">
        <v>26</v>
      </c>
      <c r="AQ16" s="443">
        <v>3</v>
      </c>
      <c r="AR16" s="398">
        <v>4</v>
      </c>
      <c r="AS16" s="1047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8">
        <f t="shared" si="8"/>
        <v>0</v>
      </c>
      <c r="CN16" s="1038">
        <f t="shared" si="9"/>
        <v>0</v>
      </c>
      <c r="CO16" s="1038">
        <f t="shared" si="10"/>
        <v>0</v>
      </c>
      <c r="CP16" s="1038">
        <f t="shared" si="11"/>
        <v>0</v>
      </c>
      <c r="CQ16" s="1038">
        <f t="shared" si="12"/>
        <v>0</v>
      </c>
    </row>
    <row r="17" spans="1:95" ht="15" customHeight="1" x14ac:dyDescent="0.25">
      <c r="A17" s="1894"/>
      <c r="B17" s="88" t="s">
        <v>417</v>
      </c>
      <c r="C17" s="1135">
        <f t="shared" si="0"/>
        <v>60</v>
      </c>
      <c r="D17" s="390">
        <f t="shared" si="13"/>
        <v>33</v>
      </c>
      <c r="E17" s="385">
        <f t="shared" si="13"/>
        <v>27</v>
      </c>
      <c r="F17" s="402">
        <v>0</v>
      </c>
      <c r="G17" s="403">
        <v>0</v>
      </c>
      <c r="H17" s="406">
        <v>14</v>
      </c>
      <c r="I17" s="407">
        <v>6</v>
      </c>
      <c r="J17" s="406">
        <v>8</v>
      </c>
      <c r="K17" s="407">
        <v>6</v>
      </c>
      <c r="L17" s="406">
        <v>1</v>
      </c>
      <c r="M17" s="407">
        <v>1</v>
      </c>
      <c r="N17" s="406">
        <v>2</v>
      </c>
      <c r="O17" s="407">
        <v>0</v>
      </c>
      <c r="P17" s="406">
        <v>0</v>
      </c>
      <c r="Q17" s="407">
        <v>0</v>
      </c>
      <c r="R17" s="406">
        <v>2</v>
      </c>
      <c r="S17" s="407">
        <v>2</v>
      </c>
      <c r="T17" s="406">
        <v>0</v>
      </c>
      <c r="U17" s="407">
        <v>1</v>
      </c>
      <c r="V17" s="406">
        <v>0</v>
      </c>
      <c r="W17" s="407">
        <v>0</v>
      </c>
      <c r="X17" s="406">
        <v>0</v>
      </c>
      <c r="Y17" s="407">
        <v>2</v>
      </c>
      <c r="Z17" s="406">
        <v>0</v>
      </c>
      <c r="AA17" s="407">
        <v>0</v>
      </c>
      <c r="AB17" s="406">
        <v>1</v>
      </c>
      <c r="AC17" s="407">
        <v>2</v>
      </c>
      <c r="AD17" s="406">
        <v>0</v>
      </c>
      <c r="AE17" s="407">
        <v>1</v>
      </c>
      <c r="AF17" s="406">
        <v>0</v>
      </c>
      <c r="AG17" s="407">
        <v>1</v>
      </c>
      <c r="AH17" s="406">
        <v>3</v>
      </c>
      <c r="AI17" s="407">
        <v>2</v>
      </c>
      <c r="AJ17" s="406">
        <v>2</v>
      </c>
      <c r="AK17" s="407">
        <v>1</v>
      </c>
      <c r="AL17" s="406">
        <v>0</v>
      </c>
      <c r="AM17" s="408">
        <v>2</v>
      </c>
      <c r="AN17" s="409">
        <v>0</v>
      </c>
      <c r="AO17" s="414">
        <v>5</v>
      </c>
      <c r="AP17" s="403">
        <v>4</v>
      </c>
      <c r="AQ17" s="414">
        <v>0</v>
      </c>
      <c r="AR17" s="403">
        <v>0</v>
      </c>
      <c r="AS17" s="1047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8">
        <f t="shared" si="8"/>
        <v>0</v>
      </c>
      <c r="CN17" s="1038">
        <f t="shared" si="9"/>
        <v>0</v>
      </c>
      <c r="CO17" s="1038">
        <f t="shared" si="10"/>
        <v>0</v>
      </c>
      <c r="CP17" s="1038">
        <f t="shared" si="11"/>
        <v>0</v>
      </c>
      <c r="CQ17" s="1038">
        <f t="shared" si="12"/>
        <v>0</v>
      </c>
    </row>
    <row r="18" spans="1:95" ht="15" customHeight="1" x14ac:dyDescent="0.25">
      <c r="A18" s="1895" t="s">
        <v>419</v>
      </c>
      <c r="B18" s="89" t="s">
        <v>420</v>
      </c>
      <c r="C18" s="1133">
        <f>SUM(D18:E18)</f>
        <v>124</v>
      </c>
      <c r="D18" s="386">
        <f>+V18+X18+Z18+AB18+AD18+AF18+AH18+AJ18+AL18</f>
        <v>61</v>
      </c>
      <c r="E18" s="387">
        <f>+W18+Y18+AA18+AC18+AE18+AG18+AI18+AK18+AM18</f>
        <v>63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2</v>
      </c>
      <c r="W18" s="394">
        <v>1</v>
      </c>
      <c r="X18" s="393">
        <v>2</v>
      </c>
      <c r="Y18" s="394">
        <v>4</v>
      </c>
      <c r="Z18" s="393">
        <v>3</v>
      </c>
      <c r="AA18" s="394">
        <v>4</v>
      </c>
      <c r="AB18" s="393">
        <v>3</v>
      </c>
      <c r="AC18" s="394">
        <v>5</v>
      </c>
      <c r="AD18" s="393">
        <v>8</v>
      </c>
      <c r="AE18" s="394">
        <v>6</v>
      </c>
      <c r="AF18" s="393">
        <v>14</v>
      </c>
      <c r="AG18" s="394">
        <v>14</v>
      </c>
      <c r="AH18" s="393">
        <v>14</v>
      </c>
      <c r="AI18" s="394">
        <v>12</v>
      </c>
      <c r="AJ18" s="393">
        <v>5</v>
      </c>
      <c r="AK18" s="394">
        <v>8</v>
      </c>
      <c r="AL18" s="393">
        <v>10</v>
      </c>
      <c r="AM18" s="404">
        <v>9</v>
      </c>
      <c r="AN18" s="395">
        <v>0</v>
      </c>
      <c r="AO18" s="410">
        <v>6</v>
      </c>
      <c r="AP18" s="394">
        <v>4</v>
      </c>
      <c r="AQ18" s="410">
        <v>0</v>
      </c>
      <c r="AR18" s="394">
        <v>1</v>
      </c>
      <c r="AS18" s="1047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8">
        <f t="shared" si="8"/>
        <v>0</v>
      </c>
      <c r="CN18" s="1038">
        <f t="shared" si="9"/>
        <v>0</v>
      </c>
      <c r="CO18" s="1038">
        <f t="shared" si="10"/>
        <v>0</v>
      </c>
      <c r="CP18" s="1038">
        <f t="shared" si="11"/>
        <v>0</v>
      </c>
      <c r="CQ18" s="1038">
        <f t="shared" si="12"/>
        <v>0</v>
      </c>
    </row>
    <row r="19" spans="1:95" ht="15" customHeight="1" x14ac:dyDescent="0.25">
      <c r="A19" s="1896"/>
      <c r="B19" s="90" t="s">
        <v>421</v>
      </c>
      <c r="C19" s="1134">
        <f>SUM(D19:E19)</f>
        <v>0</v>
      </c>
      <c r="D19" s="390">
        <f>+V19+X19+Z19+AB19+AD19+AF19+AH19+AJ19+AL19</f>
        <v>0</v>
      </c>
      <c r="E19" s="385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0</v>
      </c>
      <c r="AG19" s="412">
        <v>0</v>
      </c>
      <c r="AH19" s="411">
        <v>0</v>
      </c>
      <c r="AI19" s="412">
        <v>0</v>
      </c>
      <c r="AJ19" s="411">
        <v>0</v>
      </c>
      <c r="AK19" s="412">
        <v>0</v>
      </c>
      <c r="AL19" s="411">
        <v>0</v>
      </c>
      <c r="AM19" s="413">
        <v>0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47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8">
        <f>IF($AN19&lt;=$C19,0,1)</f>
        <v>0</v>
      </c>
      <c r="CN19" s="1038">
        <f t="shared" si="9"/>
        <v>0</v>
      </c>
      <c r="CO19" s="1038">
        <f t="shared" si="10"/>
        <v>0</v>
      </c>
      <c r="CP19" s="1038">
        <f t="shared" si="11"/>
        <v>0</v>
      </c>
      <c r="CQ19" s="1038">
        <f t="shared" si="12"/>
        <v>0</v>
      </c>
    </row>
    <row r="20" spans="1:95" ht="15" customHeight="1" x14ac:dyDescent="0.25">
      <c r="A20" s="1897" t="s">
        <v>422</v>
      </c>
      <c r="B20" s="1898"/>
      <c r="C20" s="1133">
        <f t="shared" si="0"/>
        <v>38</v>
      </c>
      <c r="D20" s="386">
        <f>+F20+H20+J20+L20+N20+P20+R20+T20+V20+X20+Z20+AB20+AD20+AF20+AH20+AJ20+AL20</f>
        <v>10</v>
      </c>
      <c r="E20" s="387">
        <f>+G20+I20+K20+M20+O20+Q20+S20+U20+W20+Y20+AA20+AC20+AE20+AG20+AI20+AK20+AM20</f>
        <v>28</v>
      </c>
      <c r="F20" s="415">
        <v>0</v>
      </c>
      <c r="G20" s="416">
        <v>1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1</v>
      </c>
      <c r="U20" s="416">
        <v>1</v>
      </c>
      <c r="V20" s="415">
        <v>1</v>
      </c>
      <c r="W20" s="416">
        <v>1</v>
      </c>
      <c r="X20" s="415">
        <v>0</v>
      </c>
      <c r="Y20" s="416">
        <v>1</v>
      </c>
      <c r="Z20" s="415">
        <v>1</v>
      </c>
      <c r="AA20" s="416">
        <v>1</v>
      </c>
      <c r="AB20" s="415">
        <v>0</v>
      </c>
      <c r="AC20" s="416">
        <v>0</v>
      </c>
      <c r="AD20" s="415">
        <v>4</v>
      </c>
      <c r="AE20" s="416">
        <v>0</v>
      </c>
      <c r="AF20" s="415">
        <v>0</v>
      </c>
      <c r="AG20" s="416">
        <v>8</v>
      </c>
      <c r="AH20" s="415">
        <v>1</v>
      </c>
      <c r="AI20" s="416">
        <v>5</v>
      </c>
      <c r="AJ20" s="415">
        <v>2</v>
      </c>
      <c r="AK20" s="416">
        <v>1</v>
      </c>
      <c r="AL20" s="415">
        <v>0</v>
      </c>
      <c r="AM20" s="417">
        <v>9</v>
      </c>
      <c r="AN20" s="418"/>
      <c r="AO20" s="453">
        <v>2</v>
      </c>
      <c r="AP20" s="416">
        <v>4</v>
      </c>
      <c r="AQ20" s="453">
        <v>0</v>
      </c>
      <c r="AR20" s="416">
        <v>1</v>
      </c>
      <c r="AS20" s="1047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8">
        <f t="shared" si="9"/>
        <v>0</v>
      </c>
      <c r="CO20" s="1038">
        <f t="shared" si="10"/>
        <v>0</v>
      </c>
      <c r="CP20" s="1038">
        <f t="shared" si="11"/>
        <v>0</v>
      </c>
      <c r="CQ20" s="1038">
        <f t="shared" si="12"/>
        <v>0</v>
      </c>
    </row>
    <row r="21" spans="1:95" ht="15" customHeight="1" x14ac:dyDescent="0.25">
      <c r="A21" s="1712" t="s">
        <v>423</v>
      </c>
      <c r="B21" s="1713"/>
      <c r="C21" s="1138">
        <f t="shared" si="0"/>
        <v>1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1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1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47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8">
        <f t="shared" si="9"/>
        <v>0</v>
      </c>
      <c r="CO21" s="1038">
        <f t="shared" si="10"/>
        <v>0</v>
      </c>
      <c r="CP21" s="1038">
        <f t="shared" si="11"/>
        <v>0</v>
      </c>
      <c r="CQ21" s="1038">
        <f t="shared" si="12"/>
        <v>0</v>
      </c>
    </row>
    <row r="22" spans="1:95" ht="15" customHeight="1" x14ac:dyDescent="0.25">
      <c r="A22" s="1859" t="s">
        <v>424</v>
      </c>
      <c r="B22" s="1860"/>
      <c r="C22" s="1138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7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8">
        <f t="shared" si="9"/>
        <v>0</v>
      </c>
      <c r="CO22" s="1038">
        <f t="shared" si="10"/>
        <v>0</v>
      </c>
      <c r="CP22" s="1038">
        <f t="shared" si="11"/>
        <v>0</v>
      </c>
      <c r="CQ22" s="1038">
        <f t="shared" si="12"/>
        <v>0</v>
      </c>
    </row>
    <row r="23" spans="1:95" ht="15" customHeight="1" x14ac:dyDescent="0.25">
      <c r="A23" s="1712" t="s">
        <v>354</v>
      </c>
      <c r="B23" s="1713"/>
      <c r="C23" s="1133">
        <f>SUM(D23:E23)</f>
        <v>1</v>
      </c>
      <c r="D23" s="386">
        <f>+F23+H23+J23+L23+N23+P23+R23+T23+V23+X23+Z23+AB23+AD23</f>
        <v>1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1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7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8">
        <f t="shared" si="9"/>
        <v>0</v>
      </c>
      <c r="CO23" s="1038">
        <f t="shared" si="10"/>
        <v>0</v>
      </c>
      <c r="CP23" s="1038">
        <f t="shared" si="11"/>
        <v>0</v>
      </c>
      <c r="CQ23" s="1038">
        <f t="shared" si="12"/>
        <v>0</v>
      </c>
    </row>
    <row r="24" spans="1:95" ht="15" customHeight="1" x14ac:dyDescent="0.25">
      <c r="A24" s="1857" t="s">
        <v>327</v>
      </c>
      <c r="B24" s="1858"/>
      <c r="C24" s="1138">
        <f t="shared" si="0"/>
        <v>49</v>
      </c>
      <c r="D24" s="396">
        <f>+F24+H24+J24+L24+N24+P24+R24+T24+V24+X24+Z24+AB24+AD24+AF24+AH24+AJ24+AL24</f>
        <v>26</v>
      </c>
      <c r="E24" s="384">
        <f t="shared" ref="E24:E39" si="18">+G24+I24+K24+M24+O24+Q24+S24+U24+W24+Y24+AA24+AC24+AE24+AG24+AI24+AK24+AM24</f>
        <v>23</v>
      </c>
      <c r="F24" s="415">
        <v>0</v>
      </c>
      <c r="G24" s="416">
        <v>0</v>
      </c>
      <c r="H24" s="415">
        <v>1</v>
      </c>
      <c r="I24" s="416">
        <v>0</v>
      </c>
      <c r="J24" s="415">
        <v>2</v>
      </c>
      <c r="K24" s="416">
        <v>0</v>
      </c>
      <c r="L24" s="415">
        <v>0</v>
      </c>
      <c r="M24" s="416">
        <v>0</v>
      </c>
      <c r="N24" s="415">
        <v>1</v>
      </c>
      <c r="O24" s="416">
        <v>0</v>
      </c>
      <c r="P24" s="415">
        <v>2</v>
      </c>
      <c r="Q24" s="416">
        <v>0</v>
      </c>
      <c r="R24" s="415">
        <v>6</v>
      </c>
      <c r="S24" s="416">
        <v>2</v>
      </c>
      <c r="T24" s="415">
        <v>3</v>
      </c>
      <c r="U24" s="416">
        <v>3</v>
      </c>
      <c r="V24" s="415">
        <v>1</v>
      </c>
      <c r="W24" s="416">
        <v>2</v>
      </c>
      <c r="X24" s="415">
        <v>2</v>
      </c>
      <c r="Y24" s="416">
        <v>0</v>
      </c>
      <c r="Z24" s="415">
        <v>3</v>
      </c>
      <c r="AA24" s="416">
        <v>6</v>
      </c>
      <c r="AB24" s="415">
        <v>2</v>
      </c>
      <c r="AC24" s="416">
        <v>4</v>
      </c>
      <c r="AD24" s="415">
        <v>3</v>
      </c>
      <c r="AE24" s="416">
        <v>2</v>
      </c>
      <c r="AF24" s="415">
        <v>0</v>
      </c>
      <c r="AG24" s="416">
        <v>2</v>
      </c>
      <c r="AH24" s="415">
        <v>0</v>
      </c>
      <c r="AI24" s="416">
        <v>2</v>
      </c>
      <c r="AJ24" s="415">
        <v>0</v>
      </c>
      <c r="AK24" s="416">
        <v>0</v>
      </c>
      <c r="AL24" s="415">
        <v>0</v>
      </c>
      <c r="AM24" s="417">
        <v>0</v>
      </c>
      <c r="AN24" s="419"/>
      <c r="AO24" s="443">
        <v>2</v>
      </c>
      <c r="AP24" s="398">
        <v>2</v>
      </c>
      <c r="AQ24" s="443">
        <v>2</v>
      </c>
      <c r="AR24" s="398">
        <v>0</v>
      </c>
      <c r="AS24" s="1047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8">
        <f t="shared" si="9"/>
        <v>0</v>
      </c>
      <c r="CO24" s="1038">
        <f t="shared" si="10"/>
        <v>0</v>
      </c>
      <c r="CP24" s="1038">
        <f t="shared" si="11"/>
        <v>0</v>
      </c>
      <c r="CQ24" s="1038">
        <f t="shared" si="12"/>
        <v>0</v>
      </c>
    </row>
    <row r="25" spans="1:95" ht="15" customHeight="1" x14ac:dyDescent="0.25">
      <c r="A25" s="1855" t="s">
        <v>425</v>
      </c>
      <c r="B25" s="1856"/>
      <c r="C25" s="1138">
        <f t="shared" ref="C25:C27" si="19">SUM(D25:E25)</f>
        <v>6</v>
      </c>
      <c r="D25" s="396">
        <f t="shared" ref="D25:D27" si="20">+F25+H25+J25+L25+N25+P25+R25+T25+V25+X25+Z25+AB25+AD25+AF25+AH25+AJ25+AL25</f>
        <v>5</v>
      </c>
      <c r="E25" s="384">
        <f t="shared" ref="E25:E27" si="21">+G25+I25+K25+M25+O25+Q25+S25+U25+W25+Y25+AA25+AC25+AE25+AG25+AI25+AK25+AM25</f>
        <v>1</v>
      </c>
      <c r="F25" s="415">
        <v>2</v>
      </c>
      <c r="G25" s="416">
        <v>1</v>
      </c>
      <c r="H25" s="415">
        <v>3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7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8">
        <f>IF(AND(D25&gt;0,OR(AO25="")),1,IF(AO25&gt;D25,1,0))</f>
        <v>0</v>
      </c>
      <c r="CO25" s="1038">
        <f>IF(AND(E25&gt;0,OR(AP25="")),1,IF(AP25&gt;E25,1,0))</f>
        <v>0</v>
      </c>
      <c r="CP25" s="1038">
        <f t="shared" si="11"/>
        <v>0</v>
      </c>
      <c r="CQ25" s="1038">
        <f t="shared" si="12"/>
        <v>0</v>
      </c>
    </row>
    <row r="26" spans="1:95" ht="15" customHeight="1" x14ac:dyDescent="0.25">
      <c r="A26" s="1862" t="s">
        <v>426</v>
      </c>
      <c r="B26" s="1863"/>
      <c r="C26" s="844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41"/>
      <c r="AP26" s="435"/>
      <c r="AQ26" s="1341"/>
      <c r="AR26" s="435"/>
      <c r="AS26" s="1047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2" t="s">
        <v>427</v>
      </c>
      <c r="B27" s="1863"/>
      <c r="C27" s="844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41"/>
      <c r="AP27" s="435"/>
      <c r="AQ27" s="1341"/>
      <c r="AR27" s="435"/>
      <c r="AS27" s="1047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4" t="s">
        <v>428</v>
      </c>
      <c r="B28" s="1865"/>
      <c r="C28" s="1138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7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8">
        <f t="shared" si="9"/>
        <v>0</v>
      </c>
      <c r="CO28" s="1038">
        <f t="shared" si="10"/>
        <v>0</v>
      </c>
      <c r="CP28" s="1038">
        <f t="shared" si="11"/>
        <v>0</v>
      </c>
      <c r="CQ28" s="1038">
        <f t="shared" si="12"/>
        <v>0</v>
      </c>
    </row>
    <row r="29" spans="1:95" ht="15" customHeight="1" x14ac:dyDescent="0.25">
      <c r="A29" s="1857" t="s">
        <v>429</v>
      </c>
      <c r="B29" s="1858"/>
      <c r="C29" s="1138">
        <f t="shared" si="0"/>
        <v>7</v>
      </c>
      <c r="D29" s="396">
        <f t="shared" si="22"/>
        <v>3</v>
      </c>
      <c r="E29" s="384">
        <f t="shared" si="18"/>
        <v>4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1</v>
      </c>
      <c r="AB29" s="415">
        <v>0</v>
      </c>
      <c r="AC29" s="416">
        <v>1</v>
      </c>
      <c r="AD29" s="415">
        <v>0</v>
      </c>
      <c r="AE29" s="416">
        <v>0</v>
      </c>
      <c r="AF29" s="415">
        <v>3</v>
      </c>
      <c r="AG29" s="416">
        <v>0</v>
      </c>
      <c r="AH29" s="415">
        <v>0</v>
      </c>
      <c r="AI29" s="416">
        <v>0</v>
      </c>
      <c r="AJ29" s="415">
        <v>0</v>
      </c>
      <c r="AK29" s="416">
        <v>1</v>
      </c>
      <c r="AL29" s="415">
        <v>0</v>
      </c>
      <c r="AM29" s="417">
        <v>1</v>
      </c>
      <c r="AN29" s="419"/>
      <c r="AO29" s="443">
        <v>0</v>
      </c>
      <c r="AP29" s="398">
        <v>1</v>
      </c>
      <c r="AQ29" s="443">
        <v>0</v>
      </c>
      <c r="AR29" s="398">
        <v>0</v>
      </c>
      <c r="AS29" s="1047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8">
        <f t="shared" si="9"/>
        <v>0</v>
      </c>
      <c r="CO29" s="1038">
        <f t="shared" si="10"/>
        <v>0</v>
      </c>
      <c r="CP29" s="1038">
        <f t="shared" si="11"/>
        <v>0</v>
      </c>
      <c r="CQ29" s="1038">
        <f t="shared" si="12"/>
        <v>0</v>
      </c>
    </row>
    <row r="30" spans="1:95" ht="15" customHeight="1" x14ac:dyDescent="0.25">
      <c r="A30" s="1857" t="s">
        <v>430</v>
      </c>
      <c r="B30" s="1858"/>
      <c r="C30" s="1138">
        <f t="shared" si="0"/>
        <v>1064</v>
      </c>
      <c r="D30" s="396">
        <f t="shared" si="22"/>
        <v>237</v>
      </c>
      <c r="E30" s="384">
        <f t="shared" si="18"/>
        <v>827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1</v>
      </c>
      <c r="R30" s="415">
        <v>0</v>
      </c>
      <c r="S30" s="416">
        <v>1</v>
      </c>
      <c r="T30" s="415">
        <v>1</v>
      </c>
      <c r="U30" s="416">
        <v>1</v>
      </c>
      <c r="V30" s="415">
        <v>0</v>
      </c>
      <c r="W30" s="416">
        <v>11</v>
      </c>
      <c r="X30" s="415">
        <v>2</v>
      </c>
      <c r="Y30" s="416">
        <v>21</v>
      </c>
      <c r="Z30" s="415">
        <v>8</v>
      </c>
      <c r="AA30" s="416">
        <v>48</v>
      </c>
      <c r="AB30" s="415">
        <v>11</v>
      </c>
      <c r="AC30" s="416">
        <v>119</v>
      </c>
      <c r="AD30" s="415">
        <v>48</v>
      </c>
      <c r="AE30" s="416">
        <v>146</v>
      </c>
      <c r="AF30" s="415">
        <v>45</v>
      </c>
      <c r="AG30" s="416">
        <v>147</v>
      </c>
      <c r="AH30" s="415">
        <v>46</v>
      </c>
      <c r="AI30" s="416">
        <v>127</v>
      </c>
      <c r="AJ30" s="415">
        <v>40</v>
      </c>
      <c r="AK30" s="416">
        <v>80</v>
      </c>
      <c r="AL30" s="415">
        <v>36</v>
      </c>
      <c r="AM30" s="417">
        <v>125</v>
      </c>
      <c r="AN30" s="419"/>
      <c r="AO30" s="443">
        <v>23</v>
      </c>
      <c r="AP30" s="398">
        <v>84</v>
      </c>
      <c r="AQ30" s="443">
        <v>0</v>
      </c>
      <c r="AR30" s="398">
        <v>0</v>
      </c>
      <c r="AS30" s="1047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8">
        <f t="shared" si="9"/>
        <v>0</v>
      </c>
      <c r="CO30" s="1038">
        <f t="shared" si="10"/>
        <v>0</v>
      </c>
      <c r="CP30" s="1038">
        <f t="shared" si="11"/>
        <v>0</v>
      </c>
      <c r="CQ30" s="1038">
        <f t="shared" si="12"/>
        <v>0</v>
      </c>
    </row>
    <row r="31" spans="1:95" ht="15" customHeight="1" x14ac:dyDescent="0.25">
      <c r="A31" s="1855" t="s">
        <v>431</v>
      </c>
      <c r="B31" s="1856"/>
      <c r="C31" s="1138">
        <f t="shared" si="0"/>
        <v>0</v>
      </c>
      <c r="D31" s="396">
        <f t="shared" si="22"/>
        <v>0</v>
      </c>
      <c r="E31" s="384">
        <f t="shared" si="18"/>
        <v>0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7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8">
        <f t="shared" si="9"/>
        <v>0</v>
      </c>
      <c r="CO31" s="1038">
        <f t="shared" si="10"/>
        <v>0</v>
      </c>
      <c r="CP31" s="1038">
        <f t="shared" si="11"/>
        <v>0</v>
      </c>
      <c r="CQ31" s="1038">
        <f t="shared" si="12"/>
        <v>0</v>
      </c>
    </row>
    <row r="32" spans="1:95" ht="15" customHeight="1" x14ac:dyDescent="0.25">
      <c r="A32" s="1855" t="s">
        <v>432</v>
      </c>
      <c r="B32" s="1856"/>
      <c r="C32" s="1138">
        <f t="shared" si="0"/>
        <v>1160</v>
      </c>
      <c r="D32" s="396">
        <f t="shared" si="22"/>
        <v>227</v>
      </c>
      <c r="E32" s="384">
        <f t="shared" si="18"/>
        <v>933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2</v>
      </c>
      <c r="L32" s="415">
        <v>0</v>
      </c>
      <c r="M32" s="416">
        <v>6</v>
      </c>
      <c r="N32" s="415">
        <v>2</v>
      </c>
      <c r="O32" s="416">
        <v>14</v>
      </c>
      <c r="P32" s="415">
        <v>0</v>
      </c>
      <c r="Q32" s="416">
        <v>35</v>
      </c>
      <c r="R32" s="415">
        <v>2</v>
      </c>
      <c r="S32" s="416">
        <v>42</v>
      </c>
      <c r="T32" s="415">
        <v>10</v>
      </c>
      <c r="U32" s="416">
        <v>41</v>
      </c>
      <c r="V32" s="415">
        <v>6</v>
      </c>
      <c r="W32" s="416">
        <v>38</v>
      </c>
      <c r="X32" s="415">
        <v>4</v>
      </c>
      <c r="Y32" s="416">
        <v>51</v>
      </c>
      <c r="Z32" s="415">
        <v>7</v>
      </c>
      <c r="AA32" s="416">
        <v>88</v>
      </c>
      <c r="AB32" s="415">
        <v>25</v>
      </c>
      <c r="AC32" s="416">
        <v>120</v>
      </c>
      <c r="AD32" s="415">
        <v>49</v>
      </c>
      <c r="AE32" s="416">
        <v>148</v>
      </c>
      <c r="AF32" s="415">
        <v>37</v>
      </c>
      <c r="AG32" s="416">
        <v>125</v>
      </c>
      <c r="AH32" s="415">
        <v>33</v>
      </c>
      <c r="AI32" s="416">
        <v>89</v>
      </c>
      <c r="AJ32" s="415">
        <v>28</v>
      </c>
      <c r="AK32" s="416">
        <v>58</v>
      </c>
      <c r="AL32" s="415">
        <v>24</v>
      </c>
      <c r="AM32" s="417">
        <v>76</v>
      </c>
      <c r="AN32" s="419"/>
      <c r="AO32" s="443">
        <v>31</v>
      </c>
      <c r="AP32" s="398">
        <v>109</v>
      </c>
      <c r="AQ32" s="443">
        <v>1</v>
      </c>
      <c r="AR32" s="398">
        <v>5</v>
      </c>
      <c r="AS32" s="1047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8">
        <f t="shared" si="9"/>
        <v>0</v>
      </c>
      <c r="CO32" s="1038">
        <f t="shared" si="10"/>
        <v>0</v>
      </c>
      <c r="CP32" s="1038">
        <f t="shared" si="11"/>
        <v>0</v>
      </c>
      <c r="CQ32" s="1038">
        <f t="shared" si="12"/>
        <v>0</v>
      </c>
    </row>
    <row r="33" spans="1:97" ht="15" customHeight="1" x14ac:dyDescent="0.25">
      <c r="A33" s="1857" t="s">
        <v>433</v>
      </c>
      <c r="B33" s="1858"/>
      <c r="C33" s="1133">
        <f t="shared" si="0"/>
        <v>0</v>
      </c>
      <c r="D33" s="386">
        <f t="shared" si="22"/>
        <v>0</v>
      </c>
      <c r="E33" s="387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7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8">
        <f t="shared" si="9"/>
        <v>0</v>
      </c>
      <c r="CO33" s="1038">
        <f t="shared" si="10"/>
        <v>0</v>
      </c>
      <c r="CP33" s="1038">
        <f t="shared" si="11"/>
        <v>0</v>
      </c>
      <c r="CQ33" s="1038">
        <f t="shared" si="12"/>
        <v>0</v>
      </c>
    </row>
    <row r="34" spans="1:97" ht="15" customHeight="1" x14ac:dyDescent="0.25">
      <c r="A34" s="1903" t="s">
        <v>434</v>
      </c>
      <c r="B34" s="1904"/>
      <c r="C34" s="1134">
        <f t="shared" si="0"/>
        <v>1</v>
      </c>
      <c r="D34" s="390">
        <f t="shared" si="22"/>
        <v>1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1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5"/>
      <c r="AO34" s="414">
        <v>0</v>
      </c>
      <c r="AP34" s="403">
        <v>0</v>
      </c>
      <c r="AQ34" s="414">
        <v>0</v>
      </c>
      <c r="AR34" s="403">
        <v>0</v>
      </c>
      <c r="AS34" s="1047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8">
        <f t="shared" si="9"/>
        <v>0</v>
      </c>
      <c r="CO34" s="1038">
        <f t="shared" si="10"/>
        <v>0</v>
      </c>
      <c r="CP34" s="1038">
        <f t="shared" si="11"/>
        <v>0</v>
      </c>
      <c r="CQ34" s="1038">
        <f t="shared" si="12"/>
        <v>0</v>
      </c>
    </row>
    <row r="35" spans="1:97" ht="15" customHeight="1" x14ac:dyDescent="0.25">
      <c r="A35" s="1901" t="s">
        <v>435</v>
      </c>
      <c r="B35" s="734" t="s">
        <v>436</v>
      </c>
      <c r="C35" s="1133">
        <f t="shared" si="0"/>
        <v>0</v>
      </c>
      <c r="D35" s="386">
        <f t="shared" si="22"/>
        <v>0</v>
      </c>
      <c r="E35" s="387">
        <f t="shared" si="18"/>
        <v>0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0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0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47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8">
        <f t="shared" si="9"/>
        <v>0</v>
      </c>
      <c r="CO35" s="1038">
        <f t="shared" si="10"/>
        <v>0</v>
      </c>
      <c r="CP35" s="1038">
        <f t="shared" si="11"/>
        <v>0</v>
      </c>
      <c r="CQ35" s="1038">
        <f t="shared" si="12"/>
        <v>0</v>
      </c>
    </row>
    <row r="36" spans="1:97" ht="15" customHeight="1" x14ac:dyDescent="0.25">
      <c r="A36" s="1901"/>
      <c r="B36" s="91" t="s">
        <v>437</v>
      </c>
      <c r="C36" s="1138">
        <f>SUM(D36:E36)</f>
        <v>53</v>
      </c>
      <c r="D36" s="396">
        <f t="shared" si="22"/>
        <v>23</v>
      </c>
      <c r="E36" s="384">
        <f t="shared" si="18"/>
        <v>30</v>
      </c>
      <c r="F36" s="415">
        <v>0</v>
      </c>
      <c r="G36" s="416">
        <v>0</v>
      </c>
      <c r="H36" s="415">
        <v>1</v>
      </c>
      <c r="I36" s="416">
        <v>0</v>
      </c>
      <c r="J36" s="415">
        <v>2</v>
      </c>
      <c r="K36" s="416">
        <v>0</v>
      </c>
      <c r="L36" s="415">
        <v>0</v>
      </c>
      <c r="M36" s="416">
        <v>0</v>
      </c>
      <c r="N36" s="415">
        <v>2</v>
      </c>
      <c r="O36" s="416">
        <v>0</v>
      </c>
      <c r="P36" s="415">
        <v>0</v>
      </c>
      <c r="Q36" s="416">
        <v>0</v>
      </c>
      <c r="R36" s="415">
        <v>0</v>
      </c>
      <c r="S36" s="416">
        <v>0</v>
      </c>
      <c r="T36" s="415">
        <v>2</v>
      </c>
      <c r="U36" s="416">
        <v>4</v>
      </c>
      <c r="V36" s="415">
        <v>1</v>
      </c>
      <c r="W36" s="416">
        <v>0</v>
      </c>
      <c r="X36" s="415">
        <v>0</v>
      </c>
      <c r="Y36" s="416">
        <v>0</v>
      </c>
      <c r="Z36" s="415">
        <v>0</v>
      </c>
      <c r="AA36" s="416">
        <v>0</v>
      </c>
      <c r="AB36" s="415">
        <v>1</v>
      </c>
      <c r="AC36" s="416">
        <v>0</v>
      </c>
      <c r="AD36" s="415">
        <v>1</v>
      </c>
      <c r="AE36" s="416">
        <v>2</v>
      </c>
      <c r="AF36" s="415">
        <v>4</v>
      </c>
      <c r="AG36" s="416">
        <v>2</v>
      </c>
      <c r="AH36" s="415">
        <v>2</v>
      </c>
      <c r="AI36" s="416">
        <v>3</v>
      </c>
      <c r="AJ36" s="415">
        <v>2</v>
      </c>
      <c r="AK36" s="416">
        <v>3</v>
      </c>
      <c r="AL36" s="415">
        <v>5</v>
      </c>
      <c r="AM36" s="417">
        <v>16</v>
      </c>
      <c r="AN36" s="419"/>
      <c r="AO36" s="443">
        <v>1</v>
      </c>
      <c r="AP36" s="398">
        <v>7</v>
      </c>
      <c r="AQ36" s="443">
        <v>0</v>
      </c>
      <c r="AR36" s="398">
        <v>0</v>
      </c>
      <c r="AS36" s="1047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8">
        <f t="shared" si="9"/>
        <v>0</v>
      </c>
      <c r="CO36" s="1038">
        <f t="shared" si="10"/>
        <v>0</v>
      </c>
      <c r="CP36" s="1038">
        <f t="shared" si="11"/>
        <v>0</v>
      </c>
      <c r="CQ36" s="1038">
        <f t="shared" si="12"/>
        <v>0</v>
      </c>
    </row>
    <row r="37" spans="1:97" ht="15" customHeight="1" thickBot="1" x14ac:dyDescent="0.3">
      <c r="A37" s="1902"/>
      <c r="B37" s="1086" t="s">
        <v>438</v>
      </c>
      <c r="C37" s="1138">
        <f>SUM(D37:E37)</f>
        <v>2</v>
      </c>
      <c r="D37" s="420">
        <f>+F37+H37+J37+L37+N37+P37+R37+T37+V37+X37+Z37+AB37+AD37+AF37+AH37+AJ37+AL37</f>
        <v>1</v>
      </c>
      <c r="E37" s="421">
        <f>+G37+I37+K37+M37+O37+Q37+S37+U37+W37+Y37+AA37+AC37+AE37+AG37+AI37+AK37+AM37</f>
        <v>1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1</v>
      </c>
      <c r="AF37" s="415">
        <v>0</v>
      </c>
      <c r="AG37" s="416">
        <v>0</v>
      </c>
      <c r="AH37" s="415">
        <v>1</v>
      </c>
      <c r="AI37" s="416">
        <v>0</v>
      </c>
      <c r="AJ37" s="415">
        <v>0</v>
      </c>
      <c r="AK37" s="416">
        <v>0</v>
      </c>
      <c r="AL37" s="415">
        <v>0</v>
      </c>
      <c r="AM37" s="417">
        <v>0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7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8">
        <f t="shared" si="9"/>
        <v>0</v>
      </c>
      <c r="CO37" s="1038">
        <f t="shared" si="10"/>
        <v>0</v>
      </c>
      <c r="CP37" s="1038">
        <f t="shared" si="11"/>
        <v>0</v>
      </c>
      <c r="CQ37" s="1038">
        <f t="shared" si="12"/>
        <v>0</v>
      </c>
      <c r="CR37" s="1038">
        <f>IF($C37&lt;=$C35+$C36,0,1)</f>
        <v>0</v>
      </c>
    </row>
    <row r="38" spans="1:97" ht="15" customHeight="1" thickTop="1" x14ac:dyDescent="0.25">
      <c r="A38" s="1852" t="s">
        <v>439</v>
      </c>
      <c r="B38" s="585" t="s">
        <v>440</v>
      </c>
      <c r="C38" s="1158">
        <f>SUM(D38:E38)</f>
        <v>53</v>
      </c>
      <c r="D38" s="423">
        <f>+F38+H38+J38+L38+N38+P38+R38+T38+V38+X38+Z38+AB38+AD38+AF38+AH38+AJ38+AL38</f>
        <v>23</v>
      </c>
      <c r="E38" s="424">
        <f>+G38+I38+K38+M38+O38+Q38+S38+U38+W38+Y38+AA38+AC38+AE38+AG38+AI38+AK38+AM38</f>
        <v>30</v>
      </c>
      <c r="F38" s="425">
        <v>0</v>
      </c>
      <c r="G38" s="426">
        <v>0</v>
      </c>
      <c r="H38" s="425">
        <v>1</v>
      </c>
      <c r="I38" s="426">
        <v>0</v>
      </c>
      <c r="J38" s="425">
        <v>2</v>
      </c>
      <c r="K38" s="426">
        <v>0</v>
      </c>
      <c r="L38" s="425">
        <v>0</v>
      </c>
      <c r="M38" s="426">
        <v>0</v>
      </c>
      <c r="N38" s="425">
        <v>2</v>
      </c>
      <c r="O38" s="426">
        <v>0</v>
      </c>
      <c r="P38" s="425">
        <v>0</v>
      </c>
      <c r="Q38" s="426">
        <v>0</v>
      </c>
      <c r="R38" s="425">
        <v>0</v>
      </c>
      <c r="S38" s="426">
        <v>0</v>
      </c>
      <c r="T38" s="425">
        <v>2</v>
      </c>
      <c r="U38" s="426">
        <v>4</v>
      </c>
      <c r="V38" s="425">
        <v>1</v>
      </c>
      <c r="W38" s="426">
        <v>0</v>
      </c>
      <c r="X38" s="425">
        <v>0</v>
      </c>
      <c r="Y38" s="426">
        <v>0</v>
      </c>
      <c r="Z38" s="425">
        <v>0</v>
      </c>
      <c r="AA38" s="426">
        <v>0</v>
      </c>
      <c r="AB38" s="425">
        <v>1</v>
      </c>
      <c r="AC38" s="426">
        <v>0</v>
      </c>
      <c r="AD38" s="425">
        <v>1</v>
      </c>
      <c r="AE38" s="426">
        <v>2</v>
      </c>
      <c r="AF38" s="425">
        <v>4</v>
      </c>
      <c r="AG38" s="426">
        <v>2</v>
      </c>
      <c r="AH38" s="425">
        <v>2</v>
      </c>
      <c r="AI38" s="426">
        <v>3</v>
      </c>
      <c r="AJ38" s="425">
        <v>2</v>
      </c>
      <c r="AK38" s="426">
        <v>3</v>
      </c>
      <c r="AL38" s="425">
        <v>5</v>
      </c>
      <c r="AM38" s="427">
        <v>16</v>
      </c>
      <c r="AN38" s="428"/>
      <c r="AO38" s="574">
        <v>1</v>
      </c>
      <c r="AP38" s="426">
        <v>7</v>
      </c>
      <c r="AQ38" s="574">
        <v>0</v>
      </c>
      <c r="AR38" s="426">
        <v>0</v>
      </c>
      <c r="AS38" s="1047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8">
        <f t="shared" si="9"/>
        <v>0</v>
      </c>
      <c r="CO38" s="1038">
        <f t="shared" si="10"/>
        <v>0</v>
      </c>
      <c r="CP38" s="1038">
        <f t="shared" si="11"/>
        <v>0</v>
      </c>
      <c r="CQ38" s="1038">
        <f t="shared" si="12"/>
        <v>0</v>
      </c>
      <c r="CR38" s="1038">
        <f>IF($C38&lt;=$C35+$C36,0,1)</f>
        <v>0</v>
      </c>
    </row>
    <row r="39" spans="1:97" ht="15" customHeight="1" x14ac:dyDescent="0.25">
      <c r="A39" s="1853"/>
      <c r="B39" s="734" t="s">
        <v>436</v>
      </c>
      <c r="C39" s="1138">
        <f t="shared" si="0"/>
        <v>0</v>
      </c>
      <c r="D39" s="396">
        <f t="shared" si="22"/>
        <v>0</v>
      </c>
      <c r="E39" s="384">
        <f t="shared" si="18"/>
        <v>0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0</v>
      </c>
      <c r="AF39" s="397">
        <v>0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0</v>
      </c>
      <c r="AM39" s="405">
        <v>0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7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8">
        <f t="shared" si="9"/>
        <v>0</v>
      </c>
      <c r="CO39" s="1038">
        <f t="shared" si="10"/>
        <v>0</v>
      </c>
      <c r="CP39" s="1038">
        <f t="shared" si="11"/>
        <v>0</v>
      </c>
      <c r="CQ39" s="1038">
        <f t="shared" si="12"/>
        <v>0</v>
      </c>
      <c r="CR39" s="1038">
        <f>IF($C39&lt;=$C$38,0,1)</f>
        <v>0</v>
      </c>
      <c r="CS39" s="1038">
        <f>IF($C39&lt;=$C35,0,1)</f>
        <v>0</v>
      </c>
    </row>
    <row r="40" spans="1:97" ht="15" customHeight="1" x14ac:dyDescent="0.25">
      <c r="A40" s="1853"/>
      <c r="B40" s="91" t="s">
        <v>437</v>
      </c>
      <c r="C40" s="1138">
        <f t="shared" ref="C40:C42" si="23">SUM(D40:E40)</f>
        <v>53</v>
      </c>
      <c r="D40" s="396">
        <f t="shared" ref="D40:D43" si="24">+F40+H40+J40+L40+N40+P40+R40+T40+V40+X40+Z40+AB40+AD40+AF40+AH40+AJ40+AL40</f>
        <v>23</v>
      </c>
      <c r="E40" s="384">
        <f t="shared" ref="E40:E43" si="25">+G40+I40+K40+M40+O40+Q40+S40+U40+W40+Y40+AA40+AC40+AE40+AG40+AI40+AK40+AM40</f>
        <v>30</v>
      </c>
      <c r="F40" s="397">
        <v>0</v>
      </c>
      <c r="G40" s="398">
        <v>0</v>
      </c>
      <c r="H40" s="397">
        <v>1</v>
      </c>
      <c r="I40" s="398">
        <v>0</v>
      </c>
      <c r="J40" s="397">
        <v>2</v>
      </c>
      <c r="K40" s="398">
        <v>0</v>
      </c>
      <c r="L40" s="397">
        <v>0</v>
      </c>
      <c r="M40" s="398">
        <v>0</v>
      </c>
      <c r="N40" s="397">
        <v>2</v>
      </c>
      <c r="O40" s="398">
        <v>0</v>
      </c>
      <c r="P40" s="397">
        <v>0</v>
      </c>
      <c r="Q40" s="398">
        <v>0</v>
      </c>
      <c r="R40" s="397">
        <v>0</v>
      </c>
      <c r="S40" s="398">
        <v>0</v>
      </c>
      <c r="T40" s="397">
        <v>2</v>
      </c>
      <c r="U40" s="398">
        <v>4</v>
      </c>
      <c r="V40" s="397">
        <v>1</v>
      </c>
      <c r="W40" s="398">
        <v>0</v>
      </c>
      <c r="X40" s="397">
        <v>0</v>
      </c>
      <c r="Y40" s="398">
        <v>0</v>
      </c>
      <c r="Z40" s="397">
        <v>0</v>
      </c>
      <c r="AA40" s="398">
        <v>0</v>
      </c>
      <c r="AB40" s="397">
        <v>1</v>
      </c>
      <c r="AC40" s="398">
        <v>0</v>
      </c>
      <c r="AD40" s="397">
        <v>1</v>
      </c>
      <c r="AE40" s="398">
        <v>2</v>
      </c>
      <c r="AF40" s="397">
        <v>4</v>
      </c>
      <c r="AG40" s="398">
        <v>2</v>
      </c>
      <c r="AH40" s="397">
        <v>2</v>
      </c>
      <c r="AI40" s="398">
        <v>3</v>
      </c>
      <c r="AJ40" s="397">
        <v>2</v>
      </c>
      <c r="AK40" s="398">
        <v>3</v>
      </c>
      <c r="AL40" s="397">
        <v>5</v>
      </c>
      <c r="AM40" s="405">
        <v>16</v>
      </c>
      <c r="AN40" s="419"/>
      <c r="AO40" s="443">
        <v>1</v>
      </c>
      <c r="AP40" s="398">
        <v>7</v>
      </c>
      <c r="AQ40" s="443">
        <v>0</v>
      </c>
      <c r="AR40" s="398">
        <v>0</v>
      </c>
      <c r="AS40" s="1047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8">
        <f t="shared" si="9"/>
        <v>0</v>
      </c>
      <c r="CO40" s="1038">
        <f t="shared" si="10"/>
        <v>0</v>
      </c>
      <c r="CP40" s="1038">
        <f t="shared" si="11"/>
        <v>0</v>
      </c>
      <c r="CQ40" s="1038">
        <f t="shared" si="12"/>
        <v>0</v>
      </c>
      <c r="CR40" s="1038">
        <f>IF($C40&lt;=$C$38,0,1)</f>
        <v>0</v>
      </c>
      <c r="CS40" s="1038">
        <f>IF($C40&lt;=$C36,0,1)</f>
        <v>0</v>
      </c>
    </row>
    <row r="41" spans="1:97" ht="15" customHeight="1" x14ac:dyDescent="0.25">
      <c r="A41" s="1853"/>
      <c r="B41" s="91" t="s">
        <v>441</v>
      </c>
      <c r="C41" s="1138">
        <f t="shared" si="23"/>
        <v>0</v>
      </c>
      <c r="D41" s="396">
        <f t="shared" si="24"/>
        <v>0</v>
      </c>
      <c r="E41" s="384">
        <f t="shared" si="25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0</v>
      </c>
      <c r="AF41" s="397">
        <v>0</v>
      </c>
      <c r="AG41" s="398">
        <v>0</v>
      </c>
      <c r="AH41" s="397">
        <v>0</v>
      </c>
      <c r="AI41" s="398">
        <v>0</v>
      </c>
      <c r="AJ41" s="397">
        <v>0</v>
      </c>
      <c r="AK41" s="398">
        <v>0</v>
      </c>
      <c r="AL41" s="397">
        <v>0</v>
      </c>
      <c r="AM41" s="405">
        <v>0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7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8">
        <f t="shared" si="9"/>
        <v>0</v>
      </c>
      <c r="CO41" s="1038">
        <f t="shared" si="10"/>
        <v>0</v>
      </c>
      <c r="CP41" s="1038">
        <f t="shared" si="11"/>
        <v>0</v>
      </c>
      <c r="CQ41" s="1038">
        <f t="shared" si="12"/>
        <v>0</v>
      </c>
      <c r="CR41" s="1038">
        <f>IF($C41&lt;=$C$38,0,1)</f>
        <v>0</v>
      </c>
    </row>
    <row r="42" spans="1:97" ht="15" customHeight="1" x14ac:dyDescent="0.25">
      <c r="A42" s="1853"/>
      <c r="B42" s="91" t="s">
        <v>442</v>
      </c>
      <c r="C42" s="1138">
        <f t="shared" si="23"/>
        <v>0</v>
      </c>
      <c r="D42" s="396">
        <f t="shared" si="24"/>
        <v>0</v>
      </c>
      <c r="E42" s="384">
        <f t="shared" si="25"/>
        <v>0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0</v>
      </c>
      <c r="AG42" s="398">
        <v>0</v>
      </c>
      <c r="AH42" s="397">
        <v>0</v>
      </c>
      <c r="AI42" s="398">
        <v>0</v>
      </c>
      <c r="AJ42" s="397">
        <v>0</v>
      </c>
      <c r="AK42" s="398">
        <v>0</v>
      </c>
      <c r="AL42" s="397">
        <v>0</v>
      </c>
      <c r="AM42" s="405">
        <v>0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7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8">
        <f t="shared" si="9"/>
        <v>0</v>
      </c>
      <c r="CO42" s="1038">
        <f t="shared" si="10"/>
        <v>0</v>
      </c>
      <c r="CP42" s="1038">
        <f t="shared" si="11"/>
        <v>0</v>
      </c>
      <c r="CQ42" s="1038">
        <f t="shared" si="12"/>
        <v>0</v>
      </c>
      <c r="CR42" s="1038">
        <f>IF($C42&lt;=$C$38,0,1)</f>
        <v>0</v>
      </c>
    </row>
    <row r="43" spans="1:97" ht="15" customHeight="1" x14ac:dyDescent="0.25">
      <c r="A43" s="1853"/>
      <c r="B43" s="91" t="s">
        <v>438</v>
      </c>
      <c r="C43" s="1138">
        <f>SUM(D43:E43)</f>
        <v>2</v>
      </c>
      <c r="D43" s="396">
        <f t="shared" si="24"/>
        <v>1</v>
      </c>
      <c r="E43" s="384">
        <f t="shared" si="25"/>
        <v>1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0</v>
      </c>
      <c r="AC43" s="398">
        <v>0</v>
      </c>
      <c r="AD43" s="397">
        <v>0</v>
      </c>
      <c r="AE43" s="398">
        <v>1</v>
      </c>
      <c r="AF43" s="397">
        <v>0</v>
      </c>
      <c r="AG43" s="398">
        <v>0</v>
      </c>
      <c r="AH43" s="397">
        <v>1</v>
      </c>
      <c r="AI43" s="398">
        <v>0</v>
      </c>
      <c r="AJ43" s="397">
        <v>0</v>
      </c>
      <c r="AK43" s="398">
        <v>0</v>
      </c>
      <c r="AL43" s="397">
        <v>0</v>
      </c>
      <c r="AM43" s="405">
        <v>0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7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8">
        <f t="shared" si="9"/>
        <v>0</v>
      </c>
      <c r="CO43" s="1038">
        <f t="shared" si="10"/>
        <v>0</v>
      </c>
      <c r="CP43" s="1038">
        <f t="shared" si="11"/>
        <v>0</v>
      </c>
      <c r="CQ43" s="1038">
        <f t="shared" si="12"/>
        <v>0</v>
      </c>
      <c r="CR43" s="1038">
        <f>IF($C43&lt;=$C38,0,1)</f>
        <v>0</v>
      </c>
      <c r="CS43" s="1038">
        <f>IF($C43&lt;=$C37,0,1)</f>
        <v>0</v>
      </c>
    </row>
    <row r="44" spans="1:97" ht="21" customHeight="1" x14ac:dyDescent="0.25">
      <c r="A44" s="1854"/>
      <c r="B44" s="600" t="s">
        <v>443</v>
      </c>
      <c r="C44" s="1135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47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8">
        <f t="shared" si="9"/>
        <v>0</v>
      </c>
      <c r="CO44" s="1038">
        <f t="shared" si="10"/>
        <v>0</v>
      </c>
      <c r="CP44" s="1038">
        <f t="shared" si="11"/>
        <v>0</v>
      </c>
      <c r="CQ44" s="1038">
        <f t="shared" si="12"/>
        <v>0</v>
      </c>
      <c r="CR44" s="1038">
        <f>IF($C44&lt;=$C$38,0,1)</f>
        <v>0</v>
      </c>
    </row>
    <row r="45" spans="1:97" ht="15" customHeight="1" x14ac:dyDescent="0.25">
      <c r="A45" s="1905" t="s">
        <v>444</v>
      </c>
      <c r="B45" s="1253" t="s">
        <v>445</v>
      </c>
      <c r="C45" s="1136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4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54">
        <v>0</v>
      </c>
      <c r="AN45" s="882"/>
      <c r="AO45" s="460">
        <v>0</v>
      </c>
      <c r="AP45" s="1254">
        <v>0</v>
      </c>
      <c r="AQ45" s="410">
        <v>0</v>
      </c>
      <c r="AR45" s="459">
        <v>0</v>
      </c>
      <c r="AS45" s="1047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8">
        <f t="shared" ref="CN45:CN47" si="31">IF(AND(D45&gt;0,OR(AO45="")),1,IF(AO45&gt;D45,1,0))</f>
        <v>0</v>
      </c>
      <c r="CO45" s="1038">
        <f t="shared" ref="CO45:CO47" si="32">IF(AND(E45&gt;0,OR(AP45="")),1,IF(AP45&gt;E45,1,0))</f>
        <v>0</v>
      </c>
      <c r="CP45" s="1038">
        <f t="shared" ref="CP45:CP47" si="33">IF(AND(D45&gt;0,OR(AQ45="")),1,IF(AQ45&gt;D45,1,0))</f>
        <v>0</v>
      </c>
      <c r="CQ45" s="1038">
        <f t="shared" ref="CQ45:CQ47" si="34">IF(AND(E45&gt;0,OR(AR45="")),1,IF(AR45&gt;E45,1,0))</f>
        <v>0</v>
      </c>
      <c r="CR45" s="1038"/>
    </row>
    <row r="46" spans="1:97" ht="15" customHeight="1" x14ac:dyDescent="0.25">
      <c r="A46" s="1906"/>
      <c r="B46" s="1255" t="s">
        <v>446</v>
      </c>
      <c r="C46" s="1138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89">
        <v>0</v>
      </c>
      <c r="AN46" s="1256"/>
      <c r="AO46" s="466">
        <v>0</v>
      </c>
      <c r="AP46" s="989">
        <v>0</v>
      </c>
      <c r="AQ46" s="453">
        <v>0</v>
      </c>
      <c r="AR46" s="430">
        <v>0</v>
      </c>
      <c r="AS46" s="1047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8">
        <f t="shared" si="31"/>
        <v>0</v>
      </c>
      <c r="CO46" s="1038">
        <f t="shared" si="32"/>
        <v>0</v>
      </c>
      <c r="CP46" s="1038">
        <f t="shared" si="33"/>
        <v>0</v>
      </c>
      <c r="CQ46" s="1038">
        <f t="shared" si="34"/>
        <v>0</v>
      </c>
      <c r="CR46" s="1038"/>
    </row>
    <row r="47" spans="1:97" ht="15" customHeight="1" x14ac:dyDescent="0.25">
      <c r="A47" s="1907"/>
      <c r="B47" s="1257" t="s">
        <v>447</v>
      </c>
      <c r="C47" s="1135">
        <f t="shared" si="27"/>
        <v>0</v>
      </c>
      <c r="D47" s="538">
        <f>+F47+H47+J47+L47+N47+P47+R47+T47+V47+X47+Z47+AB47+AD47+AF47+AH47+AJ47+AL47</f>
        <v>0</v>
      </c>
      <c r="E47" s="875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8">
        <v>0</v>
      </c>
      <c r="AN47" s="1258"/>
      <c r="AO47" s="461">
        <v>0</v>
      </c>
      <c r="AP47" s="878">
        <v>0</v>
      </c>
      <c r="AQ47" s="465">
        <v>0</v>
      </c>
      <c r="AR47" s="540">
        <v>0</v>
      </c>
      <c r="AS47" s="1047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8">
        <f t="shared" si="31"/>
        <v>0</v>
      </c>
      <c r="CO47" s="1038">
        <f t="shared" si="32"/>
        <v>0</v>
      </c>
      <c r="CP47" s="1038">
        <f t="shared" si="33"/>
        <v>0</v>
      </c>
      <c r="CQ47" s="1038">
        <f t="shared" si="34"/>
        <v>0</v>
      </c>
      <c r="CR47" s="1038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61" t="s">
        <v>449</v>
      </c>
      <c r="B49" s="1861"/>
      <c r="C49" s="1861"/>
      <c r="D49" s="1861"/>
      <c r="E49" s="1861"/>
      <c r="F49" s="1861"/>
      <c r="G49" s="1861"/>
      <c r="H49" s="1861"/>
      <c r="I49" s="1861"/>
      <c r="J49" s="1861"/>
      <c r="K49" s="1861"/>
      <c r="L49" s="1861"/>
      <c r="M49" s="1861"/>
      <c r="N49" s="1861"/>
      <c r="O49" s="1861"/>
      <c r="P49" s="1861"/>
      <c r="Q49" s="1861"/>
      <c r="R49" s="1861"/>
      <c r="S49" s="1861"/>
      <c r="T49" s="1861"/>
      <c r="U49" s="1861"/>
      <c r="V49" s="1861"/>
      <c r="W49" s="1861"/>
      <c r="X49" s="1861"/>
      <c r="Y49" s="1861"/>
      <c r="Z49" s="1861"/>
      <c r="AA49" s="1861"/>
      <c r="AB49" s="1861"/>
      <c r="AC49" s="1861"/>
      <c r="AD49" s="1861"/>
      <c r="AE49" s="1861"/>
      <c r="AF49" s="1861"/>
      <c r="AG49" s="1861"/>
      <c r="AH49" s="1861"/>
      <c r="AI49" s="1861"/>
      <c r="AJ49" s="1861"/>
      <c r="AK49" s="1861"/>
      <c r="AL49" s="1861"/>
      <c r="AM49" s="1861"/>
      <c r="AN49" s="1861"/>
      <c r="AO49" s="1861"/>
      <c r="AP49" s="1861"/>
    </row>
    <row r="50" spans="1:100" ht="17.25" customHeight="1" x14ac:dyDescent="0.25">
      <c r="A50" s="1905" t="s">
        <v>450</v>
      </c>
      <c r="B50" s="1655" t="s">
        <v>94</v>
      </c>
      <c r="C50" s="1910" t="s">
        <v>91</v>
      </c>
      <c r="D50" s="1908" t="s">
        <v>231</v>
      </c>
      <c r="E50" s="1649" t="s">
        <v>451</v>
      </c>
      <c r="F50" s="1649"/>
      <c r="G50" s="1649"/>
      <c r="H50" s="1649"/>
      <c r="I50" s="1649"/>
      <c r="J50" s="1649"/>
      <c r="K50" s="1649"/>
      <c r="L50" s="1649"/>
      <c r="M50" s="1649"/>
      <c r="N50" s="1650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7"/>
      <c r="B51" s="1656"/>
      <c r="C51" s="1911"/>
      <c r="D51" s="1909"/>
      <c r="E51" s="1003" t="s">
        <v>452</v>
      </c>
      <c r="F51" s="1087" t="s">
        <v>453</v>
      </c>
      <c r="G51" s="1087" t="s">
        <v>454</v>
      </c>
      <c r="H51" s="1087" t="s">
        <v>455</v>
      </c>
      <c r="I51" s="1087" t="s">
        <v>456</v>
      </c>
      <c r="J51" s="1087" t="s">
        <v>457</v>
      </c>
      <c r="K51" s="1087" t="s">
        <v>458</v>
      </c>
      <c r="L51" s="1087" t="s">
        <v>459</v>
      </c>
      <c r="M51" s="1087" t="s">
        <v>460</v>
      </c>
      <c r="N51" s="1259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78" t="s">
        <v>462</v>
      </c>
      <c r="B52" s="1479">
        <f>SUM(C52:D52)</f>
        <v>53</v>
      </c>
      <c r="C52" s="1214">
        <v>6</v>
      </c>
      <c r="D52" s="1004">
        <v>47</v>
      </c>
      <c r="E52" s="1480">
        <v>35</v>
      </c>
      <c r="F52" s="1005">
        <v>51</v>
      </c>
      <c r="G52" s="1005">
        <v>21</v>
      </c>
      <c r="H52" s="1005">
        <v>14</v>
      </c>
      <c r="I52" s="1005">
        <v>19</v>
      </c>
      <c r="J52" s="1005">
        <v>53</v>
      </c>
      <c r="K52" s="1005">
        <v>28</v>
      </c>
      <c r="L52" s="1005">
        <v>2</v>
      </c>
      <c r="M52" s="1005">
        <v>53</v>
      </c>
      <c r="N52" s="1006">
        <v>53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8">
        <f>IF(E52&gt;B52,1,0)</f>
        <v>0</v>
      </c>
      <c r="CN52" s="1038">
        <f>IF(F52&gt;B52,1,0)</f>
        <v>0</v>
      </c>
      <c r="CO52" s="1038">
        <f>IF(G52&gt;B52,1,0)</f>
        <v>0</v>
      </c>
      <c r="CP52" s="1038">
        <f>IF(H52&gt;B52,1,0)</f>
        <v>0</v>
      </c>
      <c r="CQ52" s="1038">
        <f>IF(I52&gt;B52,1,0)</f>
        <v>0</v>
      </c>
      <c r="CR52" s="1038">
        <f>IF(J52&gt;B52,1,0)</f>
        <v>0</v>
      </c>
      <c r="CS52" s="1038">
        <f>IF(K52&gt;B52,1,0)</f>
        <v>0</v>
      </c>
      <c r="CT52" s="1038">
        <f>IF(L52&gt;B52,1,0)</f>
        <v>0</v>
      </c>
      <c r="CU52" s="1038">
        <f>IF(M52&gt;B52,1,0)</f>
        <v>0</v>
      </c>
      <c r="CV52" s="1038">
        <f>IF(N52&gt;B52,1,0)</f>
        <v>0</v>
      </c>
    </row>
    <row r="53" spans="1:100" ht="17.100000000000001" customHeight="1" x14ac:dyDescent="0.25">
      <c r="A53" s="1891" t="s">
        <v>463</v>
      </c>
      <c r="B53" s="1891"/>
      <c r="C53" s="1891"/>
      <c r="D53" s="1891"/>
      <c r="E53" s="1891"/>
      <c r="F53" s="1891"/>
      <c r="G53" s="1891"/>
      <c r="H53" s="1891"/>
      <c r="I53" s="1891"/>
      <c r="J53" s="1891"/>
      <c r="K53" s="1891"/>
      <c r="L53" s="1891"/>
      <c r="M53" s="1891"/>
      <c r="N53" s="1891"/>
      <c r="O53" s="1891"/>
      <c r="P53" s="1891"/>
      <c r="Q53" s="1891"/>
      <c r="R53" s="1891"/>
      <c r="S53" s="1891"/>
      <c r="T53" s="1891"/>
      <c r="U53" s="1891"/>
      <c r="V53" s="1891"/>
      <c r="W53" s="1891"/>
      <c r="X53" s="1891"/>
      <c r="Y53" s="1891"/>
      <c r="Z53" s="1891"/>
      <c r="AA53" s="1891"/>
      <c r="AB53" s="1891"/>
      <c r="AC53" s="1891"/>
      <c r="AD53" s="1891"/>
      <c r="AE53" s="1891"/>
      <c r="AF53" s="1891"/>
      <c r="AG53" s="1891"/>
      <c r="AH53" s="1891"/>
      <c r="AI53" s="1891"/>
      <c r="AJ53" s="1891"/>
      <c r="AK53" s="1891"/>
      <c r="AL53" s="1891"/>
      <c r="AM53" s="1891"/>
    </row>
    <row r="54" spans="1:100" ht="21" customHeight="1" x14ac:dyDescent="0.25">
      <c r="A54" s="1915" t="s">
        <v>464</v>
      </c>
      <c r="B54" s="1916"/>
      <c r="C54" s="1887" t="s">
        <v>54</v>
      </c>
      <c r="D54" s="1887"/>
      <c r="E54" s="1887"/>
      <c r="F54" s="1878" t="s">
        <v>381</v>
      </c>
      <c r="G54" s="1879"/>
      <c r="H54" s="1879"/>
      <c r="I54" s="1879"/>
      <c r="J54" s="1879"/>
      <c r="K54" s="1879"/>
      <c r="L54" s="1879"/>
      <c r="M54" s="1879"/>
      <c r="N54" s="1879"/>
      <c r="O54" s="1879"/>
      <c r="P54" s="1879"/>
      <c r="Q54" s="1879"/>
      <c r="R54" s="1879"/>
      <c r="S54" s="1879"/>
      <c r="T54" s="1879"/>
      <c r="U54" s="1879"/>
      <c r="V54" s="1879"/>
      <c r="W54" s="1879"/>
      <c r="X54" s="1879"/>
      <c r="Y54" s="1879"/>
      <c r="Z54" s="1879"/>
      <c r="AA54" s="1879"/>
      <c r="AB54" s="1879"/>
      <c r="AC54" s="1879"/>
      <c r="AD54" s="1879"/>
      <c r="AE54" s="1879"/>
      <c r="AF54" s="1879"/>
      <c r="AG54" s="1879"/>
      <c r="AH54" s="1879"/>
      <c r="AI54" s="1879"/>
      <c r="AJ54" s="1879"/>
      <c r="AK54" s="1879"/>
      <c r="AL54" s="1879"/>
      <c r="AM54" s="1879"/>
      <c r="AN54" s="1848" t="s">
        <v>56</v>
      </c>
      <c r="AO54" s="1866"/>
      <c r="AP54" s="1869" t="s">
        <v>113</v>
      </c>
      <c r="AQ54" s="1866"/>
    </row>
    <row r="55" spans="1:100" ht="18" customHeight="1" x14ac:dyDescent="0.25">
      <c r="A55" s="1917"/>
      <c r="B55" s="1853"/>
      <c r="C55" s="1887"/>
      <c r="D55" s="1887"/>
      <c r="E55" s="1887"/>
      <c r="F55" s="1880" t="s">
        <v>409</v>
      </c>
      <c r="G55" s="1882"/>
      <c r="H55" s="1880" t="s">
        <v>410</v>
      </c>
      <c r="I55" s="1882"/>
      <c r="J55" s="1880" t="s">
        <v>321</v>
      </c>
      <c r="K55" s="1882"/>
      <c r="L55" s="1875" t="s">
        <v>62</v>
      </c>
      <c r="M55" s="1875"/>
      <c r="N55" s="1875" t="s">
        <v>63</v>
      </c>
      <c r="O55" s="1875"/>
      <c r="P55" s="1875" t="s">
        <v>64</v>
      </c>
      <c r="Q55" s="1875"/>
      <c r="R55" s="1648" t="s">
        <v>65</v>
      </c>
      <c r="S55" s="1650"/>
      <c r="T55" s="1875" t="s">
        <v>66</v>
      </c>
      <c r="U55" s="1875"/>
      <c r="V55" s="1648" t="s">
        <v>67</v>
      </c>
      <c r="W55" s="1650"/>
      <c r="X55" s="1875" t="s">
        <v>68</v>
      </c>
      <c r="Y55" s="1875"/>
      <c r="Z55" s="1648" t="s">
        <v>69</v>
      </c>
      <c r="AA55" s="1650"/>
      <c r="AB55" s="1875" t="s">
        <v>70</v>
      </c>
      <c r="AC55" s="1875"/>
      <c r="AD55" s="1648" t="s">
        <v>71</v>
      </c>
      <c r="AE55" s="1650"/>
      <c r="AF55" s="1876" t="s">
        <v>72</v>
      </c>
      <c r="AG55" s="1877"/>
      <c r="AH55" s="1876" t="s">
        <v>411</v>
      </c>
      <c r="AI55" s="1877"/>
      <c r="AJ55" s="1876" t="s">
        <v>412</v>
      </c>
      <c r="AK55" s="1877"/>
      <c r="AL55" s="1876" t="s">
        <v>413</v>
      </c>
      <c r="AM55" s="1883"/>
      <c r="AN55" s="1867"/>
      <c r="AO55" s="1868"/>
      <c r="AP55" s="1867"/>
      <c r="AQ55" s="1868"/>
    </row>
    <row r="56" spans="1:100" ht="32.450000000000003" customHeight="1" x14ac:dyDescent="0.25">
      <c r="A56" s="1918"/>
      <c r="B56" s="1854"/>
      <c r="C56" s="1458" t="s">
        <v>414</v>
      </c>
      <c r="D56" s="1472" t="s">
        <v>91</v>
      </c>
      <c r="E56" s="1473" t="s">
        <v>231</v>
      </c>
      <c r="F56" s="1474" t="s">
        <v>91</v>
      </c>
      <c r="G56" s="1473" t="s">
        <v>231</v>
      </c>
      <c r="H56" s="1474" t="s">
        <v>91</v>
      </c>
      <c r="I56" s="1473" t="s">
        <v>231</v>
      </c>
      <c r="J56" s="1474" t="s">
        <v>91</v>
      </c>
      <c r="K56" s="1473" t="s">
        <v>231</v>
      </c>
      <c r="L56" s="1475" t="s">
        <v>91</v>
      </c>
      <c r="M56" s="1476" t="s">
        <v>231</v>
      </c>
      <c r="N56" s="1475" t="s">
        <v>91</v>
      </c>
      <c r="O56" s="1476" t="s">
        <v>231</v>
      </c>
      <c r="P56" s="1475" t="s">
        <v>91</v>
      </c>
      <c r="Q56" s="1476" t="s">
        <v>231</v>
      </c>
      <c r="R56" s="1212" t="s">
        <v>91</v>
      </c>
      <c r="S56" s="984" t="s">
        <v>231</v>
      </c>
      <c r="T56" s="1475" t="s">
        <v>91</v>
      </c>
      <c r="U56" s="1476" t="s">
        <v>231</v>
      </c>
      <c r="V56" s="1212" t="s">
        <v>91</v>
      </c>
      <c r="W56" s="984" t="s">
        <v>231</v>
      </c>
      <c r="X56" s="1475" t="s">
        <v>91</v>
      </c>
      <c r="Y56" s="1476" t="s">
        <v>231</v>
      </c>
      <c r="Z56" s="1212" t="s">
        <v>91</v>
      </c>
      <c r="AA56" s="984" t="s">
        <v>231</v>
      </c>
      <c r="AB56" s="1475" t="s">
        <v>91</v>
      </c>
      <c r="AC56" s="1476" t="s">
        <v>231</v>
      </c>
      <c r="AD56" s="1212" t="s">
        <v>91</v>
      </c>
      <c r="AE56" s="984" t="s">
        <v>231</v>
      </c>
      <c r="AF56" s="1213" t="s">
        <v>415</v>
      </c>
      <c r="AG56" s="871" t="s">
        <v>231</v>
      </c>
      <c r="AH56" s="1213" t="s">
        <v>415</v>
      </c>
      <c r="AI56" s="871" t="s">
        <v>231</v>
      </c>
      <c r="AJ56" s="1213" t="s">
        <v>415</v>
      </c>
      <c r="AK56" s="871" t="s">
        <v>231</v>
      </c>
      <c r="AL56" s="1213" t="s">
        <v>415</v>
      </c>
      <c r="AM56" s="755" t="s">
        <v>231</v>
      </c>
      <c r="AN56" s="1477" t="s">
        <v>415</v>
      </c>
      <c r="AO56" s="871" t="s">
        <v>231</v>
      </c>
      <c r="AP56" s="1477" t="s">
        <v>415</v>
      </c>
      <c r="AQ56" s="871" t="s">
        <v>231</v>
      </c>
    </row>
    <row r="57" spans="1:100" ht="15" customHeight="1" x14ac:dyDescent="0.25">
      <c r="A57" s="1919" t="s">
        <v>465</v>
      </c>
      <c r="B57" s="1050" t="s">
        <v>466</v>
      </c>
      <c r="C57" s="1136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6">
        <v>0</v>
      </c>
      <c r="G57" s="687">
        <v>0</v>
      </c>
      <c r="H57" s="688">
        <v>0</v>
      </c>
      <c r="I57" s="687">
        <v>0</v>
      </c>
      <c r="J57" s="688">
        <v>0</v>
      </c>
      <c r="K57" s="687">
        <v>0</v>
      </c>
      <c r="L57" s="688">
        <v>0</v>
      </c>
      <c r="M57" s="687">
        <v>0</v>
      </c>
      <c r="N57" s="688">
        <v>0</v>
      </c>
      <c r="O57" s="687">
        <v>0</v>
      </c>
      <c r="P57" s="688">
        <v>0</v>
      </c>
      <c r="Q57" s="687">
        <v>0</v>
      </c>
      <c r="R57" s="688">
        <v>0</v>
      </c>
      <c r="S57" s="687">
        <v>0</v>
      </c>
      <c r="T57" s="688">
        <v>0</v>
      </c>
      <c r="U57" s="687">
        <v>0</v>
      </c>
      <c r="V57" s="688">
        <v>0</v>
      </c>
      <c r="W57" s="687">
        <v>0</v>
      </c>
      <c r="X57" s="688">
        <v>0</v>
      </c>
      <c r="Y57" s="687">
        <v>0</v>
      </c>
      <c r="Z57" s="688">
        <v>0</v>
      </c>
      <c r="AA57" s="687">
        <v>0</v>
      </c>
      <c r="AB57" s="688">
        <v>0</v>
      </c>
      <c r="AC57" s="687">
        <v>0</v>
      </c>
      <c r="AD57" s="688">
        <v>0</v>
      </c>
      <c r="AE57" s="687">
        <v>0</v>
      </c>
      <c r="AF57" s="688">
        <v>0</v>
      </c>
      <c r="AG57" s="687">
        <v>0</v>
      </c>
      <c r="AH57" s="688">
        <v>0</v>
      </c>
      <c r="AI57" s="687">
        <v>0</v>
      </c>
      <c r="AJ57" s="688">
        <v>0</v>
      </c>
      <c r="AK57" s="687">
        <v>0</v>
      </c>
      <c r="AL57" s="686">
        <v>0</v>
      </c>
      <c r="AM57" s="991">
        <v>0</v>
      </c>
      <c r="AN57" s="688">
        <v>0</v>
      </c>
      <c r="AO57" s="687">
        <v>0</v>
      </c>
      <c r="AP57" s="688">
        <v>0</v>
      </c>
      <c r="AQ57" s="687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8">
        <f>IF(AND($D57&gt;0,OR(AN57="")),1,IF(AN57&gt;$D57,1,0))</f>
        <v>0</v>
      </c>
      <c r="CN57" s="1038">
        <f>IF(AND($E57&gt;0,OR(AO57="")),1,IF(AO57&gt;$E57,1,0))</f>
        <v>0</v>
      </c>
      <c r="CO57" s="1038">
        <f>IF(AND($D57&gt;0,OR(AP57="")),1,IF(AP57&gt;$D57,1,0))</f>
        <v>0</v>
      </c>
      <c r="CP57" s="1038">
        <f>IF(AND($E57&gt;0,OR(AQ57="")),1,IF(AQ57&gt;$E57,1,0))</f>
        <v>0</v>
      </c>
    </row>
    <row r="58" spans="1:100" ht="15" customHeight="1" x14ac:dyDescent="0.25">
      <c r="A58" s="1920"/>
      <c r="B58" s="1051" t="s">
        <v>467</v>
      </c>
      <c r="C58" s="1138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89">
        <v>0</v>
      </c>
      <c r="G58" s="692">
        <v>0</v>
      </c>
      <c r="H58" s="691">
        <v>0</v>
      </c>
      <c r="I58" s="692">
        <v>0</v>
      </c>
      <c r="J58" s="691">
        <v>0</v>
      </c>
      <c r="K58" s="692">
        <v>0</v>
      </c>
      <c r="L58" s="691">
        <v>0</v>
      </c>
      <c r="M58" s="692">
        <v>0</v>
      </c>
      <c r="N58" s="691">
        <v>0</v>
      </c>
      <c r="O58" s="692">
        <v>0</v>
      </c>
      <c r="P58" s="691">
        <v>0</v>
      </c>
      <c r="Q58" s="692">
        <v>0</v>
      </c>
      <c r="R58" s="691">
        <v>0</v>
      </c>
      <c r="S58" s="692">
        <v>0</v>
      </c>
      <c r="T58" s="691">
        <v>0</v>
      </c>
      <c r="U58" s="692">
        <v>0</v>
      </c>
      <c r="V58" s="691">
        <v>0</v>
      </c>
      <c r="W58" s="692">
        <v>0</v>
      </c>
      <c r="X58" s="691">
        <v>0</v>
      </c>
      <c r="Y58" s="692">
        <v>0</v>
      </c>
      <c r="Z58" s="691">
        <v>0</v>
      </c>
      <c r="AA58" s="692">
        <v>0</v>
      </c>
      <c r="AB58" s="691">
        <v>0</v>
      </c>
      <c r="AC58" s="692">
        <v>0</v>
      </c>
      <c r="AD58" s="691">
        <v>0</v>
      </c>
      <c r="AE58" s="692">
        <v>0</v>
      </c>
      <c r="AF58" s="691">
        <v>0</v>
      </c>
      <c r="AG58" s="692">
        <v>0</v>
      </c>
      <c r="AH58" s="691">
        <v>0</v>
      </c>
      <c r="AI58" s="692">
        <v>0</v>
      </c>
      <c r="AJ58" s="691">
        <v>0</v>
      </c>
      <c r="AK58" s="692">
        <v>0</v>
      </c>
      <c r="AL58" s="689">
        <v>0</v>
      </c>
      <c r="AM58" s="992">
        <v>0</v>
      </c>
      <c r="AN58" s="691">
        <v>0</v>
      </c>
      <c r="AO58" s="692">
        <v>0</v>
      </c>
      <c r="AP58" s="691">
        <v>0</v>
      </c>
      <c r="AQ58" s="692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8">
        <f t="shared" ref="CM58:CM60" si="42">IF(AND($D58&gt;0,OR(AN58="")),1,IF(AN58&gt;$D58,1,0))</f>
        <v>0</v>
      </c>
      <c r="CN58" s="1038">
        <f t="shared" ref="CN58:CN60" si="43">IF(AND($E58&gt;0,OR(AO58="")),1,IF(AO58&gt;$E58,1,0))</f>
        <v>0</v>
      </c>
      <c r="CO58" s="1038">
        <f>IF(AND($D58&gt;0,OR(AP58="")),1,IF(AP58&gt;$D58,1,0))</f>
        <v>0</v>
      </c>
      <c r="CP58" s="1038">
        <f t="shared" ref="CP58:CP60" si="44">IF(AND($E58&gt;0,OR(AQ58="")),1,IF(AQ58&gt;$E58,1,0))</f>
        <v>0</v>
      </c>
    </row>
    <row r="59" spans="1:100" ht="15" customHeight="1" x14ac:dyDescent="0.25">
      <c r="A59" s="1920"/>
      <c r="B59" s="1051" t="s">
        <v>468</v>
      </c>
      <c r="C59" s="1138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89">
        <v>0</v>
      </c>
      <c r="G59" s="692">
        <v>0</v>
      </c>
      <c r="H59" s="691">
        <v>0</v>
      </c>
      <c r="I59" s="692">
        <v>0</v>
      </c>
      <c r="J59" s="691">
        <v>0</v>
      </c>
      <c r="K59" s="692">
        <v>0</v>
      </c>
      <c r="L59" s="691">
        <v>0</v>
      </c>
      <c r="M59" s="692">
        <v>0</v>
      </c>
      <c r="N59" s="691">
        <v>0</v>
      </c>
      <c r="O59" s="692">
        <v>0</v>
      </c>
      <c r="P59" s="691">
        <v>0</v>
      </c>
      <c r="Q59" s="692">
        <v>0</v>
      </c>
      <c r="R59" s="691">
        <v>0</v>
      </c>
      <c r="S59" s="692">
        <v>0</v>
      </c>
      <c r="T59" s="691">
        <v>0</v>
      </c>
      <c r="U59" s="692">
        <v>0</v>
      </c>
      <c r="V59" s="691">
        <v>0</v>
      </c>
      <c r="W59" s="692">
        <v>0</v>
      </c>
      <c r="X59" s="691">
        <v>0</v>
      </c>
      <c r="Y59" s="692">
        <v>0</v>
      </c>
      <c r="Z59" s="691">
        <v>0</v>
      </c>
      <c r="AA59" s="692">
        <v>0</v>
      </c>
      <c r="AB59" s="691">
        <v>0</v>
      </c>
      <c r="AC59" s="692">
        <v>0</v>
      </c>
      <c r="AD59" s="691">
        <v>0</v>
      </c>
      <c r="AE59" s="692">
        <v>0</v>
      </c>
      <c r="AF59" s="691">
        <v>0</v>
      </c>
      <c r="AG59" s="692">
        <v>0</v>
      </c>
      <c r="AH59" s="691">
        <v>0</v>
      </c>
      <c r="AI59" s="692">
        <v>0</v>
      </c>
      <c r="AJ59" s="691">
        <v>0</v>
      </c>
      <c r="AK59" s="692">
        <v>0</v>
      </c>
      <c r="AL59" s="689">
        <v>0</v>
      </c>
      <c r="AM59" s="992">
        <v>0</v>
      </c>
      <c r="AN59" s="691">
        <v>0</v>
      </c>
      <c r="AO59" s="692">
        <v>0</v>
      </c>
      <c r="AP59" s="691">
        <v>0</v>
      </c>
      <c r="AQ59" s="692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8">
        <f t="shared" si="42"/>
        <v>0</v>
      </c>
      <c r="CN59" s="1038">
        <f t="shared" si="43"/>
        <v>0</v>
      </c>
      <c r="CO59" s="1038">
        <f t="shared" ref="CO59:CO60" si="46">IF(AND($D59&gt;0,OR(AP59="")),1,IF(AP59&gt;$D59,1,0))</f>
        <v>0</v>
      </c>
      <c r="CP59" s="1038">
        <f t="shared" si="44"/>
        <v>0</v>
      </c>
    </row>
    <row r="60" spans="1:100" ht="15" customHeight="1" x14ac:dyDescent="0.25">
      <c r="A60" s="1921"/>
      <c r="B60" s="1052" t="s">
        <v>469</v>
      </c>
      <c r="C60" s="1135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0">
        <v>0</v>
      </c>
      <c r="G60" s="693">
        <v>0</v>
      </c>
      <c r="H60" s="690">
        <v>0</v>
      </c>
      <c r="I60" s="693">
        <v>0</v>
      </c>
      <c r="J60" s="690">
        <v>0</v>
      </c>
      <c r="K60" s="693">
        <v>0</v>
      </c>
      <c r="L60" s="690">
        <v>0</v>
      </c>
      <c r="M60" s="693">
        <v>0</v>
      </c>
      <c r="N60" s="690">
        <v>0</v>
      </c>
      <c r="O60" s="693">
        <v>0</v>
      </c>
      <c r="P60" s="690">
        <v>0</v>
      </c>
      <c r="Q60" s="693">
        <v>0</v>
      </c>
      <c r="R60" s="690">
        <v>0</v>
      </c>
      <c r="S60" s="693">
        <v>0</v>
      </c>
      <c r="T60" s="690">
        <v>0</v>
      </c>
      <c r="U60" s="693">
        <v>0</v>
      </c>
      <c r="V60" s="690">
        <v>0</v>
      </c>
      <c r="W60" s="693">
        <v>0</v>
      </c>
      <c r="X60" s="690">
        <v>0</v>
      </c>
      <c r="Y60" s="693">
        <v>0</v>
      </c>
      <c r="Z60" s="690">
        <v>0</v>
      </c>
      <c r="AA60" s="693">
        <v>0</v>
      </c>
      <c r="AB60" s="690">
        <v>0</v>
      </c>
      <c r="AC60" s="693">
        <v>0</v>
      </c>
      <c r="AD60" s="690">
        <v>0</v>
      </c>
      <c r="AE60" s="693">
        <v>0</v>
      </c>
      <c r="AF60" s="690">
        <v>0</v>
      </c>
      <c r="AG60" s="693">
        <v>0</v>
      </c>
      <c r="AH60" s="690">
        <v>0</v>
      </c>
      <c r="AI60" s="693">
        <v>0</v>
      </c>
      <c r="AJ60" s="690">
        <v>0</v>
      </c>
      <c r="AK60" s="693">
        <v>0</v>
      </c>
      <c r="AL60" s="993">
        <v>0</v>
      </c>
      <c r="AM60" s="994">
        <v>0</v>
      </c>
      <c r="AN60" s="690">
        <v>0</v>
      </c>
      <c r="AO60" s="693">
        <v>0</v>
      </c>
      <c r="AP60" s="690">
        <v>0</v>
      </c>
      <c r="AQ60" s="693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8">
        <f t="shared" si="42"/>
        <v>0</v>
      </c>
      <c r="CN60" s="1038">
        <f t="shared" si="43"/>
        <v>0</v>
      </c>
      <c r="CO60" s="1038">
        <f t="shared" si="46"/>
        <v>0</v>
      </c>
      <c r="CP60" s="1038">
        <f t="shared" si="44"/>
        <v>0</v>
      </c>
    </row>
    <row r="61" spans="1:100" ht="17.100000000000001" customHeight="1" x14ac:dyDescent="0.25">
      <c r="A61" s="1888" t="s">
        <v>470</v>
      </c>
      <c r="B61" s="1888"/>
      <c r="C61" s="1888"/>
      <c r="D61" s="1888"/>
      <c r="E61" s="1888"/>
      <c r="F61" s="1888"/>
      <c r="G61" s="1888"/>
      <c r="H61" s="1888"/>
      <c r="I61" s="1888"/>
      <c r="J61" s="1888"/>
      <c r="K61" s="1888"/>
      <c r="L61" s="1888"/>
      <c r="M61" s="1888"/>
      <c r="N61" s="1888"/>
      <c r="O61" s="1888"/>
      <c r="P61" s="1888"/>
      <c r="Q61" s="1888"/>
      <c r="R61" s="1888"/>
      <c r="S61" s="1888"/>
      <c r="T61" s="1888"/>
      <c r="U61" s="1888"/>
      <c r="V61" s="1888"/>
      <c r="W61" s="1888"/>
      <c r="X61" s="1888"/>
      <c r="Y61" s="1888"/>
      <c r="Z61" s="1888"/>
      <c r="AA61" s="1888"/>
      <c r="AB61" s="1888"/>
      <c r="AC61" s="1888"/>
      <c r="AD61" s="1888"/>
      <c r="AE61" s="1888"/>
      <c r="AF61" s="1888"/>
      <c r="AG61" s="1888"/>
      <c r="AH61" s="1888"/>
      <c r="AI61" s="1888"/>
      <c r="AJ61" s="1888"/>
      <c r="AK61" s="1888"/>
      <c r="AL61" s="1888"/>
      <c r="AM61" s="1888"/>
    </row>
    <row r="62" spans="1:100" ht="25.5" customHeight="1" x14ac:dyDescent="0.25">
      <c r="A62" s="1936" t="s">
        <v>407</v>
      </c>
      <c r="B62" s="1936"/>
      <c r="C62" s="1714" t="s">
        <v>54</v>
      </c>
      <c r="D62" s="1715"/>
      <c r="E62" s="1716"/>
      <c r="F62" s="1884" t="s">
        <v>471</v>
      </c>
      <c r="G62" s="1885"/>
      <c r="H62" s="1885"/>
      <c r="I62" s="1885"/>
      <c r="J62" s="1885"/>
      <c r="K62" s="1885"/>
      <c r="L62" s="1885"/>
      <c r="M62" s="1885"/>
      <c r="N62" s="1885"/>
      <c r="O62" s="1885"/>
      <c r="P62" s="1885"/>
      <c r="Q62" s="1885"/>
      <c r="R62" s="1885"/>
      <c r="S62" s="1885"/>
      <c r="T62" s="1885"/>
      <c r="U62" s="1885"/>
      <c r="V62" s="1885"/>
      <c r="W62" s="1885"/>
      <c r="X62" s="1885"/>
      <c r="Y62" s="1885"/>
      <c r="Z62" s="1885"/>
      <c r="AA62" s="1885"/>
      <c r="AB62" s="1885"/>
      <c r="AC62" s="1885"/>
      <c r="AD62" s="1885"/>
      <c r="AE62" s="1885"/>
      <c r="AF62" s="1885"/>
      <c r="AG62" s="1885"/>
      <c r="AH62" s="1885"/>
      <c r="AI62" s="1885"/>
      <c r="AJ62" s="1885"/>
      <c r="AK62" s="1885"/>
      <c r="AL62" s="1885"/>
      <c r="AM62" s="1886"/>
      <c r="AN62" s="1869" t="s">
        <v>56</v>
      </c>
      <c r="AO62" s="1866"/>
      <c r="AP62" s="1869" t="s">
        <v>113</v>
      </c>
      <c r="AQ62" s="1866"/>
    </row>
    <row r="63" spans="1:100" x14ac:dyDescent="0.25">
      <c r="A63" s="1936"/>
      <c r="B63" s="1936"/>
      <c r="C63" s="1717"/>
      <c r="D63" s="1718"/>
      <c r="E63" s="1719"/>
      <c r="F63" s="1880" t="s">
        <v>409</v>
      </c>
      <c r="G63" s="1882"/>
      <c r="H63" s="1880" t="s">
        <v>410</v>
      </c>
      <c r="I63" s="1882"/>
      <c r="J63" s="1880" t="s">
        <v>321</v>
      </c>
      <c r="K63" s="1882"/>
      <c r="L63" s="1875" t="s">
        <v>62</v>
      </c>
      <c r="M63" s="1875"/>
      <c r="N63" s="1875" t="s">
        <v>63</v>
      </c>
      <c r="O63" s="1875"/>
      <c r="P63" s="1875" t="s">
        <v>64</v>
      </c>
      <c r="Q63" s="1875"/>
      <c r="R63" s="1648" t="s">
        <v>65</v>
      </c>
      <c r="S63" s="1650"/>
      <c r="T63" s="1875" t="s">
        <v>66</v>
      </c>
      <c r="U63" s="1875"/>
      <c r="V63" s="1648" t="s">
        <v>67</v>
      </c>
      <c r="W63" s="1650"/>
      <c r="X63" s="1875" t="s">
        <v>68</v>
      </c>
      <c r="Y63" s="1875"/>
      <c r="Z63" s="1648" t="s">
        <v>69</v>
      </c>
      <c r="AA63" s="1650"/>
      <c r="AB63" s="1875" t="s">
        <v>70</v>
      </c>
      <c r="AC63" s="1875"/>
      <c r="AD63" s="1648" t="s">
        <v>71</v>
      </c>
      <c r="AE63" s="1650"/>
      <c r="AF63" s="1876" t="s">
        <v>72</v>
      </c>
      <c r="AG63" s="1877"/>
      <c r="AH63" s="1876" t="s">
        <v>411</v>
      </c>
      <c r="AI63" s="1877"/>
      <c r="AJ63" s="1876" t="s">
        <v>412</v>
      </c>
      <c r="AK63" s="1877"/>
      <c r="AL63" s="1876" t="s">
        <v>413</v>
      </c>
      <c r="AM63" s="1883"/>
      <c r="AN63" s="1867"/>
      <c r="AO63" s="1868"/>
      <c r="AP63" s="1867"/>
      <c r="AQ63" s="1868"/>
    </row>
    <row r="64" spans="1:100" ht="21" x14ac:dyDescent="0.25">
      <c r="A64" s="1936"/>
      <c r="B64" s="1936"/>
      <c r="C64" s="1481" t="s">
        <v>414</v>
      </c>
      <c r="D64" s="1472" t="s">
        <v>91</v>
      </c>
      <c r="E64" s="1473" t="s">
        <v>231</v>
      </c>
      <c r="F64" s="1215" t="s">
        <v>91</v>
      </c>
      <c r="G64" s="988" t="s">
        <v>231</v>
      </c>
      <c r="H64" s="1215" t="s">
        <v>91</v>
      </c>
      <c r="I64" s="988" t="s">
        <v>231</v>
      </c>
      <c r="J64" s="1215" t="s">
        <v>91</v>
      </c>
      <c r="K64" s="988" t="s">
        <v>231</v>
      </c>
      <c r="L64" s="1216" t="s">
        <v>91</v>
      </c>
      <c r="M64" s="872" t="s">
        <v>231</v>
      </c>
      <c r="N64" s="1216" t="s">
        <v>91</v>
      </c>
      <c r="O64" s="872" t="s">
        <v>231</v>
      </c>
      <c r="P64" s="1216" t="s">
        <v>91</v>
      </c>
      <c r="Q64" s="872" t="s">
        <v>231</v>
      </c>
      <c r="R64" s="1212" t="s">
        <v>91</v>
      </c>
      <c r="S64" s="984" t="s">
        <v>231</v>
      </c>
      <c r="T64" s="1216" t="s">
        <v>91</v>
      </c>
      <c r="U64" s="872" t="s">
        <v>231</v>
      </c>
      <c r="V64" s="1212" t="s">
        <v>91</v>
      </c>
      <c r="W64" s="984" t="s">
        <v>231</v>
      </c>
      <c r="X64" s="1216" t="s">
        <v>91</v>
      </c>
      <c r="Y64" s="872" t="s">
        <v>231</v>
      </c>
      <c r="Z64" s="1212" t="s">
        <v>91</v>
      </c>
      <c r="AA64" s="984" t="s">
        <v>231</v>
      </c>
      <c r="AB64" s="1216" t="s">
        <v>91</v>
      </c>
      <c r="AC64" s="872" t="s">
        <v>231</v>
      </c>
      <c r="AD64" s="1212" t="s">
        <v>91</v>
      </c>
      <c r="AE64" s="984" t="s">
        <v>231</v>
      </c>
      <c r="AF64" s="1213" t="s">
        <v>415</v>
      </c>
      <c r="AG64" s="871" t="s">
        <v>231</v>
      </c>
      <c r="AH64" s="1213" t="s">
        <v>415</v>
      </c>
      <c r="AI64" s="871" t="s">
        <v>231</v>
      </c>
      <c r="AJ64" s="1213" t="s">
        <v>415</v>
      </c>
      <c r="AK64" s="871" t="s">
        <v>231</v>
      </c>
      <c r="AL64" s="1213" t="s">
        <v>415</v>
      </c>
      <c r="AM64" s="755" t="s">
        <v>231</v>
      </c>
      <c r="AN64" s="1477" t="s">
        <v>415</v>
      </c>
      <c r="AO64" s="871" t="s">
        <v>231</v>
      </c>
      <c r="AP64" s="1477" t="s">
        <v>415</v>
      </c>
      <c r="AQ64" s="871" t="s">
        <v>231</v>
      </c>
    </row>
    <row r="65" spans="1:95" ht="15" customHeight="1" x14ac:dyDescent="0.25">
      <c r="A65" s="1931" t="s">
        <v>418</v>
      </c>
      <c r="B65" s="95" t="s">
        <v>472</v>
      </c>
      <c r="C65" s="1136">
        <f>+D65+E65</f>
        <v>469</v>
      </c>
      <c r="D65" s="391">
        <f>+F65+H65+J65+L65+N65+P65+R65++T65+V65+X65+Z65+AB65+AD65++AF65+AH65+AJ65+AL65</f>
        <v>208</v>
      </c>
      <c r="E65" s="383">
        <f>+G65+I65+K65+M65+O65+Q65+S65++U65+W65+Y65+AA65+AC65+AE65++AG65+AI65+AK65+AM65</f>
        <v>261</v>
      </c>
      <c r="F65" s="393">
        <v>1</v>
      </c>
      <c r="G65" s="416">
        <v>1</v>
      </c>
      <c r="H65" s="393">
        <v>70</v>
      </c>
      <c r="I65" s="416">
        <v>47</v>
      </c>
      <c r="J65" s="393">
        <v>47</v>
      </c>
      <c r="K65" s="416">
        <v>25</v>
      </c>
      <c r="L65" s="415">
        <v>27</v>
      </c>
      <c r="M65" s="416">
        <v>17</v>
      </c>
      <c r="N65" s="393">
        <v>9</v>
      </c>
      <c r="O65" s="430">
        <v>14</v>
      </c>
      <c r="P65" s="393">
        <v>1</v>
      </c>
      <c r="Q65" s="430">
        <v>15</v>
      </c>
      <c r="R65" s="393">
        <v>5</v>
      </c>
      <c r="S65" s="430">
        <v>11</v>
      </c>
      <c r="T65" s="393">
        <v>5</v>
      </c>
      <c r="U65" s="430">
        <v>10</v>
      </c>
      <c r="V65" s="393">
        <v>1</v>
      </c>
      <c r="W65" s="430">
        <v>7</v>
      </c>
      <c r="X65" s="393">
        <v>4</v>
      </c>
      <c r="Y65" s="430">
        <v>9</v>
      </c>
      <c r="Z65" s="393">
        <v>2</v>
      </c>
      <c r="AA65" s="430">
        <v>10</v>
      </c>
      <c r="AB65" s="393">
        <v>7</v>
      </c>
      <c r="AC65" s="430">
        <v>18</v>
      </c>
      <c r="AD65" s="393">
        <v>10</v>
      </c>
      <c r="AE65" s="430">
        <v>26</v>
      </c>
      <c r="AF65" s="393">
        <v>4</v>
      </c>
      <c r="AG65" s="430">
        <v>15</v>
      </c>
      <c r="AH65" s="393">
        <v>4</v>
      </c>
      <c r="AI65" s="430">
        <v>11</v>
      </c>
      <c r="AJ65" s="393">
        <v>5</v>
      </c>
      <c r="AK65" s="430">
        <v>12</v>
      </c>
      <c r="AL65" s="393">
        <v>6</v>
      </c>
      <c r="AM65" s="989">
        <v>13</v>
      </c>
      <c r="AN65" s="460">
        <v>36</v>
      </c>
      <c r="AO65" s="430">
        <v>38</v>
      </c>
      <c r="AP65" s="460">
        <v>2</v>
      </c>
      <c r="AQ65" s="430">
        <v>2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8">
        <f>IF(SUM(C15:C17)&gt;=SUM(C65:C68),0,1)</f>
        <v>0</v>
      </c>
      <c r="CN65" s="1038">
        <f>IF(AND($D65&gt;0,OR(AN65="")),1,IF(AN65&gt;$D65,1,0))</f>
        <v>0</v>
      </c>
      <c r="CO65" s="1038">
        <f t="shared" ref="CO65:CO71" si="50">IF(AND($E65&gt;0,OR(AO65="")),1,IF(AO65&gt;$E65,1,0))</f>
        <v>0</v>
      </c>
      <c r="CP65" s="1038">
        <f t="shared" ref="CP65:CP71" si="51">IF(AND($D65&gt;0,OR(AP65="")),1,IF(AP65&gt;$D65,1,0))</f>
        <v>0</v>
      </c>
      <c r="CQ65" s="1038">
        <f t="shared" ref="CQ65:CQ71" si="52">IF(AND($E65&gt;0,OR(AQ65="")),1,IF(AQ65&gt;$E65,1,0))</f>
        <v>0</v>
      </c>
    </row>
    <row r="66" spans="1:95" ht="15" customHeight="1" x14ac:dyDescent="0.25">
      <c r="A66" s="1930"/>
      <c r="B66" s="96" t="s">
        <v>473</v>
      </c>
      <c r="C66" s="1138">
        <f t="shared" ref="C66:C71" si="53">+D66+E66</f>
        <v>41</v>
      </c>
      <c r="D66" s="396">
        <f>+F66+H66+J66+L66+N66+P66+R66++T66+V66+X66+Z66+AB66+AD66++AF66+AH66+AJ66+AL66</f>
        <v>15</v>
      </c>
      <c r="E66" s="384">
        <f t="shared" ref="D66:E68" si="54">+G66+I66+K66+M66+O66+Q66+S66++U66+W66+Y66+AA66+AC66+AE66++AG66+AI66+AK66+AM66</f>
        <v>26</v>
      </c>
      <c r="F66" s="415">
        <v>0</v>
      </c>
      <c r="G66" s="416">
        <v>0</v>
      </c>
      <c r="H66" s="415">
        <v>0</v>
      </c>
      <c r="I66" s="416">
        <v>1</v>
      </c>
      <c r="J66" s="415">
        <v>2</v>
      </c>
      <c r="K66" s="416">
        <v>0</v>
      </c>
      <c r="L66" s="415">
        <v>1</v>
      </c>
      <c r="M66" s="416">
        <v>1</v>
      </c>
      <c r="N66" s="415">
        <v>1</v>
      </c>
      <c r="O66" s="430">
        <v>2</v>
      </c>
      <c r="P66" s="415">
        <v>0</v>
      </c>
      <c r="Q66" s="430">
        <v>1</v>
      </c>
      <c r="R66" s="415">
        <v>1</v>
      </c>
      <c r="S66" s="430">
        <v>6</v>
      </c>
      <c r="T66" s="415">
        <v>1</v>
      </c>
      <c r="U66" s="430">
        <v>2</v>
      </c>
      <c r="V66" s="415">
        <v>1</v>
      </c>
      <c r="W66" s="430">
        <v>2</v>
      </c>
      <c r="X66" s="415">
        <v>2</v>
      </c>
      <c r="Y66" s="430">
        <v>0</v>
      </c>
      <c r="Z66" s="415">
        <v>1</v>
      </c>
      <c r="AA66" s="430">
        <v>2</v>
      </c>
      <c r="AB66" s="415">
        <v>0</v>
      </c>
      <c r="AC66" s="430">
        <v>1</v>
      </c>
      <c r="AD66" s="415">
        <v>1</v>
      </c>
      <c r="AE66" s="430">
        <v>2</v>
      </c>
      <c r="AF66" s="415">
        <v>0</v>
      </c>
      <c r="AG66" s="430">
        <v>1</v>
      </c>
      <c r="AH66" s="415">
        <v>4</v>
      </c>
      <c r="AI66" s="430">
        <v>2</v>
      </c>
      <c r="AJ66" s="415">
        <v>0</v>
      </c>
      <c r="AK66" s="430">
        <v>2</v>
      </c>
      <c r="AL66" s="415">
        <v>0</v>
      </c>
      <c r="AM66" s="989">
        <v>1</v>
      </c>
      <c r="AN66" s="466">
        <v>1</v>
      </c>
      <c r="AO66" s="430">
        <v>1</v>
      </c>
      <c r="AP66" s="466">
        <v>3</v>
      </c>
      <c r="AQ66" s="430">
        <v>3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8">
        <f t="shared" ref="CN66:CN71" si="56">IF(AND($D66&gt;0,OR(AN66="")),1,IF(AN66&gt;$D66,1,0))</f>
        <v>0</v>
      </c>
      <c r="CO66" s="1038">
        <f t="shared" si="50"/>
        <v>0</v>
      </c>
      <c r="CP66" s="1038">
        <f t="shared" si="51"/>
        <v>0</v>
      </c>
      <c r="CQ66" s="1038">
        <f t="shared" si="52"/>
        <v>0</v>
      </c>
    </row>
    <row r="67" spans="1:95" ht="15" customHeight="1" x14ac:dyDescent="0.25">
      <c r="A67" s="1930"/>
      <c r="B67" s="96" t="s">
        <v>474</v>
      </c>
      <c r="C67" s="1138">
        <f t="shared" si="53"/>
        <v>6</v>
      </c>
      <c r="D67" s="396">
        <f t="shared" si="54"/>
        <v>4</v>
      </c>
      <c r="E67" s="384">
        <f t="shared" si="54"/>
        <v>2</v>
      </c>
      <c r="F67" s="415">
        <v>0</v>
      </c>
      <c r="G67" s="416">
        <v>0</v>
      </c>
      <c r="H67" s="415">
        <v>0</v>
      </c>
      <c r="I67" s="416">
        <v>0</v>
      </c>
      <c r="J67" s="415">
        <v>0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1</v>
      </c>
      <c r="U67" s="430">
        <v>1</v>
      </c>
      <c r="V67" s="415">
        <v>0</v>
      </c>
      <c r="W67" s="430">
        <v>1</v>
      </c>
      <c r="X67" s="415">
        <v>0</v>
      </c>
      <c r="Y67" s="430">
        <v>0</v>
      </c>
      <c r="Z67" s="415">
        <v>0</v>
      </c>
      <c r="AA67" s="430">
        <v>0</v>
      </c>
      <c r="AB67" s="415">
        <v>1</v>
      </c>
      <c r="AC67" s="430">
        <v>0</v>
      </c>
      <c r="AD67" s="415">
        <v>0</v>
      </c>
      <c r="AE67" s="430">
        <v>0</v>
      </c>
      <c r="AF67" s="415">
        <v>0</v>
      </c>
      <c r="AG67" s="430">
        <v>0</v>
      </c>
      <c r="AH67" s="415">
        <v>1</v>
      </c>
      <c r="AI67" s="430">
        <v>0</v>
      </c>
      <c r="AJ67" s="415">
        <v>1</v>
      </c>
      <c r="AK67" s="430">
        <v>0</v>
      </c>
      <c r="AL67" s="415">
        <v>0</v>
      </c>
      <c r="AM67" s="989">
        <v>0</v>
      </c>
      <c r="AN67" s="466">
        <v>1</v>
      </c>
      <c r="AO67" s="430">
        <v>1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8">
        <f t="shared" si="56"/>
        <v>0</v>
      </c>
      <c r="CO67" s="1038">
        <f t="shared" si="50"/>
        <v>0</v>
      </c>
      <c r="CP67" s="1038">
        <f t="shared" si="51"/>
        <v>0</v>
      </c>
      <c r="CQ67" s="1038">
        <f t="shared" si="52"/>
        <v>0</v>
      </c>
    </row>
    <row r="68" spans="1:95" ht="15" customHeight="1" x14ac:dyDescent="0.25">
      <c r="A68" s="1656"/>
      <c r="B68" s="96" t="s">
        <v>475</v>
      </c>
      <c r="C68" s="1134">
        <f t="shared" si="53"/>
        <v>1</v>
      </c>
      <c r="D68" s="390">
        <f t="shared" si="54"/>
        <v>0</v>
      </c>
      <c r="E68" s="385">
        <f t="shared" si="54"/>
        <v>1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1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89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8">
        <f t="shared" si="56"/>
        <v>0</v>
      </c>
      <c r="CO68" s="1038">
        <f t="shared" si="50"/>
        <v>0</v>
      </c>
      <c r="CP68" s="1038">
        <f t="shared" si="51"/>
        <v>0</v>
      </c>
      <c r="CQ68" s="1038">
        <f t="shared" si="52"/>
        <v>0</v>
      </c>
    </row>
    <row r="69" spans="1:95" ht="15" customHeight="1" x14ac:dyDescent="0.25">
      <c r="A69" s="1931" t="s">
        <v>419</v>
      </c>
      <c r="B69" s="97" t="s">
        <v>476</v>
      </c>
      <c r="C69" s="1133">
        <f t="shared" si="53"/>
        <v>113</v>
      </c>
      <c r="D69" s="386">
        <f>+V69+X69+Z69+AB69+AD69+AF69+AH69+AJ69+AL69</f>
        <v>55</v>
      </c>
      <c r="E69" s="387">
        <f>+W69+Y69+AA69+AC69+AE69+AG69+AI69+AK69+AM69</f>
        <v>58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2</v>
      </c>
      <c r="W69" s="430">
        <v>1</v>
      </c>
      <c r="X69" s="415">
        <v>1</v>
      </c>
      <c r="Y69" s="430">
        <v>3</v>
      </c>
      <c r="Z69" s="415">
        <v>3</v>
      </c>
      <c r="AA69" s="430">
        <v>4</v>
      </c>
      <c r="AB69" s="415">
        <v>3</v>
      </c>
      <c r="AC69" s="430">
        <v>5</v>
      </c>
      <c r="AD69" s="415">
        <v>7</v>
      </c>
      <c r="AE69" s="430">
        <v>5</v>
      </c>
      <c r="AF69" s="415">
        <v>12</v>
      </c>
      <c r="AG69" s="430">
        <v>14</v>
      </c>
      <c r="AH69" s="415">
        <v>14</v>
      </c>
      <c r="AI69" s="430">
        <v>11</v>
      </c>
      <c r="AJ69" s="415">
        <v>5</v>
      </c>
      <c r="AK69" s="430">
        <v>7</v>
      </c>
      <c r="AL69" s="415">
        <v>8</v>
      </c>
      <c r="AM69" s="989">
        <v>8</v>
      </c>
      <c r="AN69" s="466">
        <v>6</v>
      </c>
      <c r="AO69" s="430">
        <v>4</v>
      </c>
      <c r="AP69" s="466">
        <v>0</v>
      </c>
      <c r="AQ69" s="430">
        <v>1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8">
        <f t="shared" si="56"/>
        <v>0</v>
      </c>
      <c r="CO69" s="1038">
        <f t="shared" si="50"/>
        <v>0</v>
      </c>
      <c r="CP69" s="1038">
        <f t="shared" si="51"/>
        <v>0</v>
      </c>
      <c r="CQ69" s="1038">
        <f t="shared" si="52"/>
        <v>0</v>
      </c>
    </row>
    <row r="70" spans="1:95" ht="15" customHeight="1" x14ac:dyDescent="0.25">
      <c r="A70" s="1932"/>
      <c r="B70" s="87" t="s">
        <v>477</v>
      </c>
      <c r="C70" s="1310">
        <f t="shared" si="53"/>
        <v>10</v>
      </c>
      <c r="D70" s="388">
        <f>+V70+X70+Z70+AB70+AD70+AF70+AH70+AJ70+AL70</f>
        <v>6</v>
      </c>
      <c r="E70" s="389">
        <f t="shared" ref="D70:E71" si="58">+W70+Y70+AA70+AC70+AE70+AG70+AI70+AK70+AM70</f>
        <v>4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1</v>
      </c>
      <c r="Y70" s="430">
        <v>0</v>
      </c>
      <c r="Z70" s="415">
        <v>0</v>
      </c>
      <c r="AA70" s="430">
        <v>0</v>
      </c>
      <c r="AB70" s="415">
        <v>0</v>
      </c>
      <c r="AC70" s="430">
        <v>0</v>
      </c>
      <c r="AD70" s="415">
        <v>1</v>
      </c>
      <c r="AE70" s="430">
        <v>1</v>
      </c>
      <c r="AF70" s="415">
        <v>2</v>
      </c>
      <c r="AG70" s="430">
        <v>0</v>
      </c>
      <c r="AH70" s="415">
        <v>0</v>
      </c>
      <c r="AI70" s="430">
        <v>1</v>
      </c>
      <c r="AJ70" s="415">
        <v>0</v>
      </c>
      <c r="AK70" s="430">
        <v>1</v>
      </c>
      <c r="AL70" s="415">
        <v>2</v>
      </c>
      <c r="AM70" s="989">
        <v>1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8">
        <f t="shared" si="56"/>
        <v>0</v>
      </c>
      <c r="CO70" s="1038">
        <f t="shared" si="50"/>
        <v>0</v>
      </c>
      <c r="CP70" s="1038">
        <f t="shared" si="51"/>
        <v>0</v>
      </c>
      <c r="CQ70" s="1038">
        <f t="shared" si="52"/>
        <v>0</v>
      </c>
    </row>
    <row r="71" spans="1:95" ht="15" customHeight="1" x14ac:dyDescent="0.25">
      <c r="A71" s="1656"/>
      <c r="B71" s="98" t="s">
        <v>475</v>
      </c>
      <c r="C71" s="1134">
        <f t="shared" si="53"/>
        <v>1</v>
      </c>
      <c r="D71" s="390">
        <f t="shared" si="58"/>
        <v>0</v>
      </c>
      <c r="E71" s="385">
        <f t="shared" si="58"/>
        <v>1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1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90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8">
        <f>IF(SUM(C18:C19)&gt;=SUM(C69:C71),0,1)</f>
        <v>0</v>
      </c>
      <c r="CN71" s="1038">
        <f t="shared" si="56"/>
        <v>0</v>
      </c>
      <c r="CO71" s="1038">
        <f t="shared" si="50"/>
        <v>0</v>
      </c>
      <c r="CP71" s="1038">
        <f t="shared" si="51"/>
        <v>0</v>
      </c>
      <c r="CQ71" s="1038">
        <f t="shared" si="52"/>
        <v>0</v>
      </c>
    </row>
    <row r="72" spans="1:95" ht="17.100000000000001" customHeight="1" x14ac:dyDescent="0.25">
      <c r="A72" s="1260" t="s">
        <v>478</v>
      </c>
      <c r="B72" s="703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933" t="s">
        <v>479</v>
      </c>
      <c r="B73" s="1937" t="s">
        <v>480</v>
      </c>
      <c r="C73" s="1938" t="s">
        <v>54</v>
      </c>
      <c r="D73" s="1938"/>
      <c r="E73" s="1938"/>
      <c r="F73" s="1922" t="s">
        <v>471</v>
      </c>
      <c r="G73" s="1923"/>
      <c r="H73" s="1923"/>
      <c r="I73" s="1923"/>
      <c r="J73" s="1923"/>
      <c r="K73" s="1923"/>
      <c r="L73" s="1923"/>
      <c r="M73" s="1923"/>
      <c r="N73" s="1923"/>
      <c r="O73" s="1923"/>
      <c r="P73" s="1923"/>
      <c r="Q73" s="1923"/>
      <c r="R73" s="1923"/>
      <c r="S73" s="1923"/>
      <c r="T73" s="1923"/>
      <c r="U73" s="1923"/>
      <c r="V73" s="1923"/>
      <c r="W73" s="1923"/>
      <c r="X73" s="1923"/>
      <c r="Y73" s="1923"/>
      <c r="Z73" s="1923"/>
      <c r="AA73" s="1923"/>
      <c r="AB73" s="1923"/>
      <c r="AC73" s="1923"/>
      <c r="AD73" s="1923"/>
      <c r="AE73" s="1923"/>
      <c r="AF73" s="1923"/>
      <c r="AG73" s="1923"/>
      <c r="AH73" s="1923"/>
      <c r="AI73" s="1923"/>
      <c r="AJ73" s="1923"/>
      <c r="AK73" s="1923"/>
      <c r="AL73" s="1923"/>
      <c r="AM73" s="1924"/>
      <c r="AN73" s="1869" t="s">
        <v>56</v>
      </c>
      <c r="AO73" s="1866"/>
      <c r="AP73" s="1869" t="s">
        <v>113</v>
      </c>
      <c r="AQ73" s="1866"/>
      <c r="AZ73" s="107"/>
      <c r="BA73" s="172"/>
      <c r="BP73" s="604"/>
      <c r="BQ73" s="172"/>
    </row>
    <row r="74" spans="1:95" ht="19.5" customHeight="1" x14ac:dyDescent="0.25">
      <c r="A74" s="1934"/>
      <c r="B74" s="1937"/>
      <c r="C74" s="1938"/>
      <c r="D74" s="1938"/>
      <c r="E74" s="1938"/>
      <c r="F74" s="1873" t="s">
        <v>409</v>
      </c>
      <c r="G74" s="1874"/>
      <c r="H74" s="1873" t="s">
        <v>481</v>
      </c>
      <c r="I74" s="1874"/>
      <c r="J74" s="1928" t="s">
        <v>482</v>
      </c>
      <c r="K74" s="1928"/>
      <c r="L74" s="1873" t="s">
        <v>483</v>
      </c>
      <c r="M74" s="1874"/>
      <c r="N74" s="1927" t="s">
        <v>484</v>
      </c>
      <c r="O74" s="1927"/>
      <c r="P74" s="1927" t="s">
        <v>64</v>
      </c>
      <c r="Q74" s="1927"/>
      <c r="R74" s="1927" t="s">
        <v>65</v>
      </c>
      <c r="S74" s="1927"/>
      <c r="T74" s="1927" t="s">
        <v>66</v>
      </c>
      <c r="U74" s="1927"/>
      <c r="V74" s="1925" t="s">
        <v>485</v>
      </c>
      <c r="W74" s="1929"/>
      <c r="X74" s="1927" t="s">
        <v>486</v>
      </c>
      <c r="Y74" s="1927"/>
      <c r="Z74" s="1925" t="s">
        <v>487</v>
      </c>
      <c r="AA74" s="1929"/>
      <c r="AB74" s="1927" t="s">
        <v>488</v>
      </c>
      <c r="AC74" s="1927"/>
      <c r="AD74" s="1925" t="s">
        <v>489</v>
      </c>
      <c r="AE74" s="1929"/>
      <c r="AF74" s="1927" t="s">
        <v>490</v>
      </c>
      <c r="AG74" s="1927"/>
      <c r="AH74" s="1925" t="s">
        <v>491</v>
      </c>
      <c r="AI74" s="1929"/>
      <c r="AJ74" s="1927" t="s">
        <v>492</v>
      </c>
      <c r="AK74" s="1927"/>
      <c r="AL74" s="1925" t="s">
        <v>493</v>
      </c>
      <c r="AM74" s="1926"/>
      <c r="AN74" s="1867"/>
      <c r="AO74" s="1868"/>
      <c r="AP74" s="1867"/>
      <c r="AQ74" s="1868"/>
      <c r="AZ74" s="107"/>
      <c r="BA74" s="172"/>
      <c r="BP74" s="604"/>
      <c r="BQ74" s="172"/>
    </row>
    <row r="75" spans="1:95" ht="18" customHeight="1" x14ac:dyDescent="0.25">
      <c r="A75" s="1935"/>
      <c r="B75" s="1937"/>
      <c r="C75" s="1483" t="s">
        <v>494</v>
      </c>
      <c r="D75" s="1484" t="s">
        <v>91</v>
      </c>
      <c r="E75" s="1190" t="s">
        <v>231</v>
      </c>
      <c r="F75" s="1212" t="s">
        <v>91</v>
      </c>
      <c r="G75" s="984" t="s">
        <v>231</v>
      </c>
      <c r="H75" s="1380" t="s">
        <v>91</v>
      </c>
      <c r="I75" s="984" t="s">
        <v>231</v>
      </c>
      <c r="J75" s="1380" t="s">
        <v>91</v>
      </c>
      <c r="K75" s="984" t="s">
        <v>231</v>
      </c>
      <c r="L75" s="1380" t="s">
        <v>91</v>
      </c>
      <c r="M75" s="984" t="s">
        <v>231</v>
      </c>
      <c r="N75" s="1380" t="s">
        <v>91</v>
      </c>
      <c r="O75" s="984" t="s">
        <v>231</v>
      </c>
      <c r="P75" s="1380" t="s">
        <v>91</v>
      </c>
      <c r="Q75" s="984" t="s">
        <v>231</v>
      </c>
      <c r="R75" s="1380" t="s">
        <v>91</v>
      </c>
      <c r="S75" s="984" t="s">
        <v>231</v>
      </c>
      <c r="T75" s="1380" t="s">
        <v>91</v>
      </c>
      <c r="U75" s="984" t="s">
        <v>231</v>
      </c>
      <c r="V75" s="1380" t="s">
        <v>91</v>
      </c>
      <c r="W75" s="984" t="s">
        <v>231</v>
      </c>
      <c r="X75" s="1380" t="s">
        <v>91</v>
      </c>
      <c r="Y75" s="984" t="s">
        <v>231</v>
      </c>
      <c r="Z75" s="1380" t="s">
        <v>91</v>
      </c>
      <c r="AA75" s="984" t="s">
        <v>231</v>
      </c>
      <c r="AB75" s="1380" t="s">
        <v>91</v>
      </c>
      <c r="AC75" s="984" t="s">
        <v>231</v>
      </c>
      <c r="AD75" s="1380" t="s">
        <v>91</v>
      </c>
      <c r="AE75" s="984" t="s">
        <v>231</v>
      </c>
      <c r="AF75" s="1380" t="s">
        <v>91</v>
      </c>
      <c r="AG75" s="984" t="s">
        <v>231</v>
      </c>
      <c r="AH75" s="1380" t="s">
        <v>91</v>
      </c>
      <c r="AI75" s="984" t="s">
        <v>231</v>
      </c>
      <c r="AJ75" s="1380" t="s">
        <v>91</v>
      </c>
      <c r="AK75" s="984" t="s">
        <v>231</v>
      </c>
      <c r="AL75" s="1380" t="s">
        <v>91</v>
      </c>
      <c r="AM75" s="1485" t="s">
        <v>231</v>
      </c>
      <c r="AN75" s="1477" t="s">
        <v>415</v>
      </c>
      <c r="AO75" s="871" t="s">
        <v>231</v>
      </c>
      <c r="AP75" s="1477" t="s">
        <v>415</v>
      </c>
      <c r="AQ75" s="871" t="s">
        <v>231</v>
      </c>
      <c r="AZ75" s="107"/>
      <c r="BA75" s="172"/>
      <c r="BP75" s="604"/>
      <c r="BQ75" s="172"/>
    </row>
    <row r="76" spans="1:95" ht="15" customHeight="1" x14ac:dyDescent="0.25">
      <c r="A76" s="1655" t="s">
        <v>419</v>
      </c>
      <c r="B76" s="721" t="s">
        <v>495</v>
      </c>
      <c r="C76" s="1163">
        <f>SUM(D76:E76)</f>
        <v>0</v>
      </c>
      <c r="D76" s="1159">
        <f>+V76+X76+Z76+AB76+AD76+AF76+AH76+AJ76+AL76</f>
        <v>0</v>
      </c>
      <c r="E76" s="894">
        <f>+W76+Y76+AA76+AC76+AE76+AG76+AI76+AK76+AM76</f>
        <v>0</v>
      </c>
      <c r="F76" s="985"/>
      <c r="G76" s="922"/>
      <c r="H76" s="921"/>
      <c r="I76" s="922"/>
      <c r="J76" s="921"/>
      <c r="K76" s="922"/>
      <c r="L76" s="921"/>
      <c r="M76" s="922"/>
      <c r="N76" s="921"/>
      <c r="O76" s="922"/>
      <c r="P76" s="921"/>
      <c r="Q76" s="922"/>
      <c r="R76" s="921"/>
      <c r="S76" s="922"/>
      <c r="T76" s="921"/>
      <c r="U76" s="922"/>
      <c r="V76" s="262">
        <v>0</v>
      </c>
      <c r="W76" s="684">
        <v>0</v>
      </c>
      <c r="X76" s="262">
        <v>0</v>
      </c>
      <c r="Y76" s="684">
        <v>0</v>
      </c>
      <c r="Z76" s="262">
        <v>0</v>
      </c>
      <c r="AA76" s="684">
        <v>0</v>
      </c>
      <c r="AB76" s="262">
        <v>0</v>
      </c>
      <c r="AC76" s="684">
        <v>0</v>
      </c>
      <c r="AD76" s="262">
        <v>0</v>
      </c>
      <c r="AE76" s="684">
        <v>0</v>
      </c>
      <c r="AF76" s="262">
        <v>0</v>
      </c>
      <c r="AG76" s="684">
        <v>0</v>
      </c>
      <c r="AH76" s="262">
        <v>0</v>
      </c>
      <c r="AI76" s="684">
        <v>0</v>
      </c>
      <c r="AJ76" s="262">
        <v>0</v>
      </c>
      <c r="AK76" s="684">
        <v>0</v>
      </c>
      <c r="AL76" s="274">
        <v>0</v>
      </c>
      <c r="AM76" s="743">
        <v>0</v>
      </c>
      <c r="AN76" s="274">
        <v>0</v>
      </c>
      <c r="AO76" s="684">
        <v>0</v>
      </c>
      <c r="AP76" s="274">
        <v>0</v>
      </c>
      <c r="AQ76" s="684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8">
        <f>IF(SUM(C15:C17)&gt;=SUM(C79:C81),0,1)</f>
        <v>0</v>
      </c>
      <c r="CN76" s="1038">
        <f>IF(AND($D76&gt;0,OR(AN76="")),1,IF(AN76&gt;$D76,1,0))</f>
        <v>0</v>
      </c>
      <c r="CO76" s="1038">
        <f>IF(AND($E76&gt;0,OR(AO76="")),1,IF(AO76&gt;$E76,1,0))</f>
        <v>0</v>
      </c>
      <c r="CP76" s="1038">
        <f t="shared" ref="CP76:CP82" si="62">IF(AND($D76&gt;0,OR(AP76="")),1,IF(AP76&gt;$D76,1,0))</f>
        <v>0</v>
      </c>
      <c r="CQ76" s="1038">
        <f>IF(AND($E76&gt;0,OR(AQ76="")),1,IF(AQ76&gt;$E76,1,0))</f>
        <v>0</v>
      </c>
    </row>
    <row r="77" spans="1:95" ht="15" customHeight="1" x14ac:dyDescent="0.25">
      <c r="A77" s="1930"/>
      <c r="B77" s="1048" t="s">
        <v>496</v>
      </c>
      <c r="C77" s="1164">
        <f>SUM(D77:E77)</f>
        <v>0</v>
      </c>
      <c r="D77" s="1160">
        <f>+V77+X77+Z77+AB77+AD77+AF77+AH77+AJ77+AL77</f>
        <v>0</v>
      </c>
      <c r="E77" s="895">
        <f t="shared" ref="E77" si="63">+W77+Y77+AA77+AC77+AE77+AG77+AI77+AK77+AM77</f>
        <v>0</v>
      </c>
      <c r="F77" s="986"/>
      <c r="G77" s="924"/>
      <c r="H77" s="923"/>
      <c r="I77" s="924"/>
      <c r="J77" s="923"/>
      <c r="K77" s="924"/>
      <c r="L77" s="923"/>
      <c r="M77" s="924"/>
      <c r="N77" s="923"/>
      <c r="O77" s="924"/>
      <c r="P77" s="923"/>
      <c r="Q77" s="924"/>
      <c r="R77" s="923"/>
      <c r="S77" s="924"/>
      <c r="T77" s="923"/>
      <c r="U77" s="924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0</v>
      </c>
      <c r="AB77" s="277">
        <v>0</v>
      </c>
      <c r="AC77" s="310">
        <v>0</v>
      </c>
      <c r="AD77" s="277">
        <v>0</v>
      </c>
      <c r="AE77" s="310">
        <v>0</v>
      </c>
      <c r="AF77" s="277">
        <v>0</v>
      </c>
      <c r="AG77" s="310">
        <v>0</v>
      </c>
      <c r="AH77" s="277">
        <v>0</v>
      </c>
      <c r="AI77" s="310">
        <v>0</v>
      </c>
      <c r="AJ77" s="277">
        <v>0</v>
      </c>
      <c r="AK77" s="310">
        <v>0</v>
      </c>
      <c r="AL77" s="277">
        <v>0</v>
      </c>
      <c r="AM77" s="729">
        <v>0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8">
        <f t="shared" ref="CN77:CN82" si="65">IF(AND($D77&gt;0,OR(AN77="")),1,IF(AN77&gt;$D77,1,0))</f>
        <v>0</v>
      </c>
      <c r="CO77" s="1038">
        <f t="shared" ref="CO77:CO82" si="66">IF(AND($E77&gt;0,OR(AO77="")),1,IF(AO77&gt;$E77,1,0))</f>
        <v>0</v>
      </c>
      <c r="CP77" s="1038">
        <f t="shared" si="62"/>
        <v>0</v>
      </c>
      <c r="CQ77" s="1038">
        <f t="shared" ref="CQ77:CQ82" si="67">IF(AND($E77&gt;0,OR(AQ77="")),1,IF(AQ77&gt;$E77,1,0))</f>
        <v>0</v>
      </c>
    </row>
    <row r="78" spans="1:95" ht="15" customHeight="1" x14ac:dyDescent="0.25">
      <c r="A78" s="1656"/>
      <c r="B78" s="1049" t="s">
        <v>497</v>
      </c>
      <c r="C78" s="1165">
        <f t="shared" ref="C78:C84" si="68">SUM(D78:E78)</f>
        <v>0</v>
      </c>
      <c r="D78" s="1161">
        <f t="shared" ref="D78" si="69">+V78+X78+Z78+AB78+AD78+AF78+AH78+AJ78+AL78</f>
        <v>0</v>
      </c>
      <c r="E78" s="890">
        <f>+W78+Y78+AA78+AC78+AE78+AG78+AI78+AK78+AM78</f>
        <v>0</v>
      </c>
      <c r="F78" s="987"/>
      <c r="G78" s="926"/>
      <c r="H78" s="925"/>
      <c r="I78" s="926"/>
      <c r="J78" s="925"/>
      <c r="K78" s="926"/>
      <c r="L78" s="925"/>
      <c r="M78" s="926"/>
      <c r="N78" s="925"/>
      <c r="O78" s="926"/>
      <c r="P78" s="925"/>
      <c r="Q78" s="926"/>
      <c r="R78" s="925"/>
      <c r="S78" s="926"/>
      <c r="T78" s="925"/>
      <c r="U78" s="926"/>
      <c r="V78" s="267">
        <v>0</v>
      </c>
      <c r="W78" s="683">
        <v>0</v>
      </c>
      <c r="X78" s="267">
        <v>0</v>
      </c>
      <c r="Y78" s="683">
        <v>0</v>
      </c>
      <c r="Z78" s="267">
        <v>0</v>
      </c>
      <c r="AA78" s="683">
        <v>0</v>
      </c>
      <c r="AB78" s="267">
        <v>0</v>
      </c>
      <c r="AC78" s="683">
        <v>0</v>
      </c>
      <c r="AD78" s="267">
        <v>0</v>
      </c>
      <c r="AE78" s="683">
        <v>0</v>
      </c>
      <c r="AF78" s="267">
        <v>0</v>
      </c>
      <c r="AG78" s="683">
        <v>0</v>
      </c>
      <c r="AH78" s="267">
        <v>0</v>
      </c>
      <c r="AI78" s="683">
        <v>0</v>
      </c>
      <c r="AJ78" s="267">
        <v>0</v>
      </c>
      <c r="AK78" s="683">
        <v>0</v>
      </c>
      <c r="AL78" s="267">
        <v>0</v>
      </c>
      <c r="AM78" s="578">
        <v>0</v>
      </c>
      <c r="AN78" s="267">
        <v>0</v>
      </c>
      <c r="AO78" s="683">
        <v>0</v>
      </c>
      <c r="AP78" s="267">
        <v>0</v>
      </c>
      <c r="AQ78" s="683">
        <v>0</v>
      </c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8">
        <f t="shared" si="65"/>
        <v>0</v>
      </c>
      <c r="CO78" s="1038">
        <f t="shared" si="66"/>
        <v>0</v>
      </c>
      <c r="CP78" s="1038">
        <f t="shared" si="62"/>
        <v>0</v>
      </c>
      <c r="CQ78" s="1038">
        <f t="shared" si="67"/>
        <v>0</v>
      </c>
    </row>
    <row r="79" spans="1:95" ht="15" customHeight="1" x14ac:dyDescent="0.25">
      <c r="A79" s="1655" t="s">
        <v>418</v>
      </c>
      <c r="B79" s="721" t="s">
        <v>495</v>
      </c>
      <c r="C79" s="1163">
        <f t="shared" si="68"/>
        <v>13</v>
      </c>
      <c r="D79" s="1159">
        <f>+F79+H79+J79+L79+N79+P79+R79+T79+V79+X79+Z79+AB79+AD79+AF79+AH79+AJ79+AL79</f>
        <v>7</v>
      </c>
      <c r="E79" s="894">
        <f>+G79+I79+K79+M79+O79+Q79+S79+U79+W79+Y79+AA79+AC79+AE79+AG79+AI79+AK79+AM79</f>
        <v>6</v>
      </c>
      <c r="F79" s="261">
        <v>0</v>
      </c>
      <c r="G79" s="308">
        <v>0</v>
      </c>
      <c r="H79" s="262">
        <v>4</v>
      </c>
      <c r="I79" s="308">
        <v>2</v>
      </c>
      <c r="J79" s="262">
        <v>3</v>
      </c>
      <c r="K79" s="308">
        <v>4</v>
      </c>
      <c r="L79" s="262">
        <v>0</v>
      </c>
      <c r="M79" s="308">
        <v>0</v>
      </c>
      <c r="N79" s="262">
        <v>0</v>
      </c>
      <c r="O79" s="308">
        <v>0</v>
      </c>
      <c r="P79" s="262">
        <v>0</v>
      </c>
      <c r="Q79" s="308">
        <v>0</v>
      </c>
      <c r="R79" s="262">
        <v>0</v>
      </c>
      <c r="S79" s="308">
        <v>0</v>
      </c>
      <c r="T79" s="262">
        <v>0</v>
      </c>
      <c r="U79" s="308">
        <v>0</v>
      </c>
      <c r="V79" s="262">
        <v>0</v>
      </c>
      <c r="W79" s="308">
        <v>0</v>
      </c>
      <c r="X79" s="262">
        <v>0</v>
      </c>
      <c r="Y79" s="308">
        <v>0</v>
      </c>
      <c r="Z79" s="262">
        <v>0</v>
      </c>
      <c r="AA79" s="308">
        <v>0</v>
      </c>
      <c r="AB79" s="262">
        <v>0</v>
      </c>
      <c r="AC79" s="308">
        <v>0</v>
      </c>
      <c r="AD79" s="262">
        <v>0</v>
      </c>
      <c r="AE79" s="308">
        <v>0</v>
      </c>
      <c r="AF79" s="262">
        <v>0</v>
      </c>
      <c r="AG79" s="308">
        <v>0</v>
      </c>
      <c r="AH79" s="262">
        <v>0</v>
      </c>
      <c r="AI79" s="308">
        <v>0</v>
      </c>
      <c r="AJ79" s="262">
        <v>0</v>
      </c>
      <c r="AK79" s="308">
        <v>0</v>
      </c>
      <c r="AL79" s="262">
        <v>0</v>
      </c>
      <c r="AM79" s="577">
        <v>0</v>
      </c>
      <c r="AN79" s="262">
        <v>0</v>
      </c>
      <c r="AO79" s="308">
        <v>1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8">
        <f t="shared" si="65"/>
        <v>0</v>
      </c>
      <c r="CO79" s="1038">
        <f t="shared" si="66"/>
        <v>0</v>
      </c>
      <c r="CP79" s="1038">
        <f t="shared" si="62"/>
        <v>0</v>
      </c>
      <c r="CQ79" s="1038">
        <f t="shared" si="67"/>
        <v>0</v>
      </c>
    </row>
    <row r="80" spans="1:95" ht="15" customHeight="1" x14ac:dyDescent="0.25">
      <c r="A80" s="1930"/>
      <c r="B80" s="1048" t="s">
        <v>498</v>
      </c>
      <c r="C80" s="1166">
        <f>SUM(D80:E80)</f>
        <v>3</v>
      </c>
      <c r="D80" s="1162">
        <f>+F80+H80+J80+L80+N80+P80+R80+T80+V80+X80+Z80+AB80+AD80+AF80+AH80+AJ80+AL80</f>
        <v>2</v>
      </c>
      <c r="E80" s="896">
        <f t="shared" ref="E80:E81" si="71">+G80+I80+K80+M80+O80+Q80+S80+U80+W80+Y80+AA80+AC80+AE80+AG80+AI80+AK80+AM80</f>
        <v>1</v>
      </c>
      <c r="F80" s="309">
        <v>0</v>
      </c>
      <c r="G80" s="310">
        <v>0</v>
      </c>
      <c r="H80" s="277">
        <v>1</v>
      </c>
      <c r="I80" s="310">
        <v>1</v>
      </c>
      <c r="J80" s="277">
        <v>1</v>
      </c>
      <c r="K80" s="310">
        <v>0</v>
      </c>
      <c r="L80" s="277">
        <v>0</v>
      </c>
      <c r="M80" s="310">
        <v>0</v>
      </c>
      <c r="N80" s="277">
        <v>0</v>
      </c>
      <c r="O80" s="310">
        <v>0</v>
      </c>
      <c r="P80" s="277">
        <v>0</v>
      </c>
      <c r="Q80" s="310">
        <v>0</v>
      </c>
      <c r="R80" s="277">
        <v>0</v>
      </c>
      <c r="S80" s="310">
        <v>0</v>
      </c>
      <c r="T80" s="277">
        <v>0</v>
      </c>
      <c r="U80" s="310">
        <v>0</v>
      </c>
      <c r="V80" s="277">
        <v>0</v>
      </c>
      <c r="W80" s="310">
        <v>0</v>
      </c>
      <c r="X80" s="277">
        <v>0</v>
      </c>
      <c r="Y80" s="310">
        <v>0</v>
      </c>
      <c r="Z80" s="277">
        <v>0</v>
      </c>
      <c r="AA80" s="310">
        <v>0</v>
      </c>
      <c r="AB80" s="277">
        <v>0</v>
      </c>
      <c r="AC80" s="310">
        <v>0</v>
      </c>
      <c r="AD80" s="277">
        <v>0</v>
      </c>
      <c r="AE80" s="310">
        <v>0</v>
      </c>
      <c r="AF80" s="277">
        <v>0</v>
      </c>
      <c r="AG80" s="310">
        <v>0</v>
      </c>
      <c r="AH80" s="277">
        <v>0</v>
      </c>
      <c r="AI80" s="310">
        <v>0</v>
      </c>
      <c r="AJ80" s="277">
        <v>0</v>
      </c>
      <c r="AK80" s="310">
        <v>0</v>
      </c>
      <c r="AL80" s="277">
        <v>0</v>
      </c>
      <c r="AM80" s="729">
        <v>0</v>
      </c>
      <c r="AN80" s="277">
        <v>0</v>
      </c>
      <c r="AO80" s="310">
        <v>0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8">
        <f t="shared" si="65"/>
        <v>0</v>
      </c>
      <c r="CO80" s="1038">
        <f t="shared" si="66"/>
        <v>0</v>
      </c>
      <c r="CP80" s="1038">
        <f t="shared" si="62"/>
        <v>0</v>
      </c>
      <c r="CQ80" s="1038">
        <f t="shared" si="67"/>
        <v>0</v>
      </c>
    </row>
    <row r="81" spans="1:95" ht="15" customHeight="1" x14ac:dyDescent="0.25">
      <c r="A81" s="1656"/>
      <c r="B81" s="1049" t="s">
        <v>497</v>
      </c>
      <c r="C81" s="1165">
        <f t="shared" si="68"/>
        <v>0</v>
      </c>
      <c r="D81" s="1161">
        <f t="shared" ref="D81" si="72">+F81+H81+J81+L81+N81+P81+R81+T81+V81+X81+Z81+AB81+AD81+AF81+AH81+AJ81+AL81</f>
        <v>0</v>
      </c>
      <c r="E81" s="890">
        <f t="shared" si="71"/>
        <v>0</v>
      </c>
      <c r="F81" s="745">
        <v>0</v>
      </c>
      <c r="G81" s="683">
        <v>0</v>
      </c>
      <c r="H81" s="267">
        <v>0</v>
      </c>
      <c r="I81" s="683">
        <v>0</v>
      </c>
      <c r="J81" s="267">
        <v>0</v>
      </c>
      <c r="K81" s="683">
        <v>0</v>
      </c>
      <c r="L81" s="267">
        <v>0</v>
      </c>
      <c r="M81" s="683">
        <v>0</v>
      </c>
      <c r="N81" s="267">
        <v>0</v>
      </c>
      <c r="O81" s="683">
        <v>0</v>
      </c>
      <c r="P81" s="267">
        <v>0</v>
      </c>
      <c r="Q81" s="683">
        <v>0</v>
      </c>
      <c r="R81" s="267">
        <v>0</v>
      </c>
      <c r="S81" s="683">
        <v>0</v>
      </c>
      <c r="T81" s="267">
        <v>0</v>
      </c>
      <c r="U81" s="683">
        <v>0</v>
      </c>
      <c r="V81" s="267">
        <v>0</v>
      </c>
      <c r="W81" s="683">
        <v>0</v>
      </c>
      <c r="X81" s="267">
        <v>0</v>
      </c>
      <c r="Y81" s="683">
        <v>0</v>
      </c>
      <c r="Z81" s="267">
        <v>0</v>
      </c>
      <c r="AA81" s="683">
        <v>0</v>
      </c>
      <c r="AB81" s="267">
        <v>0</v>
      </c>
      <c r="AC81" s="683">
        <v>0</v>
      </c>
      <c r="AD81" s="267">
        <v>0</v>
      </c>
      <c r="AE81" s="683">
        <v>0</v>
      </c>
      <c r="AF81" s="267">
        <v>0</v>
      </c>
      <c r="AG81" s="683">
        <v>0</v>
      </c>
      <c r="AH81" s="267">
        <v>0</v>
      </c>
      <c r="AI81" s="683">
        <v>0</v>
      </c>
      <c r="AJ81" s="267">
        <v>0</v>
      </c>
      <c r="AK81" s="683">
        <v>0</v>
      </c>
      <c r="AL81" s="267">
        <v>0</v>
      </c>
      <c r="AM81" s="578">
        <v>0</v>
      </c>
      <c r="AN81" s="267">
        <v>0</v>
      </c>
      <c r="AO81" s="683">
        <v>0</v>
      </c>
      <c r="AP81" s="267">
        <v>0</v>
      </c>
      <c r="AQ81" s="683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8">
        <f t="shared" si="65"/>
        <v>0</v>
      </c>
      <c r="CO81" s="1038">
        <f t="shared" si="66"/>
        <v>0</v>
      </c>
      <c r="CP81" s="1038">
        <f t="shared" si="62"/>
        <v>0</v>
      </c>
      <c r="CQ81" s="1038">
        <f t="shared" si="67"/>
        <v>0</v>
      </c>
    </row>
    <row r="82" spans="1:95" ht="15" customHeight="1" x14ac:dyDescent="0.25">
      <c r="A82" s="1912" t="s">
        <v>499</v>
      </c>
      <c r="B82" s="721" t="s">
        <v>495</v>
      </c>
      <c r="C82" s="1163">
        <f t="shared" si="68"/>
        <v>0</v>
      </c>
      <c r="D82" s="1159">
        <f t="shared" ref="D82:D84" si="73">+F82+H82+J82+L82+N82+P82+R82+T82+V82+X82+Z82+AB82+AD82+AF82+AH82+AJ82+AL82</f>
        <v>0</v>
      </c>
      <c r="E82" s="894">
        <f t="shared" ref="E82:E84" si="74">+G82+I82+K82+M82+O82+Q82+S82+U82+W82+Y82+AA82+AC82+AE82+AG82+AI82+AK82+AM82</f>
        <v>0</v>
      </c>
      <c r="F82" s="261">
        <v>0</v>
      </c>
      <c r="G82" s="684">
        <v>0</v>
      </c>
      <c r="H82" s="262">
        <v>0</v>
      </c>
      <c r="I82" s="684">
        <v>0</v>
      </c>
      <c r="J82" s="262">
        <v>0</v>
      </c>
      <c r="K82" s="684">
        <v>0</v>
      </c>
      <c r="L82" s="262">
        <v>0</v>
      </c>
      <c r="M82" s="684">
        <v>0</v>
      </c>
      <c r="N82" s="262">
        <v>0</v>
      </c>
      <c r="O82" s="684">
        <v>0</v>
      </c>
      <c r="P82" s="262">
        <v>0</v>
      </c>
      <c r="Q82" s="684">
        <v>0</v>
      </c>
      <c r="R82" s="262">
        <v>0</v>
      </c>
      <c r="S82" s="684">
        <v>0</v>
      </c>
      <c r="T82" s="262">
        <v>0</v>
      </c>
      <c r="U82" s="684">
        <v>0</v>
      </c>
      <c r="V82" s="262">
        <v>0</v>
      </c>
      <c r="W82" s="684">
        <v>0</v>
      </c>
      <c r="X82" s="262">
        <v>0</v>
      </c>
      <c r="Y82" s="684">
        <v>0</v>
      </c>
      <c r="Z82" s="262">
        <v>0</v>
      </c>
      <c r="AA82" s="684">
        <v>0</v>
      </c>
      <c r="AB82" s="262">
        <v>0</v>
      </c>
      <c r="AC82" s="684">
        <v>0</v>
      </c>
      <c r="AD82" s="262">
        <v>0</v>
      </c>
      <c r="AE82" s="684">
        <v>0</v>
      </c>
      <c r="AF82" s="262">
        <v>0</v>
      </c>
      <c r="AG82" s="684">
        <v>0</v>
      </c>
      <c r="AH82" s="262">
        <v>0</v>
      </c>
      <c r="AI82" s="684">
        <v>0</v>
      </c>
      <c r="AJ82" s="262">
        <v>0</v>
      </c>
      <c r="AK82" s="684">
        <v>0</v>
      </c>
      <c r="AL82" s="274">
        <v>0</v>
      </c>
      <c r="AM82" s="743">
        <v>0</v>
      </c>
      <c r="AN82" s="274">
        <v>0</v>
      </c>
      <c r="AO82" s="684">
        <v>0</v>
      </c>
      <c r="AP82" s="274">
        <v>0</v>
      </c>
      <c r="AQ82" s="684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8">
        <f>IF(SUM(C18:C19)&gt;=SUM(C76:C78),0,1)</f>
        <v>0</v>
      </c>
      <c r="CN82" s="1038">
        <f t="shared" si="65"/>
        <v>0</v>
      </c>
      <c r="CO82" s="1038">
        <f t="shared" si="66"/>
        <v>0</v>
      </c>
      <c r="CP82" s="1038">
        <f t="shared" si="62"/>
        <v>0</v>
      </c>
      <c r="CQ82" s="1038">
        <f t="shared" si="67"/>
        <v>0</v>
      </c>
    </row>
    <row r="83" spans="1:95" ht="15" customHeight="1" x14ac:dyDescent="0.25">
      <c r="A83" s="1913"/>
      <c r="B83" s="1048" t="s">
        <v>496</v>
      </c>
      <c r="C83" s="1164">
        <f t="shared" si="68"/>
        <v>0</v>
      </c>
      <c r="D83" s="1160">
        <f t="shared" si="73"/>
        <v>0</v>
      </c>
      <c r="E83" s="895">
        <f>+G83+I83+K83+M83+O83+Q83+S83+U83+W83+Y83+AA83+AC83+AE83+AG83+AI83+AK83+AM83</f>
        <v>0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0</v>
      </c>
      <c r="V83" s="281">
        <v>0</v>
      </c>
      <c r="W83" s="373">
        <v>0</v>
      </c>
      <c r="X83" s="281">
        <v>0</v>
      </c>
      <c r="Y83" s="373">
        <v>0</v>
      </c>
      <c r="Z83" s="281">
        <v>0</v>
      </c>
      <c r="AA83" s="373">
        <v>0</v>
      </c>
      <c r="AB83" s="281">
        <v>0</v>
      </c>
      <c r="AC83" s="373">
        <v>0</v>
      </c>
      <c r="AD83" s="281">
        <v>0</v>
      </c>
      <c r="AE83" s="373">
        <v>0</v>
      </c>
      <c r="AF83" s="281">
        <v>0</v>
      </c>
      <c r="AG83" s="373">
        <v>0</v>
      </c>
      <c r="AH83" s="281">
        <v>0</v>
      </c>
      <c r="AI83" s="373">
        <v>0</v>
      </c>
      <c r="AJ83" s="281">
        <v>0</v>
      </c>
      <c r="AK83" s="373">
        <v>0</v>
      </c>
      <c r="AL83" s="281">
        <v>0</v>
      </c>
      <c r="AM83" s="730">
        <v>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8">
        <f t="shared" ref="CN83:CN84" si="79">IF(AND($D83&gt;0,OR(AN83="")),1,IF(AN83&gt;$D83,1,0))</f>
        <v>0</v>
      </c>
      <c r="CO83" s="1038">
        <f t="shared" ref="CO83:CO84" si="80">IF(AND($E83&gt;0,OR(AO83="")),1,IF(AO83&gt;$E83,1,0))</f>
        <v>0</v>
      </c>
      <c r="CP83" s="1038">
        <f t="shared" ref="CP83:CP84" si="81">IF(AND($D83&gt;0,OR(AP83="")),1,IF(AP83&gt;$D83,1,0))</f>
        <v>0</v>
      </c>
      <c r="CQ83" s="1038">
        <f t="shared" ref="CQ83:CQ84" si="82">IF(AND($E83&gt;0,OR(AQ83="")),1,IF(AQ83&gt;$E83,1,0))</f>
        <v>0</v>
      </c>
    </row>
    <row r="84" spans="1:95" ht="15" customHeight="1" x14ac:dyDescent="0.25">
      <c r="A84" s="1914"/>
      <c r="B84" s="1049" t="s">
        <v>497</v>
      </c>
      <c r="C84" s="1165">
        <f t="shared" si="68"/>
        <v>0</v>
      </c>
      <c r="D84" s="1161">
        <f t="shared" si="73"/>
        <v>0</v>
      </c>
      <c r="E84" s="890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31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8">
        <f t="shared" si="79"/>
        <v>0</v>
      </c>
      <c r="CO84" s="1038">
        <f t="shared" si="80"/>
        <v>0</v>
      </c>
      <c r="CP84" s="1038">
        <f t="shared" si="81"/>
        <v>0</v>
      </c>
      <c r="CQ84" s="1038">
        <f t="shared" si="82"/>
        <v>0</v>
      </c>
    </row>
    <row r="93" spans="1:95" ht="14.45" hidden="1" customHeight="1" x14ac:dyDescent="0.15">
      <c r="A93" s="1486">
        <f>SUM(C12:C47,B52,C57:C60,C65:C71,C76:C84)</f>
        <v>3897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86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N52" zoomScale="73" zoomScaleNormal="73" zoomScaleSheetLayoutView="100" workbookViewId="0">
      <selection activeCell="AG79" sqref="AG79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4" t="s">
        <v>500</v>
      </c>
      <c r="B7" s="1984"/>
      <c r="C7" s="1984"/>
      <c r="D7" s="1984"/>
      <c r="E7" s="1984"/>
      <c r="F7" s="1984"/>
      <c r="G7" s="1984"/>
      <c r="H7" s="1984"/>
      <c r="I7" s="1984"/>
      <c r="J7" s="1984"/>
      <c r="K7" s="1984"/>
      <c r="L7" s="1984"/>
      <c r="M7" s="1984"/>
      <c r="N7" s="1984"/>
      <c r="O7" s="1984"/>
      <c r="P7" s="1984"/>
      <c r="Q7" s="1984"/>
      <c r="R7" s="1984"/>
      <c r="S7" s="1984"/>
      <c r="T7" s="1984"/>
      <c r="U7" s="1984"/>
    </row>
    <row r="8" spans="1:118" ht="17.100000000000001" customHeight="1" x14ac:dyDescent="0.15">
      <c r="A8" s="1987" t="s">
        <v>501</v>
      </c>
      <c r="B8" s="1987"/>
      <c r="C8" s="1987"/>
      <c r="D8" s="1987"/>
      <c r="E8" s="1987"/>
      <c r="F8" s="1987"/>
      <c r="G8" s="1987"/>
      <c r="H8" s="1987"/>
      <c r="I8" s="1987"/>
      <c r="J8" s="1987"/>
      <c r="K8" s="1987"/>
      <c r="L8" s="1987"/>
      <c r="M8" s="1987"/>
      <c r="N8" s="1987"/>
      <c r="O8" s="1987"/>
      <c r="P8" s="1987"/>
      <c r="Q8" s="1987"/>
      <c r="R8" s="1987"/>
      <c r="S8" s="1987"/>
      <c r="T8" s="1987"/>
      <c r="U8" s="1987"/>
      <c r="V8" s="1987"/>
      <c r="W8" s="1987"/>
      <c r="X8" s="1987"/>
      <c r="Y8" s="1987"/>
      <c r="Z8" s="1987"/>
      <c r="AA8" s="1987"/>
      <c r="AB8" s="1987"/>
      <c r="AC8" s="1987"/>
      <c r="AD8" s="1987"/>
      <c r="AE8" s="1987"/>
      <c r="AF8" s="1987"/>
      <c r="AG8" s="1987"/>
    </row>
    <row r="9" spans="1:118" ht="13.5" customHeight="1" x14ac:dyDescent="0.15">
      <c r="A9" s="1950" t="s">
        <v>450</v>
      </c>
      <c r="B9" s="1952"/>
      <c r="C9" s="1950" t="s">
        <v>502</v>
      </c>
      <c r="D9" s="1951"/>
      <c r="E9" s="1952"/>
      <c r="F9" s="1956" t="s">
        <v>381</v>
      </c>
      <c r="G9" s="1945"/>
      <c r="H9" s="1945"/>
      <c r="I9" s="1945"/>
      <c r="J9" s="1945"/>
      <c r="K9" s="1945"/>
      <c r="L9" s="1945"/>
      <c r="M9" s="1945"/>
      <c r="N9" s="1945"/>
      <c r="O9" s="1945"/>
      <c r="P9" s="1945"/>
      <c r="Q9" s="1945"/>
      <c r="R9" s="1945"/>
      <c r="S9" s="1945"/>
      <c r="T9" s="1945"/>
      <c r="U9" s="1945"/>
      <c r="V9" s="1945"/>
      <c r="W9" s="1945"/>
      <c r="X9" s="1945"/>
      <c r="Y9" s="1945"/>
      <c r="Z9" s="1945"/>
      <c r="AA9" s="1945"/>
      <c r="AB9" s="1945"/>
      <c r="AC9" s="1945"/>
      <c r="AD9" s="1945"/>
      <c r="AE9" s="1945"/>
      <c r="AF9" s="1945"/>
      <c r="AG9" s="1945"/>
      <c r="AH9" s="1626" t="s">
        <v>56</v>
      </c>
      <c r="AI9" s="1655"/>
      <c r="AJ9" s="1655" t="s">
        <v>57</v>
      </c>
      <c r="AK9" s="1655"/>
      <c r="AL9" s="1311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92"/>
      <c r="CB9" s="1992"/>
      <c r="CC9" s="1992"/>
      <c r="CD9" s="1992"/>
      <c r="CG9" s="1992"/>
      <c r="CH9" s="1992"/>
      <c r="CI9" s="1992"/>
    </row>
    <row r="10" spans="1:118" ht="18.75" customHeight="1" x14ac:dyDescent="0.15">
      <c r="A10" s="1985"/>
      <c r="B10" s="1986"/>
      <c r="C10" s="1953"/>
      <c r="D10" s="1954"/>
      <c r="E10" s="1955"/>
      <c r="F10" s="1972" t="s">
        <v>62</v>
      </c>
      <c r="G10" s="1973"/>
      <c r="H10" s="1972" t="s">
        <v>63</v>
      </c>
      <c r="I10" s="1973"/>
      <c r="J10" s="1875" t="s">
        <v>64</v>
      </c>
      <c r="K10" s="1875"/>
      <c r="L10" s="1648" t="s">
        <v>65</v>
      </c>
      <c r="M10" s="1650"/>
      <c r="N10" s="1875" t="s">
        <v>66</v>
      </c>
      <c r="O10" s="1875"/>
      <c r="P10" s="1648" t="s">
        <v>67</v>
      </c>
      <c r="Q10" s="1650"/>
      <c r="R10" s="1875" t="s">
        <v>68</v>
      </c>
      <c r="S10" s="1875"/>
      <c r="T10" s="1648" t="s">
        <v>69</v>
      </c>
      <c r="U10" s="1650"/>
      <c r="V10" s="1875" t="s">
        <v>70</v>
      </c>
      <c r="W10" s="1875"/>
      <c r="X10" s="1648" t="s">
        <v>71</v>
      </c>
      <c r="Y10" s="1650"/>
      <c r="Z10" s="1876" t="s">
        <v>72</v>
      </c>
      <c r="AA10" s="1877"/>
      <c r="AB10" s="1876" t="s">
        <v>411</v>
      </c>
      <c r="AC10" s="1877"/>
      <c r="AD10" s="1876" t="s">
        <v>412</v>
      </c>
      <c r="AE10" s="1877"/>
      <c r="AF10" s="1876" t="s">
        <v>413</v>
      </c>
      <c r="AG10" s="1881"/>
      <c r="AH10" s="1627"/>
      <c r="AI10" s="1656"/>
      <c r="AJ10" s="1656"/>
      <c r="AK10" s="1656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92"/>
      <c r="CB10" s="1992"/>
      <c r="CC10" s="1992"/>
      <c r="CD10" s="1992"/>
      <c r="CG10" s="1992"/>
      <c r="CH10" s="1992"/>
      <c r="CI10" s="1992"/>
    </row>
    <row r="11" spans="1:118" ht="23.25" customHeight="1" x14ac:dyDescent="0.15">
      <c r="A11" s="1953"/>
      <c r="B11" s="1955"/>
      <c r="C11" s="1458" t="s">
        <v>230</v>
      </c>
      <c r="D11" s="1487" t="s">
        <v>91</v>
      </c>
      <c r="E11" s="1488" t="s">
        <v>231</v>
      </c>
      <c r="F11" s="1216" t="s">
        <v>91</v>
      </c>
      <c r="G11" s="1488" t="s">
        <v>231</v>
      </c>
      <c r="H11" s="1216" t="s">
        <v>91</v>
      </c>
      <c r="I11" s="1488" t="s">
        <v>231</v>
      </c>
      <c r="J11" s="1216" t="s">
        <v>91</v>
      </c>
      <c r="K11" s="1488" t="s">
        <v>231</v>
      </c>
      <c r="L11" s="1216" t="s">
        <v>91</v>
      </c>
      <c r="M11" s="1488" t="s">
        <v>231</v>
      </c>
      <c r="N11" s="1216" t="s">
        <v>91</v>
      </c>
      <c r="O11" s="1488" t="s">
        <v>231</v>
      </c>
      <c r="P11" s="1216" t="s">
        <v>91</v>
      </c>
      <c r="Q11" s="1488" t="s">
        <v>231</v>
      </c>
      <c r="R11" s="1216" t="s">
        <v>91</v>
      </c>
      <c r="S11" s="1488" t="s">
        <v>231</v>
      </c>
      <c r="T11" s="1216" t="s">
        <v>91</v>
      </c>
      <c r="U11" s="1488" t="s">
        <v>231</v>
      </c>
      <c r="V11" s="1216" t="s">
        <v>91</v>
      </c>
      <c r="W11" s="1488" t="s">
        <v>231</v>
      </c>
      <c r="X11" s="1216" t="s">
        <v>91</v>
      </c>
      <c r="Y11" s="1488" t="s">
        <v>231</v>
      </c>
      <c r="Z11" s="1216" t="s">
        <v>415</v>
      </c>
      <c r="AA11" s="1488" t="s">
        <v>231</v>
      </c>
      <c r="AB11" s="1216" t="s">
        <v>415</v>
      </c>
      <c r="AC11" s="1488" t="s">
        <v>231</v>
      </c>
      <c r="AD11" s="1216" t="s">
        <v>415</v>
      </c>
      <c r="AE11" s="1488" t="s">
        <v>231</v>
      </c>
      <c r="AF11" s="1213" t="s">
        <v>415</v>
      </c>
      <c r="AG11" s="86" t="s">
        <v>231</v>
      </c>
      <c r="AH11" s="1025" t="s">
        <v>91</v>
      </c>
      <c r="AI11" s="1488" t="s">
        <v>231</v>
      </c>
      <c r="AJ11" s="1216" t="s">
        <v>91</v>
      </c>
      <c r="AK11" s="1488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92"/>
      <c r="CH11" s="1055"/>
      <c r="CI11" s="1055"/>
    </row>
    <row r="12" spans="1:118" ht="15" customHeight="1" x14ac:dyDescent="0.15">
      <c r="A12" s="1988" t="s">
        <v>503</v>
      </c>
      <c r="B12" s="1989"/>
      <c r="C12" s="1489">
        <f>SUM(D12:E12)</f>
        <v>3405</v>
      </c>
      <c r="D12" s="1490">
        <f>+F12+H12+J12+L12+N12+P12+R12+T12+V12+X12+Z12+AB12+AD12+AF12</f>
        <v>1241</v>
      </c>
      <c r="E12" s="1491">
        <f>+G12+I12+K12+M12+O12+Q12+S12+U12+W12+Y12+AA12+AC12+AE12+AG12</f>
        <v>2164</v>
      </c>
      <c r="F12" s="1217">
        <f>SUM(F13:F15)</f>
        <v>2</v>
      </c>
      <c r="G12" s="1491">
        <f t="shared" ref="G12:AJ12" si="0">SUM(G13:G15)</f>
        <v>4</v>
      </c>
      <c r="H12" s="1217">
        <f t="shared" si="0"/>
        <v>8</v>
      </c>
      <c r="I12" s="1491">
        <f t="shared" si="0"/>
        <v>3</v>
      </c>
      <c r="J12" s="1217">
        <f t="shared" si="0"/>
        <v>18</v>
      </c>
      <c r="K12" s="1491">
        <f t="shared" si="0"/>
        <v>22</v>
      </c>
      <c r="L12" s="1217">
        <f t="shared" si="0"/>
        <v>30</v>
      </c>
      <c r="M12" s="1491">
        <f t="shared" si="0"/>
        <v>51</v>
      </c>
      <c r="N12" s="1217">
        <f t="shared" si="0"/>
        <v>30</v>
      </c>
      <c r="O12" s="1491">
        <f t="shared" si="0"/>
        <v>76</v>
      </c>
      <c r="P12" s="1217">
        <f t="shared" si="0"/>
        <v>53</v>
      </c>
      <c r="Q12" s="1491">
        <f t="shared" si="0"/>
        <v>96</v>
      </c>
      <c r="R12" s="1217">
        <f t="shared" si="0"/>
        <v>65</v>
      </c>
      <c r="S12" s="1491">
        <f t="shared" si="0"/>
        <v>137</v>
      </c>
      <c r="T12" s="1217">
        <f t="shared" si="0"/>
        <v>126</v>
      </c>
      <c r="U12" s="1491">
        <f t="shared" si="0"/>
        <v>224</v>
      </c>
      <c r="V12" s="1217">
        <f t="shared" si="0"/>
        <v>135</v>
      </c>
      <c r="W12" s="1491">
        <f t="shared" si="0"/>
        <v>318</v>
      </c>
      <c r="X12" s="1217">
        <f t="shared" si="0"/>
        <v>218</v>
      </c>
      <c r="Y12" s="1491">
        <f t="shared" si="0"/>
        <v>342</v>
      </c>
      <c r="Z12" s="1217">
        <f t="shared" si="0"/>
        <v>189</v>
      </c>
      <c r="AA12" s="1491">
        <f t="shared" si="0"/>
        <v>321</v>
      </c>
      <c r="AB12" s="1217">
        <f t="shared" si="0"/>
        <v>163</v>
      </c>
      <c r="AC12" s="1491">
        <f t="shared" si="0"/>
        <v>205</v>
      </c>
      <c r="AD12" s="1217">
        <f t="shared" si="0"/>
        <v>101</v>
      </c>
      <c r="AE12" s="1491">
        <f t="shared" si="0"/>
        <v>153</v>
      </c>
      <c r="AF12" s="1217">
        <f t="shared" si="0"/>
        <v>103</v>
      </c>
      <c r="AG12" s="1492">
        <f t="shared" si="0"/>
        <v>212</v>
      </c>
      <c r="AH12" s="1024">
        <f>SUM(AH13:AH15)</f>
        <v>195</v>
      </c>
      <c r="AI12" s="1491">
        <f>SUM(AI13:AI15)</f>
        <v>344</v>
      </c>
      <c r="AJ12" s="1217">
        <f t="shared" si="0"/>
        <v>16</v>
      </c>
      <c r="AK12" s="1491">
        <f>SUM(AK13:AK15)</f>
        <v>29</v>
      </c>
      <c r="AL12" s="35"/>
      <c r="AM12" s="85"/>
    </row>
    <row r="13" spans="1:118" ht="15" customHeight="1" x14ac:dyDescent="0.15">
      <c r="A13" s="1942" t="s">
        <v>504</v>
      </c>
      <c r="B13" s="101" t="s">
        <v>505</v>
      </c>
      <c r="C13" s="1133">
        <f t="shared" ref="C13:C19" si="1">SUM(D13:E13)</f>
        <v>1551</v>
      </c>
      <c r="D13" s="386">
        <f>+F13+H13+J13+L13+N13+P13+R13+T13+V13+X13+Z13+AB13+AD13+AF13</f>
        <v>477</v>
      </c>
      <c r="E13" s="441">
        <f>+G13+I13+K13+M13+O13+Q13+S13+U13+W13+Y13+AA13+AC13+AE13+AG13</f>
        <v>1074</v>
      </c>
      <c r="F13" s="393">
        <v>2</v>
      </c>
      <c r="G13" s="394">
        <v>2</v>
      </c>
      <c r="H13" s="393">
        <v>6</v>
      </c>
      <c r="I13" s="394">
        <v>3</v>
      </c>
      <c r="J13" s="393">
        <v>15</v>
      </c>
      <c r="K13" s="394">
        <v>16</v>
      </c>
      <c r="L13" s="393">
        <v>20</v>
      </c>
      <c r="M13" s="394">
        <v>32</v>
      </c>
      <c r="N13" s="393">
        <v>14</v>
      </c>
      <c r="O13" s="394">
        <v>44</v>
      </c>
      <c r="P13" s="393">
        <v>34</v>
      </c>
      <c r="Q13" s="394">
        <v>66</v>
      </c>
      <c r="R13" s="393">
        <v>27</v>
      </c>
      <c r="S13" s="394">
        <v>75</v>
      </c>
      <c r="T13" s="393">
        <v>47</v>
      </c>
      <c r="U13" s="394">
        <v>119</v>
      </c>
      <c r="V13" s="393">
        <v>48</v>
      </c>
      <c r="W13" s="394">
        <v>160</v>
      </c>
      <c r="X13" s="393">
        <v>86</v>
      </c>
      <c r="Y13" s="394">
        <v>158</v>
      </c>
      <c r="Z13" s="393">
        <v>59</v>
      </c>
      <c r="AA13" s="394">
        <v>160</v>
      </c>
      <c r="AB13" s="393">
        <v>53</v>
      </c>
      <c r="AC13" s="394">
        <v>82</v>
      </c>
      <c r="AD13" s="393">
        <v>30</v>
      </c>
      <c r="AE13" s="394">
        <v>65</v>
      </c>
      <c r="AF13" s="393">
        <v>36</v>
      </c>
      <c r="AG13" s="404">
        <v>92</v>
      </c>
      <c r="AH13" s="410">
        <v>75</v>
      </c>
      <c r="AI13" s="459">
        <v>176</v>
      </c>
      <c r="AJ13" s="393">
        <v>9</v>
      </c>
      <c r="AK13" s="459">
        <v>15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8">
        <f t="shared" ref="DK13:DK23" si="2">IF(AND(D13&gt;0,OR(AH13="")),1,IF(AH13&gt;D13,1,0))</f>
        <v>0</v>
      </c>
      <c r="DL13" s="1038">
        <f t="shared" ref="DL13:DL23" si="3">IF(AND(E13&gt;0,OR(AI13="")),1,IF(AI13&gt;E13,1,0))</f>
        <v>0</v>
      </c>
      <c r="DM13" s="1038">
        <f t="shared" ref="DM13:DM23" si="4">IF(AND(D13&gt;0,OR(AJ13="")),1,IF(AJ13&gt;D13,1,0))</f>
        <v>0</v>
      </c>
      <c r="DN13" s="1038">
        <f t="shared" ref="DN13:DN23" si="5">IF(AND(E13&gt;0,OR(AK13="")),1,IF(AK13&gt;E13,1,0))</f>
        <v>0</v>
      </c>
    </row>
    <row r="14" spans="1:118" ht="15" customHeight="1" x14ac:dyDescent="0.15">
      <c r="A14" s="1943"/>
      <c r="B14" s="102" t="s">
        <v>287</v>
      </c>
      <c r="C14" s="1138">
        <f t="shared" si="1"/>
        <v>111</v>
      </c>
      <c r="D14" s="396">
        <f t="shared" ref="D14:E16" si="6">+F14+H14+J14+L14+N14+P14+R14+T14+V14+X14+Z14+AB14+AD14+AF14</f>
        <v>79</v>
      </c>
      <c r="E14" s="442">
        <f t="shared" si="6"/>
        <v>32</v>
      </c>
      <c r="F14" s="415">
        <v>0</v>
      </c>
      <c r="G14" s="416">
        <v>0</v>
      </c>
      <c r="H14" s="415">
        <v>0</v>
      </c>
      <c r="I14" s="416">
        <v>0</v>
      </c>
      <c r="J14" s="415">
        <v>2</v>
      </c>
      <c r="K14" s="416">
        <v>0</v>
      </c>
      <c r="L14" s="415">
        <v>1</v>
      </c>
      <c r="M14" s="416">
        <v>2</v>
      </c>
      <c r="N14" s="415">
        <v>0</v>
      </c>
      <c r="O14" s="416">
        <v>2</v>
      </c>
      <c r="P14" s="415">
        <v>0</v>
      </c>
      <c r="Q14" s="416">
        <v>1</v>
      </c>
      <c r="R14" s="415">
        <v>4</v>
      </c>
      <c r="S14" s="416">
        <v>0</v>
      </c>
      <c r="T14" s="415">
        <v>3</v>
      </c>
      <c r="U14" s="416">
        <v>3</v>
      </c>
      <c r="V14" s="415">
        <v>9</v>
      </c>
      <c r="W14" s="416">
        <v>7</v>
      </c>
      <c r="X14" s="415">
        <v>6</v>
      </c>
      <c r="Y14" s="416">
        <v>5</v>
      </c>
      <c r="Z14" s="415">
        <v>11</v>
      </c>
      <c r="AA14" s="416">
        <v>6</v>
      </c>
      <c r="AB14" s="415">
        <v>20</v>
      </c>
      <c r="AC14" s="416">
        <v>1</v>
      </c>
      <c r="AD14" s="415">
        <v>10</v>
      </c>
      <c r="AE14" s="416">
        <v>1</v>
      </c>
      <c r="AF14" s="415">
        <v>13</v>
      </c>
      <c r="AG14" s="417">
        <v>4</v>
      </c>
      <c r="AH14" s="443">
        <v>13</v>
      </c>
      <c r="AI14" s="531">
        <v>3</v>
      </c>
      <c r="AJ14" s="397">
        <v>0</v>
      </c>
      <c r="AK14" s="531">
        <v>2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8">
        <f t="shared" si="2"/>
        <v>0</v>
      </c>
      <c r="DL14" s="1038">
        <f t="shared" si="3"/>
        <v>0</v>
      </c>
      <c r="DM14" s="1038">
        <f t="shared" si="4"/>
        <v>0</v>
      </c>
      <c r="DN14" s="1038">
        <f t="shared" si="5"/>
        <v>0</v>
      </c>
    </row>
    <row r="15" spans="1:118" ht="15" customHeight="1" x14ac:dyDescent="0.15">
      <c r="A15" s="1944"/>
      <c r="B15" s="725" t="s">
        <v>506</v>
      </c>
      <c r="C15" s="1134">
        <f t="shared" si="1"/>
        <v>1743</v>
      </c>
      <c r="D15" s="390">
        <f t="shared" si="6"/>
        <v>685</v>
      </c>
      <c r="E15" s="444">
        <f t="shared" si="6"/>
        <v>1058</v>
      </c>
      <c r="F15" s="411">
        <v>0</v>
      </c>
      <c r="G15" s="412">
        <v>2</v>
      </c>
      <c r="H15" s="411">
        <v>2</v>
      </c>
      <c r="I15" s="412">
        <v>0</v>
      </c>
      <c r="J15" s="411">
        <v>1</v>
      </c>
      <c r="K15" s="412">
        <v>6</v>
      </c>
      <c r="L15" s="411">
        <v>9</v>
      </c>
      <c r="M15" s="412">
        <v>17</v>
      </c>
      <c r="N15" s="411">
        <v>16</v>
      </c>
      <c r="O15" s="412">
        <v>30</v>
      </c>
      <c r="P15" s="411">
        <v>19</v>
      </c>
      <c r="Q15" s="412">
        <v>29</v>
      </c>
      <c r="R15" s="411">
        <v>34</v>
      </c>
      <c r="S15" s="412">
        <v>62</v>
      </c>
      <c r="T15" s="411">
        <v>76</v>
      </c>
      <c r="U15" s="412">
        <v>102</v>
      </c>
      <c r="V15" s="411">
        <v>78</v>
      </c>
      <c r="W15" s="412">
        <v>151</v>
      </c>
      <c r="X15" s="411">
        <v>126</v>
      </c>
      <c r="Y15" s="412">
        <v>179</v>
      </c>
      <c r="Z15" s="411">
        <v>119</v>
      </c>
      <c r="AA15" s="412">
        <v>155</v>
      </c>
      <c r="AB15" s="411">
        <v>90</v>
      </c>
      <c r="AC15" s="412">
        <v>122</v>
      </c>
      <c r="AD15" s="411">
        <v>61</v>
      </c>
      <c r="AE15" s="412">
        <v>87</v>
      </c>
      <c r="AF15" s="411">
        <v>54</v>
      </c>
      <c r="AG15" s="413">
        <v>116</v>
      </c>
      <c r="AH15" s="414">
        <v>107</v>
      </c>
      <c r="AI15" s="440">
        <v>165</v>
      </c>
      <c r="AJ15" s="402">
        <v>7</v>
      </c>
      <c r="AK15" s="440">
        <v>12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8">
        <f t="shared" si="2"/>
        <v>0</v>
      </c>
      <c r="DL15" s="1038">
        <f t="shared" si="3"/>
        <v>0</v>
      </c>
      <c r="DM15" s="1038">
        <f t="shared" si="4"/>
        <v>0</v>
      </c>
      <c r="DN15" s="1038">
        <f t="shared" si="5"/>
        <v>0</v>
      </c>
    </row>
    <row r="16" spans="1:118" ht="15" customHeight="1" x14ac:dyDescent="0.15">
      <c r="A16" s="1942" t="s">
        <v>507</v>
      </c>
      <c r="B16" s="1312" t="s">
        <v>330</v>
      </c>
      <c r="C16" s="1136">
        <f t="shared" si="1"/>
        <v>2551</v>
      </c>
      <c r="D16" s="391">
        <f t="shared" si="6"/>
        <v>947</v>
      </c>
      <c r="E16" s="445">
        <f t="shared" si="6"/>
        <v>1604</v>
      </c>
      <c r="F16" s="393">
        <v>2</v>
      </c>
      <c r="G16" s="394">
        <v>0</v>
      </c>
      <c r="H16" s="393">
        <v>4</v>
      </c>
      <c r="I16" s="394">
        <v>2</v>
      </c>
      <c r="J16" s="393">
        <v>14</v>
      </c>
      <c r="K16" s="394">
        <v>4</v>
      </c>
      <c r="L16" s="393">
        <v>15</v>
      </c>
      <c r="M16" s="394">
        <v>21</v>
      </c>
      <c r="N16" s="393">
        <v>22</v>
      </c>
      <c r="O16" s="394">
        <v>40</v>
      </c>
      <c r="P16" s="393">
        <v>27</v>
      </c>
      <c r="Q16" s="394">
        <v>57</v>
      </c>
      <c r="R16" s="393">
        <v>38</v>
      </c>
      <c r="S16" s="394">
        <v>79</v>
      </c>
      <c r="T16" s="393">
        <v>82</v>
      </c>
      <c r="U16" s="394">
        <v>146</v>
      </c>
      <c r="V16" s="393">
        <v>105</v>
      </c>
      <c r="W16" s="394">
        <v>223</v>
      </c>
      <c r="X16" s="393">
        <v>163</v>
      </c>
      <c r="Y16" s="394">
        <v>266</v>
      </c>
      <c r="Z16" s="393">
        <v>160</v>
      </c>
      <c r="AA16" s="394">
        <v>254</v>
      </c>
      <c r="AB16" s="393">
        <v>133</v>
      </c>
      <c r="AC16" s="394">
        <v>180</v>
      </c>
      <c r="AD16" s="393">
        <v>92</v>
      </c>
      <c r="AE16" s="394">
        <v>136</v>
      </c>
      <c r="AF16" s="393">
        <v>90</v>
      </c>
      <c r="AG16" s="404">
        <v>196</v>
      </c>
      <c r="AH16" s="410">
        <v>133</v>
      </c>
      <c r="AI16" s="459">
        <v>245</v>
      </c>
      <c r="AJ16" s="393">
        <v>10</v>
      </c>
      <c r="AK16" s="459">
        <v>16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8">
        <f t="shared" si="2"/>
        <v>0</v>
      </c>
      <c r="DL16" s="1038">
        <f t="shared" si="3"/>
        <v>0</v>
      </c>
      <c r="DM16" s="1038">
        <f t="shared" si="4"/>
        <v>0</v>
      </c>
      <c r="DN16" s="1038">
        <f t="shared" si="5"/>
        <v>0</v>
      </c>
    </row>
    <row r="17" spans="1:148" ht="15" customHeight="1" x14ac:dyDescent="0.15">
      <c r="A17" s="1943"/>
      <c r="B17" s="104" t="s">
        <v>508</v>
      </c>
      <c r="C17" s="1138">
        <f t="shared" si="1"/>
        <v>1385</v>
      </c>
      <c r="D17" s="396">
        <f t="shared" ref="D17:E18" si="12">+F17+H17+J17+L17+N17+P17+R17+T17+V17+X17+Z17+AB17+AD17+AF17</f>
        <v>526</v>
      </c>
      <c r="E17" s="446">
        <f t="shared" si="12"/>
        <v>859</v>
      </c>
      <c r="F17" s="397">
        <v>0</v>
      </c>
      <c r="G17" s="398">
        <v>1</v>
      </c>
      <c r="H17" s="397">
        <v>2</v>
      </c>
      <c r="I17" s="398">
        <v>0</v>
      </c>
      <c r="J17" s="397">
        <v>1</v>
      </c>
      <c r="K17" s="398">
        <v>6</v>
      </c>
      <c r="L17" s="397">
        <v>7</v>
      </c>
      <c r="M17" s="398">
        <v>16</v>
      </c>
      <c r="N17" s="397">
        <v>14</v>
      </c>
      <c r="O17" s="398">
        <v>26</v>
      </c>
      <c r="P17" s="397">
        <v>16</v>
      </c>
      <c r="Q17" s="398">
        <v>26</v>
      </c>
      <c r="R17" s="397">
        <v>30</v>
      </c>
      <c r="S17" s="398">
        <v>60</v>
      </c>
      <c r="T17" s="397">
        <v>56</v>
      </c>
      <c r="U17" s="398">
        <v>82</v>
      </c>
      <c r="V17" s="397">
        <v>69</v>
      </c>
      <c r="W17" s="398">
        <v>120</v>
      </c>
      <c r="X17" s="397">
        <v>99</v>
      </c>
      <c r="Y17" s="398">
        <v>149</v>
      </c>
      <c r="Z17" s="397">
        <v>92</v>
      </c>
      <c r="AA17" s="398">
        <v>138</v>
      </c>
      <c r="AB17" s="397">
        <v>63</v>
      </c>
      <c r="AC17" s="398">
        <v>91</v>
      </c>
      <c r="AD17" s="397">
        <v>43</v>
      </c>
      <c r="AE17" s="398">
        <v>66</v>
      </c>
      <c r="AF17" s="397">
        <v>34</v>
      </c>
      <c r="AG17" s="405">
        <v>78</v>
      </c>
      <c r="AH17" s="443">
        <v>88</v>
      </c>
      <c r="AI17" s="531">
        <v>137</v>
      </c>
      <c r="AJ17" s="406">
        <v>4</v>
      </c>
      <c r="AK17" s="531">
        <v>10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8">
        <f t="shared" si="2"/>
        <v>0</v>
      </c>
      <c r="DL17" s="1038">
        <f t="shared" si="3"/>
        <v>0</v>
      </c>
      <c r="DM17" s="1038">
        <f t="shared" si="4"/>
        <v>0</v>
      </c>
      <c r="DN17" s="1038">
        <f t="shared" si="5"/>
        <v>0</v>
      </c>
    </row>
    <row r="18" spans="1:148" ht="15" customHeight="1" x14ac:dyDescent="0.15">
      <c r="A18" s="1943"/>
      <c r="B18" s="104" t="s">
        <v>509</v>
      </c>
      <c r="C18" s="1138">
        <f t="shared" si="1"/>
        <v>2519</v>
      </c>
      <c r="D18" s="396">
        <f t="shared" si="12"/>
        <v>879</v>
      </c>
      <c r="E18" s="446">
        <f t="shared" si="12"/>
        <v>1640</v>
      </c>
      <c r="F18" s="397">
        <v>2</v>
      </c>
      <c r="G18" s="398">
        <v>2</v>
      </c>
      <c r="H18" s="397">
        <v>3</v>
      </c>
      <c r="I18" s="398">
        <v>1</v>
      </c>
      <c r="J18" s="397">
        <v>8</v>
      </c>
      <c r="K18" s="398">
        <v>11</v>
      </c>
      <c r="L18" s="397">
        <v>16</v>
      </c>
      <c r="M18" s="398">
        <v>25</v>
      </c>
      <c r="N18" s="397">
        <v>16</v>
      </c>
      <c r="O18" s="398">
        <v>46</v>
      </c>
      <c r="P18" s="397">
        <v>33</v>
      </c>
      <c r="Q18" s="398">
        <v>55</v>
      </c>
      <c r="R18" s="397">
        <v>47</v>
      </c>
      <c r="S18" s="398">
        <v>93</v>
      </c>
      <c r="T18" s="397">
        <v>88</v>
      </c>
      <c r="U18" s="398">
        <v>156</v>
      </c>
      <c r="V18" s="397">
        <v>100</v>
      </c>
      <c r="W18" s="398">
        <v>251</v>
      </c>
      <c r="X18" s="397">
        <v>152</v>
      </c>
      <c r="Y18" s="398">
        <v>274</v>
      </c>
      <c r="Z18" s="397">
        <v>146</v>
      </c>
      <c r="AA18" s="398">
        <v>262</v>
      </c>
      <c r="AB18" s="397">
        <v>119</v>
      </c>
      <c r="AC18" s="398">
        <v>169</v>
      </c>
      <c r="AD18" s="397">
        <v>84</v>
      </c>
      <c r="AE18" s="398">
        <v>129</v>
      </c>
      <c r="AF18" s="397">
        <v>65</v>
      </c>
      <c r="AG18" s="405">
        <v>166</v>
      </c>
      <c r="AH18" s="443">
        <v>138</v>
      </c>
      <c r="AI18" s="531">
        <v>265</v>
      </c>
      <c r="AJ18" s="397">
        <v>7</v>
      </c>
      <c r="AK18" s="531">
        <v>17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8">
        <f t="shared" si="2"/>
        <v>0</v>
      </c>
      <c r="DL18" s="1038">
        <f t="shared" si="3"/>
        <v>0</v>
      </c>
      <c r="DM18" s="1038">
        <f t="shared" si="4"/>
        <v>0</v>
      </c>
      <c r="DN18" s="1038">
        <f t="shared" si="5"/>
        <v>0</v>
      </c>
    </row>
    <row r="19" spans="1:148" ht="15" customHeight="1" x14ac:dyDescent="0.15">
      <c r="A19" s="1943"/>
      <c r="B19" s="104" t="s">
        <v>510</v>
      </c>
      <c r="C19" s="1138">
        <f t="shared" si="1"/>
        <v>263</v>
      </c>
      <c r="D19" s="396">
        <f>+V19+X19+Z19+AB19+AD19+AF19</f>
        <v>108</v>
      </c>
      <c r="E19" s="446">
        <f>+W19+Y19+AA19+AC19+AE19+AG19</f>
        <v>155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23</v>
      </c>
      <c r="W19" s="416">
        <v>62</v>
      </c>
      <c r="X19" s="415">
        <v>26</v>
      </c>
      <c r="Y19" s="416">
        <v>37</v>
      </c>
      <c r="Z19" s="415">
        <v>27</v>
      </c>
      <c r="AA19" s="416">
        <v>32</v>
      </c>
      <c r="AB19" s="415">
        <v>21</v>
      </c>
      <c r="AC19" s="416">
        <v>11</v>
      </c>
      <c r="AD19" s="415">
        <v>7</v>
      </c>
      <c r="AE19" s="416">
        <v>9</v>
      </c>
      <c r="AF19" s="415">
        <v>4</v>
      </c>
      <c r="AG19" s="417">
        <v>4</v>
      </c>
      <c r="AH19" s="443">
        <v>3</v>
      </c>
      <c r="AI19" s="531">
        <v>10</v>
      </c>
      <c r="AJ19" s="406">
        <v>2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8">
        <f t="shared" si="2"/>
        <v>0</v>
      </c>
      <c r="DL19" s="1038">
        <f t="shared" si="3"/>
        <v>0</v>
      </c>
      <c r="DM19" s="1038">
        <f t="shared" si="4"/>
        <v>0</v>
      </c>
      <c r="DN19" s="1038">
        <f t="shared" si="5"/>
        <v>0</v>
      </c>
    </row>
    <row r="20" spans="1:148" ht="15" customHeight="1" x14ac:dyDescent="0.15">
      <c r="A20" s="1943"/>
      <c r="B20" s="1103" t="s">
        <v>511</v>
      </c>
      <c r="C20" s="1137">
        <f>SUM(D20:E20)</f>
        <v>111</v>
      </c>
      <c r="D20" s="400">
        <f t="shared" ref="D20:E22" si="13">+F20+H20+J20+L20+N20+P20+R20+T20+V20+X20+Z20+AB20+AD20+AF20</f>
        <v>77</v>
      </c>
      <c r="E20" s="1022">
        <f t="shared" si="13"/>
        <v>34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1</v>
      </c>
      <c r="Q20" s="398">
        <v>1</v>
      </c>
      <c r="R20" s="397">
        <v>4</v>
      </c>
      <c r="S20" s="398">
        <v>1</v>
      </c>
      <c r="T20" s="397">
        <v>8</v>
      </c>
      <c r="U20" s="398">
        <v>0</v>
      </c>
      <c r="V20" s="397">
        <v>9</v>
      </c>
      <c r="W20" s="398">
        <v>2</v>
      </c>
      <c r="X20" s="397">
        <v>14</v>
      </c>
      <c r="Y20" s="398">
        <v>4</v>
      </c>
      <c r="Z20" s="397">
        <v>14</v>
      </c>
      <c r="AA20" s="398">
        <v>4</v>
      </c>
      <c r="AB20" s="397">
        <v>9</v>
      </c>
      <c r="AC20" s="398">
        <v>5</v>
      </c>
      <c r="AD20" s="397">
        <v>10</v>
      </c>
      <c r="AE20" s="398">
        <v>7</v>
      </c>
      <c r="AF20" s="397">
        <v>8</v>
      </c>
      <c r="AG20" s="405">
        <v>10</v>
      </c>
      <c r="AH20" s="443">
        <v>10</v>
      </c>
      <c r="AI20" s="531">
        <v>4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8">
        <f t="shared" ref="DK20:DL22" si="14">IF(AND(D20&gt;0,OR(AH20="")),1,IF(AH20&gt;D20,1,0))</f>
        <v>0</v>
      </c>
      <c r="DL20" s="1038">
        <f t="shared" si="14"/>
        <v>0</v>
      </c>
      <c r="DM20" s="1038">
        <f t="shared" ref="DM20:DN22" si="15">IF(AND(D20&gt;0,OR(AJ20="")),1,IF(AJ20&gt;D20,1,0))</f>
        <v>0</v>
      </c>
      <c r="DN20" s="1038">
        <f t="shared" si="15"/>
        <v>0</v>
      </c>
    </row>
    <row r="21" spans="1:148" ht="15" customHeight="1" x14ac:dyDescent="0.15">
      <c r="A21" s="1943"/>
      <c r="B21" s="104" t="s">
        <v>512</v>
      </c>
      <c r="C21" s="1138">
        <f>SUM(D21:E21)</f>
        <v>123</v>
      </c>
      <c r="D21" s="396">
        <f t="shared" si="13"/>
        <v>73</v>
      </c>
      <c r="E21" s="446">
        <f t="shared" si="13"/>
        <v>50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1</v>
      </c>
      <c r="P21" s="397">
        <v>1</v>
      </c>
      <c r="Q21" s="398">
        <v>1</v>
      </c>
      <c r="R21" s="397">
        <v>0</v>
      </c>
      <c r="S21" s="398">
        <v>0</v>
      </c>
      <c r="T21" s="397">
        <v>3</v>
      </c>
      <c r="U21" s="398">
        <v>3</v>
      </c>
      <c r="V21" s="397">
        <v>4</v>
      </c>
      <c r="W21" s="398">
        <v>2</v>
      </c>
      <c r="X21" s="397">
        <v>13</v>
      </c>
      <c r="Y21" s="398">
        <v>10</v>
      </c>
      <c r="Z21" s="397">
        <v>18</v>
      </c>
      <c r="AA21" s="398">
        <v>4</v>
      </c>
      <c r="AB21" s="397">
        <v>12</v>
      </c>
      <c r="AC21" s="398">
        <v>12</v>
      </c>
      <c r="AD21" s="397">
        <v>15</v>
      </c>
      <c r="AE21" s="398">
        <v>2</v>
      </c>
      <c r="AF21" s="397">
        <v>7</v>
      </c>
      <c r="AG21" s="405">
        <v>15</v>
      </c>
      <c r="AH21" s="443">
        <v>8</v>
      </c>
      <c r="AI21" s="531">
        <v>10</v>
      </c>
      <c r="AJ21" s="397">
        <v>1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8">
        <f t="shared" si="14"/>
        <v>0</v>
      </c>
      <c r="DL21" s="1038">
        <f t="shared" si="14"/>
        <v>0</v>
      </c>
      <c r="DM21" s="1038">
        <f t="shared" si="15"/>
        <v>0</v>
      </c>
      <c r="DN21" s="1038">
        <f t="shared" si="15"/>
        <v>0</v>
      </c>
    </row>
    <row r="22" spans="1:148" ht="22.5" customHeight="1" x14ac:dyDescent="0.15">
      <c r="A22" s="1943"/>
      <c r="B22" s="1261" t="s">
        <v>513</v>
      </c>
      <c r="C22" s="1137">
        <f>SUM(D22:E22)</f>
        <v>648</v>
      </c>
      <c r="D22" s="400">
        <f t="shared" si="13"/>
        <v>237</v>
      </c>
      <c r="E22" s="1022">
        <f t="shared" si="13"/>
        <v>411</v>
      </c>
      <c r="F22" s="448">
        <v>1</v>
      </c>
      <c r="G22" s="449">
        <v>0</v>
      </c>
      <c r="H22" s="448">
        <v>3</v>
      </c>
      <c r="I22" s="449">
        <v>0</v>
      </c>
      <c r="J22" s="448">
        <v>2</v>
      </c>
      <c r="K22" s="449">
        <v>7</v>
      </c>
      <c r="L22" s="448">
        <v>9</v>
      </c>
      <c r="M22" s="449">
        <v>16</v>
      </c>
      <c r="N22" s="448">
        <v>7</v>
      </c>
      <c r="O22" s="449">
        <v>24</v>
      </c>
      <c r="P22" s="448">
        <v>14</v>
      </c>
      <c r="Q22" s="449">
        <v>28</v>
      </c>
      <c r="R22" s="448">
        <v>11</v>
      </c>
      <c r="S22" s="449">
        <v>31</v>
      </c>
      <c r="T22" s="448">
        <v>30</v>
      </c>
      <c r="U22" s="449">
        <v>46</v>
      </c>
      <c r="V22" s="448">
        <v>37</v>
      </c>
      <c r="W22" s="449">
        <v>81</v>
      </c>
      <c r="X22" s="448">
        <v>42</v>
      </c>
      <c r="Y22" s="449">
        <v>63</v>
      </c>
      <c r="Z22" s="448">
        <v>35</v>
      </c>
      <c r="AA22" s="449">
        <v>53</v>
      </c>
      <c r="AB22" s="448">
        <v>25</v>
      </c>
      <c r="AC22" s="449">
        <v>27</v>
      </c>
      <c r="AD22" s="448">
        <v>11</v>
      </c>
      <c r="AE22" s="449">
        <v>19</v>
      </c>
      <c r="AF22" s="448">
        <v>10</v>
      </c>
      <c r="AG22" s="450">
        <v>16</v>
      </c>
      <c r="AH22" s="877">
        <v>21</v>
      </c>
      <c r="AI22" s="665">
        <v>43</v>
      </c>
      <c r="AJ22" s="448">
        <v>2</v>
      </c>
      <c r="AK22" s="665">
        <v>5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8">
        <f t="shared" si="14"/>
        <v>0</v>
      </c>
      <c r="DL22" s="1038">
        <f t="shared" si="14"/>
        <v>0</v>
      </c>
      <c r="DM22" s="1038">
        <f t="shared" si="15"/>
        <v>0</v>
      </c>
      <c r="DN22" s="1038">
        <f t="shared" si="15"/>
        <v>0</v>
      </c>
    </row>
    <row r="23" spans="1:148" ht="15" customHeight="1" x14ac:dyDescent="0.15">
      <c r="A23" s="1944"/>
      <c r="B23" s="1262" t="s">
        <v>514</v>
      </c>
      <c r="C23" s="1134">
        <f t="shared" ref="C23" si="16">SUM(D23:E23)</f>
        <v>1017</v>
      </c>
      <c r="D23" s="390">
        <f t="shared" ref="D23" si="17">+F23+H23+J23+L23+N23+P23+R23+T23+V23+X23+Z23+AB23+AD23+AF23</f>
        <v>347</v>
      </c>
      <c r="E23" s="444">
        <f t="shared" ref="E23" si="18">+G23+I23+K23+M23+O23+Q23+S23+U23+W23+Y23+AA23+AC23+AE23+AG23</f>
        <v>670</v>
      </c>
      <c r="F23" s="402">
        <v>0</v>
      </c>
      <c r="G23" s="403">
        <v>0</v>
      </c>
      <c r="H23" s="402">
        <v>1</v>
      </c>
      <c r="I23" s="403">
        <v>0</v>
      </c>
      <c r="J23" s="402">
        <v>0</v>
      </c>
      <c r="K23" s="403">
        <v>2</v>
      </c>
      <c r="L23" s="402">
        <v>3</v>
      </c>
      <c r="M23" s="403">
        <v>2</v>
      </c>
      <c r="N23" s="402">
        <v>6</v>
      </c>
      <c r="O23" s="403">
        <v>15</v>
      </c>
      <c r="P23" s="402">
        <v>2</v>
      </c>
      <c r="Q23" s="403">
        <v>14</v>
      </c>
      <c r="R23" s="402">
        <v>13</v>
      </c>
      <c r="S23" s="403">
        <v>36</v>
      </c>
      <c r="T23" s="402">
        <v>31</v>
      </c>
      <c r="U23" s="403">
        <v>45</v>
      </c>
      <c r="V23" s="402">
        <v>35</v>
      </c>
      <c r="W23" s="403">
        <v>88</v>
      </c>
      <c r="X23" s="402">
        <v>63</v>
      </c>
      <c r="Y23" s="403">
        <v>118</v>
      </c>
      <c r="Z23" s="402">
        <v>54</v>
      </c>
      <c r="AA23" s="403">
        <v>116</v>
      </c>
      <c r="AB23" s="402">
        <v>62</v>
      </c>
      <c r="AC23" s="403">
        <v>91</v>
      </c>
      <c r="AD23" s="402">
        <v>43</v>
      </c>
      <c r="AE23" s="403">
        <v>66</v>
      </c>
      <c r="AF23" s="402">
        <v>34</v>
      </c>
      <c r="AG23" s="429">
        <v>77</v>
      </c>
      <c r="AH23" s="414">
        <v>58</v>
      </c>
      <c r="AI23" s="440">
        <v>127</v>
      </c>
      <c r="AJ23" s="402">
        <v>4</v>
      </c>
      <c r="AK23" s="440">
        <v>4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8">
        <f t="shared" si="2"/>
        <v>0</v>
      </c>
      <c r="DL23" s="1038">
        <f t="shared" si="3"/>
        <v>0</v>
      </c>
      <c r="DM23" s="1038">
        <f t="shared" si="4"/>
        <v>0</v>
      </c>
      <c r="DN23" s="1038">
        <f t="shared" si="5"/>
        <v>0</v>
      </c>
    </row>
    <row r="24" spans="1:148" ht="17.100000000000001" customHeight="1" x14ac:dyDescent="0.15">
      <c r="A24" s="1977" t="s">
        <v>515</v>
      </c>
      <c r="B24" s="1977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42" t="s">
        <v>450</v>
      </c>
      <c r="B25" s="1942"/>
      <c r="C25" s="1950" t="s">
        <v>502</v>
      </c>
      <c r="D25" s="1951"/>
      <c r="E25" s="1952"/>
      <c r="F25" s="1956" t="s">
        <v>381</v>
      </c>
      <c r="G25" s="1945"/>
      <c r="H25" s="1945"/>
      <c r="I25" s="1945"/>
      <c r="J25" s="1945"/>
      <c r="K25" s="1945"/>
      <c r="L25" s="1945"/>
      <c r="M25" s="1945"/>
      <c r="N25" s="1945"/>
      <c r="O25" s="1945"/>
      <c r="P25" s="1945"/>
      <c r="Q25" s="1945"/>
      <c r="R25" s="1945"/>
      <c r="S25" s="1945"/>
      <c r="T25" s="1945"/>
      <c r="U25" s="1945"/>
      <c r="V25" s="1945"/>
      <c r="W25" s="1945"/>
      <c r="X25" s="1945"/>
      <c r="Y25" s="1945"/>
      <c r="Z25" s="1945"/>
      <c r="AA25" s="1945"/>
      <c r="AB25" s="1945"/>
      <c r="AC25" s="1945"/>
      <c r="AD25" s="1945"/>
      <c r="AE25" s="1945"/>
      <c r="AF25" s="1945"/>
      <c r="AG25" s="1993"/>
      <c r="AH25" s="1696" t="s">
        <v>56</v>
      </c>
      <c r="AI25" s="1653"/>
      <c r="AJ25" s="1700" t="s">
        <v>57</v>
      </c>
      <c r="AK25" s="1653"/>
    </row>
    <row r="26" spans="1:148" ht="18" customHeight="1" x14ac:dyDescent="0.15">
      <c r="A26" s="1943"/>
      <c r="B26" s="1943"/>
      <c r="C26" s="1953"/>
      <c r="D26" s="1954"/>
      <c r="E26" s="1955"/>
      <c r="F26" s="1972" t="s">
        <v>62</v>
      </c>
      <c r="G26" s="1973"/>
      <c r="H26" s="2009" t="s">
        <v>63</v>
      </c>
      <c r="I26" s="2010"/>
      <c r="J26" s="1875" t="s">
        <v>64</v>
      </c>
      <c r="K26" s="1875"/>
      <c r="L26" s="1648" t="s">
        <v>65</v>
      </c>
      <c r="M26" s="1650"/>
      <c r="N26" s="1875" t="s">
        <v>66</v>
      </c>
      <c r="O26" s="1875"/>
      <c r="P26" s="1648" t="s">
        <v>67</v>
      </c>
      <c r="Q26" s="1650"/>
      <c r="R26" s="1875" t="s">
        <v>68</v>
      </c>
      <c r="S26" s="1875"/>
      <c r="T26" s="1648" t="s">
        <v>69</v>
      </c>
      <c r="U26" s="1650"/>
      <c r="V26" s="1875" t="s">
        <v>70</v>
      </c>
      <c r="W26" s="1875"/>
      <c r="X26" s="1648" t="s">
        <v>71</v>
      </c>
      <c r="Y26" s="1650"/>
      <c r="Z26" s="1876" t="s">
        <v>72</v>
      </c>
      <c r="AA26" s="1877"/>
      <c r="AB26" s="1876" t="s">
        <v>411</v>
      </c>
      <c r="AC26" s="1877"/>
      <c r="AD26" s="1876" t="s">
        <v>412</v>
      </c>
      <c r="AE26" s="1877"/>
      <c r="AF26" s="1876" t="s">
        <v>413</v>
      </c>
      <c r="AG26" s="1883"/>
      <c r="AH26" s="1698"/>
      <c r="AI26" s="1654"/>
      <c r="AJ26" s="1701"/>
      <c r="AK26" s="1654"/>
      <c r="CE26" s="1053"/>
      <c r="CF26" s="1053"/>
      <c r="CG26" s="1054"/>
      <c r="CH26" s="1054"/>
      <c r="CI26" s="1053"/>
      <c r="CJ26" s="1053"/>
      <c r="CK26" s="184"/>
      <c r="CL26" s="184"/>
      <c r="CM26" s="1053"/>
      <c r="CN26" s="1053"/>
      <c r="CO26" s="184"/>
      <c r="CP26" s="184"/>
      <c r="CQ26" s="1053"/>
      <c r="CR26" s="1053"/>
      <c r="CS26" s="184"/>
      <c r="CT26" s="184"/>
      <c r="CU26" s="1053"/>
      <c r="CV26" s="1053"/>
      <c r="CW26" s="184"/>
      <c r="CX26" s="184"/>
      <c r="CY26" s="958"/>
      <c r="CZ26" s="958"/>
      <c r="DA26" s="958"/>
      <c r="DB26" s="958"/>
      <c r="DC26" s="958"/>
      <c r="DD26" s="958"/>
      <c r="DE26" s="958"/>
      <c r="DF26" s="958"/>
      <c r="DO26" s="1053"/>
      <c r="DP26" s="1053"/>
      <c r="DQ26" s="1054"/>
      <c r="DR26" s="1054"/>
      <c r="DS26" s="1053"/>
      <c r="DT26" s="1053"/>
      <c r="DU26" s="184"/>
      <c r="DV26" s="184"/>
      <c r="DW26" s="1053"/>
      <c r="DX26" s="1053"/>
      <c r="DY26" s="184"/>
      <c r="DZ26" s="184"/>
      <c r="EA26" s="1053"/>
      <c r="EB26" s="1053"/>
      <c r="EC26" s="184"/>
      <c r="ED26" s="184"/>
      <c r="EE26" s="1053"/>
      <c r="EF26" s="1053"/>
      <c r="EG26" s="184"/>
      <c r="EH26" s="184"/>
      <c r="EI26" s="958"/>
      <c r="EJ26" s="958"/>
      <c r="EK26" s="958"/>
      <c r="EL26" s="958"/>
      <c r="EM26" s="958"/>
      <c r="EN26" s="958"/>
      <c r="EO26" s="958"/>
      <c r="EP26" s="958"/>
    </row>
    <row r="27" spans="1:148" ht="21.75" customHeight="1" x14ac:dyDescent="0.15">
      <c r="A27" s="1943"/>
      <c r="B27" s="1944"/>
      <c r="C27" s="1458" t="s">
        <v>230</v>
      </c>
      <c r="D27" s="1487" t="s">
        <v>91</v>
      </c>
      <c r="E27" s="1488" t="s">
        <v>231</v>
      </c>
      <c r="F27" s="1216" t="s">
        <v>91</v>
      </c>
      <c r="G27" s="1488" t="s">
        <v>231</v>
      </c>
      <c r="H27" s="1216" t="s">
        <v>91</v>
      </c>
      <c r="I27" s="1488" t="s">
        <v>231</v>
      </c>
      <c r="J27" s="1216" t="s">
        <v>91</v>
      </c>
      <c r="K27" s="1488" t="s">
        <v>231</v>
      </c>
      <c r="L27" s="1216" t="s">
        <v>91</v>
      </c>
      <c r="M27" s="1488" t="s">
        <v>231</v>
      </c>
      <c r="N27" s="1216" t="s">
        <v>91</v>
      </c>
      <c r="O27" s="1488" t="s">
        <v>231</v>
      </c>
      <c r="P27" s="1216" t="s">
        <v>91</v>
      </c>
      <c r="Q27" s="1488" t="s">
        <v>231</v>
      </c>
      <c r="R27" s="1216" t="s">
        <v>91</v>
      </c>
      <c r="S27" s="1488" t="s">
        <v>231</v>
      </c>
      <c r="T27" s="1216" t="s">
        <v>91</v>
      </c>
      <c r="U27" s="1488" t="s">
        <v>231</v>
      </c>
      <c r="V27" s="1216" t="s">
        <v>91</v>
      </c>
      <c r="W27" s="1488" t="s">
        <v>231</v>
      </c>
      <c r="X27" s="1216" t="s">
        <v>91</v>
      </c>
      <c r="Y27" s="1488" t="s">
        <v>231</v>
      </c>
      <c r="Z27" s="1216" t="s">
        <v>415</v>
      </c>
      <c r="AA27" s="1488" t="s">
        <v>231</v>
      </c>
      <c r="AB27" s="1216" t="s">
        <v>415</v>
      </c>
      <c r="AC27" s="1488" t="s">
        <v>231</v>
      </c>
      <c r="AD27" s="1216" t="s">
        <v>415</v>
      </c>
      <c r="AE27" s="1488" t="s">
        <v>231</v>
      </c>
      <c r="AF27" s="1213" t="s">
        <v>415</v>
      </c>
      <c r="AG27" s="86" t="s">
        <v>231</v>
      </c>
      <c r="AH27" s="873" t="s">
        <v>91</v>
      </c>
      <c r="AI27" s="872" t="s">
        <v>231</v>
      </c>
      <c r="AJ27" s="1493" t="s">
        <v>91</v>
      </c>
      <c r="AK27" s="872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5" t="s">
        <v>516</v>
      </c>
      <c r="B28" s="103" t="s">
        <v>517</v>
      </c>
      <c r="C28" s="1136">
        <f>SUM(D28:E28)</f>
        <v>1182</v>
      </c>
      <c r="D28" s="391">
        <f>+F28+H28+J28+L28+N28+P28+R28+T28+V28+X28+Z28+AB28+AD28</f>
        <v>410</v>
      </c>
      <c r="E28" s="874">
        <f>+G28+I28+K28+M28+O28+Q28+S28+U28+W28+Y28+AA28+AC28+AE28</f>
        <v>772</v>
      </c>
      <c r="F28" s="393">
        <v>1</v>
      </c>
      <c r="G28" s="394">
        <v>0</v>
      </c>
      <c r="H28" s="393">
        <v>1</v>
      </c>
      <c r="I28" s="394">
        <v>1</v>
      </c>
      <c r="J28" s="393">
        <v>6</v>
      </c>
      <c r="K28" s="459">
        <v>3</v>
      </c>
      <c r="L28" s="393">
        <v>8</v>
      </c>
      <c r="M28" s="394">
        <v>12</v>
      </c>
      <c r="N28" s="393">
        <v>13</v>
      </c>
      <c r="O28" s="394">
        <v>18</v>
      </c>
      <c r="P28" s="393">
        <v>11</v>
      </c>
      <c r="Q28" s="459">
        <v>27</v>
      </c>
      <c r="R28" s="393">
        <v>11</v>
      </c>
      <c r="S28" s="394">
        <v>42</v>
      </c>
      <c r="T28" s="393">
        <v>35</v>
      </c>
      <c r="U28" s="394">
        <v>79</v>
      </c>
      <c r="V28" s="393">
        <v>54</v>
      </c>
      <c r="W28" s="394">
        <v>124</v>
      </c>
      <c r="X28" s="393">
        <v>76</v>
      </c>
      <c r="Y28" s="394">
        <v>163</v>
      </c>
      <c r="Z28" s="393">
        <v>72</v>
      </c>
      <c r="AA28" s="394">
        <v>144</v>
      </c>
      <c r="AB28" s="393">
        <v>73</v>
      </c>
      <c r="AC28" s="394">
        <v>90</v>
      </c>
      <c r="AD28" s="393">
        <v>49</v>
      </c>
      <c r="AE28" s="394">
        <v>69</v>
      </c>
      <c r="AF28" s="881"/>
      <c r="AG28" s="882"/>
      <c r="AH28" s="410">
        <v>55</v>
      </c>
      <c r="AI28" s="394">
        <v>111</v>
      </c>
      <c r="AJ28" s="460">
        <v>3</v>
      </c>
      <c r="AK28" s="394">
        <v>7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8">
        <f>IF(AND(D28&lt;&gt;0,AH28=""),1,IF(AND(E28&lt;&gt;0,AI28=""),1,0))</f>
        <v>0</v>
      </c>
      <c r="DL28" s="1038">
        <f>IF(AND(D28&lt;&gt;0,AJ28=""),1,IF(AND(E28&lt;&gt;0,AK28=""),1,0))</f>
        <v>0</v>
      </c>
      <c r="DM28" s="1038">
        <f>IF($D$28&gt;=$AH$28,0,1)</f>
        <v>0</v>
      </c>
      <c r="DN28" s="1038">
        <f>IF(E$28&gt;=AI28,0,1)</f>
        <v>0</v>
      </c>
      <c r="DO28" s="1038">
        <f t="shared" ref="DO28:DO42" si="19">IF($D28&gt;=$AJ28,0,1)</f>
        <v>0</v>
      </c>
      <c r="DP28" s="1038">
        <f t="shared" ref="DP28:DP42" si="20">IF(E28&gt;=AK28,0,1)</f>
        <v>0</v>
      </c>
      <c r="DQ28" s="1038">
        <f t="shared" ref="DQ28:EP28" si="21">IF(F$28&lt;=F$16,0,1)</f>
        <v>0</v>
      </c>
      <c r="DR28" s="1038">
        <f t="shared" si="21"/>
        <v>0</v>
      </c>
      <c r="DS28" s="1038">
        <f t="shared" si="21"/>
        <v>0</v>
      </c>
      <c r="DT28" s="1038">
        <f t="shared" si="21"/>
        <v>0</v>
      </c>
      <c r="DU28" s="1038">
        <f t="shared" si="21"/>
        <v>0</v>
      </c>
      <c r="DV28" s="1038">
        <f t="shared" si="21"/>
        <v>0</v>
      </c>
      <c r="DW28" s="1038">
        <f t="shared" si="21"/>
        <v>0</v>
      </c>
      <c r="DX28" s="1038">
        <f t="shared" si="21"/>
        <v>0</v>
      </c>
      <c r="DY28" s="1038">
        <f t="shared" si="21"/>
        <v>0</v>
      </c>
      <c r="DZ28" s="1038">
        <f t="shared" si="21"/>
        <v>0</v>
      </c>
      <c r="EA28" s="1038">
        <f t="shared" si="21"/>
        <v>0</v>
      </c>
      <c r="EB28" s="1038">
        <f t="shared" si="21"/>
        <v>0</v>
      </c>
      <c r="EC28" s="1038">
        <f t="shared" si="21"/>
        <v>0</v>
      </c>
      <c r="ED28" s="1038">
        <f t="shared" si="21"/>
        <v>0</v>
      </c>
      <c r="EE28" s="1038">
        <f t="shared" si="21"/>
        <v>0</v>
      </c>
      <c r="EF28" s="1038">
        <f t="shared" si="21"/>
        <v>0</v>
      </c>
      <c r="EG28" s="1038">
        <f t="shared" si="21"/>
        <v>0</v>
      </c>
      <c r="EH28" s="1038">
        <f t="shared" si="21"/>
        <v>0</v>
      </c>
      <c r="EI28" s="1038">
        <f t="shared" si="21"/>
        <v>0</v>
      </c>
      <c r="EJ28" s="1038">
        <f t="shared" si="21"/>
        <v>0</v>
      </c>
      <c r="EK28" s="1038">
        <f t="shared" si="21"/>
        <v>0</v>
      </c>
      <c r="EL28" s="1038">
        <f t="shared" si="21"/>
        <v>0</v>
      </c>
      <c r="EM28" s="1038">
        <f t="shared" si="21"/>
        <v>0</v>
      </c>
      <c r="EN28" s="1038">
        <f t="shared" si="21"/>
        <v>0</v>
      </c>
      <c r="EO28" s="1038">
        <f t="shared" si="21"/>
        <v>0</v>
      </c>
      <c r="EP28" s="1038">
        <f t="shared" si="21"/>
        <v>0</v>
      </c>
    </row>
    <row r="29" spans="1:148" ht="15" customHeight="1" x14ac:dyDescent="0.15">
      <c r="A29" s="1656"/>
      <c r="B29" s="132" t="s">
        <v>518</v>
      </c>
      <c r="C29" s="1135">
        <f t="shared" ref="C29:C34" si="22">SUM(D29:E29)</f>
        <v>195</v>
      </c>
      <c r="D29" s="538">
        <f>+AF29</f>
        <v>64</v>
      </c>
      <c r="E29" s="875">
        <f>+AG29</f>
        <v>131</v>
      </c>
      <c r="F29" s="437"/>
      <c r="G29" s="883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64</v>
      </c>
      <c r="AG29" s="413">
        <v>131</v>
      </c>
      <c r="AH29" s="414">
        <v>15</v>
      </c>
      <c r="AI29" s="403">
        <v>22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8">
        <f t="shared" ref="DK29:DK42" si="28">IF(AND(D29&lt;&gt;0,AH29=""),1,IF(AND(E29&lt;&gt;0,AI29=""),1,0))</f>
        <v>0</v>
      </c>
      <c r="DL29" s="1038">
        <f t="shared" ref="DL29:DL42" si="29">IF(AND(D29&lt;&gt;0,AJ29=""),1,IF(AND(E29&lt;&gt;0,AK29=""),1,0))</f>
        <v>0</v>
      </c>
      <c r="DM29" s="1038">
        <f>IF($D$29&gt;=$AH$29,0,1)</f>
        <v>0</v>
      </c>
      <c r="DN29" s="1038">
        <f t="shared" ref="DN29:DN42" si="30">IF(E$28&gt;=AI29,0,1)</f>
        <v>0</v>
      </c>
      <c r="DO29" s="1038">
        <f t="shared" si="19"/>
        <v>0</v>
      </c>
      <c r="DP29" s="1038">
        <f t="shared" si="20"/>
        <v>0</v>
      </c>
    </row>
    <row r="30" spans="1:148" ht="15" customHeight="1" x14ac:dyDescent="0.15">
      <c r="A30" s="1942" t="s">
        <v>519</v>
      </c>
      <c r="B30" s="105" t="s">
        <v>520</v>
      </c>
      <c r="C30" s="1136">
        <f t="shared" si="22"/>
        <v>507</v>
      </c>
      <c r="D30" s="391">
        <f>+F30+H30+J30+L30+N30+P30+R30+T30+V30+X30+Z30+AB30+AD30</f>
        <v>169</v>
      </c>
      <c r="E30" s="445">
        <f>+G30+I30+K30+M30+O30+Q30+S30+U30+W30+Y30+AA30+AC30+AE30</f>
        <v>338</v>
      </c>
      <c r="F30" s="393">
        <v>0</v>
      </c>
      <c r="G30" s="394">
        <v>0</v>
      </c>
      <c r="H30" s="393">
        <v>1</v>
      </c>
      <c r="I30" s="394">
        <v>0</v>
      </c>
      <c r="J30" s="393">
        <v>1</v>
      </c>
      <c r="K30" s="394">
        <v>2</v>
      </c>
      <c r="L30" s="393">
        <v>1</v>
      </c>
      <c r="M30" s="394">
        <v>7</v>
      </c>
      <c r="N30" s="393">
        <v>3</v>
      </c>
      <c r="O30" s="394">
        <v>9</v>
      </c>
      <c r="P30" s="393">
        <v>1</v>
      </c>
      <c r="Q30" s="394">
        <v>9</v>
      </c>
      <c r="R30" s="393">
        <v>13</v>
      </c>
      <c r="S30" s="394">
        <v>21</v>
      </c>
      <c r="T30" s="393">
        <v>13</v>
      </c>
      <c r="U30" s="394">
        <v>31</v>
      </c>
      <c r="V30" s="393">
        <v>18</v>
      </c>
      <c r="W30" s="394">
        <v>46</v>
      </c>
      <c r="X30" s="393">
        <v>32</v>
      </c>
      <c r="Y30" s="394">
        <v>59</v>
      </c>
      <c r="Z30" s="393">
        <v>33</v>
      </c>
      <c r="AA30" s="394">
        <v>63</v>
      </c>
      <c r="AB30" s="393">
        <v>32</v>
      </c>
      <c r="AC30" s="394">
        <v>54</v>
      </c>
      <c r="AD30" s="393">
        <v>21</v>
      </c>
      <c r="AE30" s="394">
        <v>37</v>
      </c>
      <c r="AF30" s="881"/>
      <c r="AG30" s="881"/>
      <c r="AH30" s="410">
        <v>27</v>
      </c>
      <c r="AI30" s="394">
        <v>49</v>
      </c>
      <c r="AJ30" s="460">
        <v>1</v>
      </c>
      <c r="AK30" s="394">
        <v>1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8">
        <f t="shared" si="28"/>
        <v>0</v>
      </c>
      <c r="DL30" s="1038">
        <f t="shared" si="29"/>
        <v>0</v>
      </c>
      <c r="DM30" s="1038">
        <f>IF($D$30&gt;=$AH$30,0,1)</f>
        <v>0</v>
      </c>
      <c r="DN30" s="1038">
        <f t="shared" si="30"/>
        <v>0</v>
      </c>
      <c r="DO30" s="1038">
        <f t="shared" si="19"/>
        <v>0</v>
      </c>
      <c r="DP30" s="1038">
        <f t="shared" si="20"/>
        <v>0</v>
      </c>
      <c r="DQ30" s="1038">
        <f t="shared" ref="DQ30:ER30" si="31">IF(F$30&lt;=F$17,0,1)</f>
        <v>0</v>
      </c>
      <c r="DR30" s="1038">
        <f t="shared" si="31"/>
        <v>0</v>
      </c>
      <c r="DS30" s="1038">
        <f t="shared" si="31"/>
        <v>0</v>
      </c>
      <c r="DT30" s="1038">
        <f t="shared" si="31"/>
        <v>0</v>
      </c>
      <c r="DU30" s="1038">
        <f t="shared" si="31"/>
        <v>0</v>
      </c>
      <c r="DV30" s="1038">
        <f t="shared" si="31"/>
        <v>0</v>
      </c>
      <c r="DW30" s="1038">
        <f t="shared" si="31"/>
        <v>0</v>
      </c>
      <c r="DX30" s="1038">
        <f t="shared" si="31"/>
        <v>0</v>
      </c>
      <c r="DY30" s="1038">
        <f t="shared" si="31"/>
        <v>0</v>
      </c>
      <c r="DZ30" s="1038">
        <f t="shared" si="31"/>
        <v>0</v>
      </c>
      <c r="EA30" s="1038">
        <f t="shared" si="31"/>
        <v>0</v>
      </c>
      <c r="EB30" s="1038">
        <f t="shared" si="31"/>
        <v>0</v>
      </c>
      <c r="EC30" s="1038">
        <f t="shared" si="31"/>
        <v>0</v>
      </c>
      <c r="ED30" s="1038">
        <f t="shared" si="31"/>
        <v>0</v>
      </c>
      <c r="EE30" s="1038">
        <f t="shared" si="31"/>
        <v>0</v>
      </c>
      <c r="EF30" s="1038">
        <f t="shared" si="31"/>
        <v>0</v>
      </c>
      <c r="EG30" s="1038">
        <f t="shared" si="31"/>
        <v>0</v>
      </c>
      <c r="EH30" s="1038">
        <f t="shared" si="31"/>
        <v>0</v>
      </c>
      <c r="EI30" s="1038">
        <f t="shared" si="31"/>
        <v>0</v>
      </c>
      <c r="EJ30" s="1038">
        <f t="shared" si="31"/>
        <v>0</v>
      </c>
      <c r="EK30" s="1038">
        <f t="shared" si="31"/>
        <v>0</v>
      </c>
      <c r="EL30" s="1038">
        <f t="shared" si="31"/>
        <v>0</v>
      </c>
      <c r="EM30" s="1038">
        <f t="shared" si="31"/>
        <v>0</v>
      </c>
      <c r="EN30" s="1038">
        <f t="shared" si="31"/>
        <v>0</v>
      </c>
      <c r="EO30" s="1038">
        <f t="shared" si="31"/>
        <v>0</v>
      </c>
      <c r="EP30" s="1038">
        <f t="shared" si="31"/>
        <v>0</v>
      </c>
      <c r="EQ30" s="1038">
        <f t="shared" si="31"/>
        <v>0</v>
      </c>
      <c r="ER30" s="1038">
        <f t="shared" si="31"/>
        <v>0</v>
      </c>
    </row>
    <row r="31" spans="1:148" ht="14.45" customHeight="1" x14ac:dyDescent="0.15">
      <c r="A31" s="1943"/>
      <c r="B31" s="133" t="s">
        <v>521</v>
      </c>
      <c r="C31" s="1310">
        <f t="shared" si="22"/>
        <v>68</v>
      </c>
      <c r="D31" s="388">
        <f>+AF31</f>
        <v>18</v>
      </c>
      <c r="E31" s="866">
        <f>+AG31</f>
        <v>50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18</v>
      </c>
      <c r="AG31" s="405">
        <v>50</v>
      </c>
      <c r="AH31" s="443">
        <v>3</v>
      </c>
      <c r="AI31" s="398">
        <v>4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8">
        <f t="shared" si="28"/>
        <v>0</v>
      </c>
      <c r="DL31" s="1038">
        <f t="shared" si="29"/>
        <v>0</v>
      </c>
      <c r="DM31" s="1038">
        <f>IF($D$31&gt;=$AH$31,0,1)</f>
        <v>0</v>
      </c>
      <c r="DN31" s="1038">
        <f t="shared" si="30"/>
        <v>0</v>
      </c>
      <c r="DO31" s="1038">
        <f>IF($D31&gt;=$AJ31,0,1)</f>
        <v>0</v>
      </c>
      <c r="DP31" s="1038">
        <f t="shared" si="20"/>
        <v>0</v>
      </c>
    </row>
    <row r="32" spans="1:148" ht="15" customHeight="1" x14ac:dyDescent="0.15">
      <c r="A32" s="1944"/>
      <c r="B32" s="1342" t="s">
        <v>522</v>
      </c>
      <c r="C32" s="1134">
        <f t="shared" si="22"/>
        <v>215</v>
      </c>
      <c r="D32" s="390">
        <f>+F32+H32+J32+L32+N32+P32+R32+T32+V32+X32+Z32+AB32+AD32+AF32</f>
        <v>76</v>
      </c>
      <c r="E32" s="456">
        <f>+G32+I32+K32+M32+O32+Q32+S32+U32+W32+Y32+AA32+AC32+AE32+AG32</f>
        <v>139</v>
      </c>
      <c r="F32" s="402">
        <v>0</v>
      </c>
      <c r="G32" s="403">
        <v>0</v>
      </c>
      <c r="H32" s="402">
        <v>1</v>
      </c>
      <c r="I32" s="403">
        <v>0</v>
      </c>
      <c r="J32" s="402">
        <v>1</v>
      </c>
      <c r="K32" s="403">
        <v>2</v>
      </c>
      <c r="L32" s="402">
        <v>1</v>
      </c>
      <c r="M32" s="403">
        <v>3</v>
      </c>
      <c r="N32" s="402">
        <v>0</v>
      </c>
      <c r="O32" s="403">
        <v>4</v>
      </c>
      <c r="P32" s="402">
        <v>0</v>
      </c>
      <c r="Q32" s="403">
        <v>0</v>
      </c>
      <c r="R32" s="402">
        <v>5</v>
      </c>
      <c r="S32" s="403">
        <v>6</v>
      </c>
      <c r="T32" s="402">
        <v>3</v>
      </c>
      <c r="U32" s="403">
        <v>10</v>
      </c>
      <c r="V32" s="402">
        <v>11</v>
      </c>
      <c r="W32" s="403">
        <v>20</v>
      </c>
      <c r="X32" s="402">
        <v>10</v>
      </c>
      <c r="Y32" s="403">
        <v>22</v>
      </c>
      <c r="Z32" s="402">
        <v>14</v>
      </c>
      <c r="AA32" s="403">
        <v>25</v>
      </c>
      <c r="AB32" s="402">
        <v>15</v>
      </c>
      <c r="AC32" s="403">
        <v>17</v>
      </c>
      <c r="AD32" s="402">
        <v>9</v>
      </c>
      <c r="AE32" s="403">
        <v>16</v>
      </c>
      <c r="AF32" s="462">
        <v>6</v>
      </c>
      <c r="AG32" s="468">
        <v>14</v>
      </c>
      <c r="AH32" s="414">
        <v>14</v>
      </c>
      <c r="AI32" s="403">
        <v>19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8">
        <f t="shared" si="28"/>
        <v>0</v>
      </c>
      <c r="DL32" s="1038">
        <f t="shared" si="29"/>
        <v>0</v>
      </c>
      <c r="DM32" s="1038">
        <f>IF($D$32&gt;=$AH$32,0,1)</f>
        <v>0</v>
      </c>
      <c r="DN32" s="1038">
        <f t="shared" si="30"/>
        <v>0</v>
      </c>
      <c r="DO32" s="1038">
        <f t="shared" si="19"/>
        <v>0</v>
      </c>
      <c r="DP32" s="1038">
        <f t="shared" si="20"/>
        <v>0</v>
      </c>
      <c r="DQ32" s="1038">
        <f t="shared" ref="DQ32:EP32" si="32">IF(F$32&lt;=F$30,0,1)</f>
        <v>0</v>
      </c>
      <c r="DR32" s="1038">
        <f t="shared" si="32"/>
        <v>0</v>
      </c>
      <c r="DS32" s="1038">
        <f t="shared" si="32"/>
        <v>0</v>
      </c>
      <c r="DT32" s="1038">
        <f t="shared" si="32"/>
        <v>0</v>
      </c>
      <c r="DU32" s="1038">
        <f t="shared" si="32"/>
        <v>0</v>
      </c>
      <c r="DV32" s="1038">
        <f t="shared" si="32"/>
        <v>0</v>
      </c>
      <c r="DW32" s="1038">
        <f t="shared" si="32"/>
        <v>0</v>
      </c>
      <c r="DX32" s="1038">
        <f t="shared" si="32"/>
        <v>0</v>
      </c>
      <c r="DY32" s="1038">
        <f t="shared" si="32"/>
        <v>0</v>
      </c>
      <c r="DZ32" s="1038">
        <f t="shared" si="32"/>
        <v>0</v>
      </c>
      <c r="EA32" s="1038">
        <f t="shared" si="32"/>
        <v>0</v>
      </c>
      <c r="EB32" s="1038">
        <f t="shared" si="32"/>
        <v>0</v>
      </c>
      <c r="EC32" s="1038">
        <f t="shared" si="32"/>
        <v>0</v>
      </c>
      <c r="ED32" s="1038">
        <f t="shared" si="32"/>
        <v>0</v>
      </c>
      <c r="EE32" s="1038">
        <f t="shared" si="32"/>
        <v>0</v>
      </c>
      <c r="EF32" s="1038">
        <f t="shared" si="32"/>
        <v>0</v>
      </c>
      <c r="EG32" s="1038">
        <f t="shared" si="32"/>
        <v>0</v>
      </c>
      <c r="EH32" s="1038">
        <f t="shared" si="32"/>
        <v>0</v>
      </c>
      <c r="EI32" s="1038">
        <f t="shared" si="32"/>
        <v>0</v>
      </c>
      <c r="EJ32" s="1038">
        <f t="shared" si="32"/>
        <v>0</v>
      </c>
      <c r="EK32" s="1038">
        <f t="shared" si="32"/>
        <v>0</v>
      </c>
      <c r="EL32" s="1038">
        <f t="shared" si="32"/>
        <v>0</v>
      </c>
      <c r="EM32" s="1038">
        <f t="shared" si="32"/>
        <v>0</v>
      </c>
      <c r="EN32" s="1038">
        <f t="shared" si="32"/>
        <v>0</v>
      </c>
      <c r="EO32" s="1038">
        <f t="shared" si="32"/>
        <v>0</v>
      </c>
      <c r="EP32" s="1038">
        <f t="shared" si="32"/>
        <v>0</v>
      </c>
    </row>
    <row r="33" spans="1:148" ht="15" customHeight="1" x14ac:dyDescent="0.15">
      <c r="A33" s="1494" t="s">
        <v>523</v>
      </c>
      <c r="B33" s="1263" t="s">
        <v>524</v>
      </c>
      <c r="C33" s="1135">
        <f t="shared" si="22"/>
        <v>368</v>
      </c>
      <c r="D33" s="538">
        <f t="shared" ref="D33:E34" si="33">+F33+H33+J33+L33+N33+P33+R33+T33+V33+X33+Z33+AB33+AD33+AF33</f>
        <v>167</v>
      </c>
      <c r="E33" s="876">
        <f t="shared" si="33"/>
        <v>201</v>
      </c>
      <c r="F33" s="411">
        <v>0</v>
      </c>
      <c r="G33" s="412">
        <v>0</v>
      </c>
      <c r="H33" s="411">
        <v>1</v>
      </c>
      <c r="I33" s="412">
        <v>0</v>
      </c>
      <c r="J33" s="411">
        <v>1</v>
      </c>
      <c r="K33" s="412">
        <v>0</v>
      </c>
      <c r="L33" s="411">
        <v>2</v>
      </c>
      <c r="M33" s="412">
        <v>3</v>
      </c>
      <c r="N33" s="411">
        <v>2</v>
      </c>
      <c r="O33" s="412">
        <v>4</v>
      </c>
      <c r="P33" s="411">
        <v>4</v>
      </c>
      <c r="Q33" s="412">
        <v>3</v>
      </c>
      <c r="R33" s="411">
        <v>3</v>
      </c>
      <c r="S33" s="412">
        <v>5</v>
      </c>
      <c r="T33" s="411">
        <v>11</v>
      </c>
      <c r="U33" s="412">
        <v>18</v>
      </c>
      <c r="V33" s="411">
        <v>26</v>
      </c>
      <c r="W33" s="412">
        <v>13</v>
      </c>
      <c r="X33" s="411">
        <v>27</v>
      </c>
      <c r="Y33" s="412">
        <v>32</v>
      </c>
      <c r="Z33" s="411">
        <v>27</v>
      </c>
      <c r="AA33" s="412">
        <v>40</v>
      </c>
      <c r="AB33" s="411">
        <v>19</v>
      </c>
      <c r="AC33" s="412">
        <v>33</v>
      </c>
      <c r="AD33" s="411">
        <v>25</v>
      </c>
      <c r="AE33" s="412">
        <v>17</v>
      </c>
      <c r="AF33" s="461">
        <v>19</v>
      </c>
      <c r="AG33" s="413">
        <v>33</v>
      </c>
      <c r="AH33" s="465">
        <v>30</v>
      </c>
      <c r="AI33" s="412">
        <v>35</v>
      </c>
      <c r="AJ33" s="461">
        <v>3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8">
        <f t="shared" si="28"/>
        <v>0</v>
      </c>
      <c r="DL33" s="1038">
        <f t="shared" si="29"/>
        <v>0</v>
      </c>
      <c r="DM33" s="1038">
        <f>IF($D$33&gt;=$AH$33,0,1)</f>
        <v>0</v>
      </c>
      <c r="DN33" s="1038">
        <f t="shared" si="30"/>
        <v>0</v>
      </c>
      <c r="DO33" s="1038">
        <f t="shared" si="19"/>
        <v>0</v>
      </c>
      <c r="DP33" s="1038">
        <f t="shared" si="20"/>
        <v>0</v>
      </c>
      <c r="DQ33" s="1038">
        <f t="shared" ref="DQ33:ER33" si="34">IF(F$33&lt;=+F$15,0,1)</f>
        <v>0</v>
      </c>
      <c r="DR33" s="1038">
        <f t="shared" si="34"/>
        <v>0</v>
      </c>
      <c r="DS33" s="1038">
        <f t="shared" si="34"/>
        <v>0</v>
      </c>
      <c r="DT33" s="1038">
        <f t="shared" si="34"/>
        <v>0</v>
      </c>
      <c r="DU33" s="1038">
        <f t="shared" si="34"/>
        <v>0</v>
      </c>
      <c r="DV33" s="1038">
        <f t="shared" si="34"/>
        <v>0</v>
      </c>
      <c r="DW33" s="1038">
        <f t="shared" si="34"/>
        <v>0</v>
      </c>
      <c r="DX33" s="1038">
        <f t="shared" si="34"/>
        <v>0</v>
      </c>
      <c r="DY33" s="1038">
        <f t="shared" si="34"/>
        <v>0</v>
      </c>
      <c r="DZ33" s="1038">
        <f t="shared" si="34"/>
        <v>0</v>
      </c>
      <c r="EA33" s="1038">
        <f t="shared" si="34"/>
        <v>0</v>
      </c>
      <c r="EB33" s="1038">
        <f t="shared" si="34"/>
        <v>0</v>
      </c>
      <c r="EC33" s="1038">
        <f t="shared" si="34"/>
        <v>0</v>
      </c>
      <c r="ED33" s="1038">
        <f t="shared" si="34"/>
        <v>0</v>
      </c>
      <c r="EE33" s="1038">
        <f t="shared" si="34"/>
        <v>0</v>
      </c>
      <c r="EF33" s="1038">
        <f t="shared" si="34"/>
        <v>0</v>
      </c>
      <c r="EG33" s="1038">
        <f t="shared" si="34"/>
        <v>0</v>
      </c>
      <c r="EH33" s="1038">
        <f t="shared" si="34"/>
        <v>0</v>
      </c>
      <c r="EI33" s="1038">
        <f t="shared" si="34"/>
        <v>0</v>
      </c>
      <c r="EJ33" s="1038">
        <f t="shared" si="34"/>
        <v>0</v>
      </c>
      <c r="EK33" s="1038">
        <f t="shared" si="34"/>
        <v>0</v>
      </c>
      <c r="EL33" s="1038">
        <f t="shared" si="34"/>
        <v>0</v>
      </c>
      <c r="EM33" s="1038">
        <f t="shared" si="34"/>
        <v>0</v>
      </c>
      <c r="EN33" s="1038">
        <f t="shared" si="34"/>
        <v>0</v>
      </c>
      <c r="EO33" s="1038">
        <f t="shared" si="34"/>
        <v>0</v>
      </c>
      <c r="EP33" s="1038">
        <f t="shared" si="34"/>
        <v>0</v>
      </c>
      <c r="EQ33" s="1038">
        <f t="shared" si="34"/>
        <v>0</v>
      </c>
      <c r="ER33" s="1038">
        <f t="shared" si="34"/>
        <v>0</v>
      </c>
    </row>
    <row r="34" spans="1:148" ht="15" customHeight="1" x14ac:dyDescent="0.15">
      <c r="A34" s="1974" t="s">
        <v>525</v>
      </c>
      <c r="B34" s="704" t="s">
        <v>526</v>
      </c>
      <c r="C34" s="1133">
        <f t="shared" si="22"/>
        <v>22</v>
      </c>
      <c r="D34" s="386">
        <f t="shared" si="33"/>
        <v>8</v>
      </c>
      <c r="E34" s="452">
        <f t="shared" si="33"/>
        <v>14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1</v>
      </c>
      <c r="W34" s="416">
        <v>1</v>
      </c>
      <c r="X34" s="415">
        <v>1</v>
      </c>
      <c r="Y34" s="416">
        <v>5</v>
      </c>
      <c r="Z34" s="415">
        <v>3</v>
      </c>
      <c r="AA34" s="416">
        <v>3</v>
      </c>
      <c r="AB34" s="415">
        <v>1</v>
      </c>
      <c r="AC34" s="416">
        <v>0</v>
      </c>
      <c r="AD34" s="415">
        <v>0</v>
      </c>
      <c r="AE34" s="416">
        <v>2</v>
      </c>
      <c r="AF34" s="466">
        <v>2</v>
      </c>
      <c r="AG34" s="467">
        <v>3</v>
      </c>
      <c r="AH34" s="410">
        <v>0</v>
      </c>
      <c r="AI34" s="394">
        <v>2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8">
        <f t="shared" si="28"/>
        <v>0</v>
      </c>
      <c r="DL34" s="1038">
        <f t="shared" si="29"/>
        <v>0</v>
      </c>
      <c r="DM34" s="1038">
        <f>IF($D$34&gt;=$AH$34,0,1)</f>
        <v>0</v>
      </c>
      <c r="DN34" s="1038">
        <f t="shared" si="30"/>
        <v>0</v>
      </c>
      <c r="DO34" s="1038">
        <f t="shared" si="19"/>
        <v>0</v>
      </c>
      <c r="DP34" s="1038">
        <f t="shared" si="20"/>
        <v>0</v>
      </c>
      <c r="DQ34" s="1038">
        <f t="shared" ref="DQ34:DZ35" si="35">IF(F34&lt;=F$22,0,1)</f>
        <v>0</v>
      </c>
      <c r="DR34" s="1038">
        <f t="shared" si="35"/>
        <v>0</v>
      </c>
      <c r="DS34" s="1038">
        <f t="shared" si="35"/>
        <v>0</v>
      </c>
      <c r="DT34" s="1038">
        <f t="shared" si="35"/>
        <v>0</v>
      </c>
      <c r="DU34" s="1038">
        <f t="shared" si="35"/>
        <v>0</v>
      </c>
      <c r="DV34" s="1038">
        <f t="shared" si="35"/>
        <v>0</v>
      </c>
      <c r="DW34" s="1038">
        <f t="shared" si="35"/>
        <v>0</v>
      </c>
      <c r="DX34" s="1038">
        <f t="shared" si="35"/>
        <v>0</v>
      </c>
      <c r="DY34" s="1038">
        <f t="shared" si="35"/>
        <v>0</v>
      </c>
      <c r="DZ34" s="1038">
        <f t="shared" si="35"/>
        <v>0</v>
      </c>
      <c r="EA34" s="1038">
        <f t="shared" ref="EA34:EJ35" si="36">IF(P34&lt;=P$22,0,1)</f>
        <v>0</v>
      </c>
      <c r="EB34" s="1038">
        <f t="shared" si="36"/>
        <v>0</v>
      </c>
      <c r="EC34" s="1038">
        <f t="shared" si="36"/>
        <v>0</v>
      </c>
      <c r="ED34" s="1038">
        <f t="shared" si="36"/>
        <v>0</v>
      </c>
      <c r="EE34" s="1038">
        <f t="shared" si="36"/>
        <v>0</v>
      </c>
      <c r="EF34" s="1038">
        <f t="shared" si="36"/>
        <v>0</v>
      </c>
      <c r="EG34" s="1038">
        <f t="shared" si="36"/>
        <v>0</v>
      </c>
      <c r="EH34" s="1038">
        <f t="shared" si="36"/>
        <v>0</v>
      </c>
      <c r="EI34" s="1038">
        <f t="shared" si="36"/>
        <v>0</v>
      </c>
      <c r="EJ34" s="1038">
        <f t="shared" si="36"/>
        <v>0</v>
      </c>
      <c r="EK34" s="1038">
        <f t="shared" ref="EK34:ER35" si="37">IF(Z34&lt;=Z$22,0,1)</f>
        <v>0</v>
      </c>
      <c r="EL34" s="1038">
        <f t="shared" si="37"/>
        <v>0</v>
      </c>
      <c r="EM34" s="1038">
        <f t="shared" si="37"/>
        <v>0</v>
      </c>
      <c r="EN34" s="1038">
        <f t="shared" si="37"/>
        <v>0</v>
      </c>
      <c r="EO34" s="1038">
        <f t="shared" si="37"/>
        <v>0</v>
      </c>
      <c r="EP34" s="1038">
        <f t="shared" si="37"/>
        <v>0</v>
      </c>
      <c r="EQ34" s="1038">
        <f t="shared" si="37"/>
        <v>0</v>
      </c>
      <c r="ER34" s="1038">
        <f t="shared" si="37"/>
        <v>0</v>
      </c>
    </row>
    <row r="35" spans="1:148" ht="15" customHeight="1" x14ac:dyDescent="0.15">
      <c r="A35" s="1975"/>
      <c r="B35" s="704" t="s">
        <v>527</v>
      </c>
      <c r="C35" s="1310">
        <f>SUM(D35:E35)</f>
        <v>148</v>
      </c>
      <c r="D35" s="388">
        <f t="shared" ref="D35" si="38">+F35+H35+J35+L35+N35+P35+R35+T35+V35+X35+Z35+AB35+AD35+AF35</f>
        <v>46</v>
      </c>
      <c r="E35" s="866">
        <f t="shared" ref="E35" si="39">+G35+I35+K35+M35+O35+Q35+S35+U35+W35+Y35+AA35+AC35+AE35+AG35</f>
        <v>102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1</v>
      </c>
      <c r="N35" s="448">
        <v>1</v>
      </c>
      <c r="O35" s="449">
        <v>0</v>
      </c>
      <c r="P35" s="448">
        <v>1</v>
      </c>
      <c r="Q35" s="449">
        <v>1</v>
      </c>
      <c r="R35" s="448">
        <v>4</v>
      </c>
      <c r="S35" s="449">
        <v>4</v>
      </c>
      <c r="T35" s="448">
        <v>3</v>
      </c>
      <c r="U35" s="449">
        <v>9</v>
      </c>
      <c r="V35" s="448">
        <v>6</v>
      </c>
      <c r="W35" s="449">
        <v>16</v>
      </c>
      <c r="X35" s="448">
        <v>13</v>
      </c>
      <c r="Y35" s="449">
        <v>18</v>
      </c>
      <c r="Z35" s="448">
        <v>6</v>
      </c>
      <c r="AA35" s="449">
        <v>18</v>
      </c>
      <c r="AB35" s="448">
        <v>4</v>
      </c>
      <c r="AC35" s="449">
        <v>17</v>
      </c>
      <c r="AD35" s="448">
        <v>5</v>
      </c>
      <c r="AE35" s="449">
        <v>9</v>
      </c>
      <c r="AF35" s="663">
        <v>3</v>
      </c>
      <c r="AG35" s="579">
        <v>9</v>
      </c>
      <c r="AH35" s="877">
        <v>8</v>
      </c>
      <c r="AI35" s="449">
        <v>15</v>
      </c>
      <c r="AJ35" s="663">
        <v>0</v>
      </c>
      <c r="AK35" s="449">
        <v>1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8">
        <f t="shared" si="28"/>
        <v>0</v>
      </c>
      <c r="DL35" s="1038">
        <f t="shared" si="29"/>
        <v>0</v>
      </c>
      <c r="DM35" s="1038">
        <f>IF($D$36&gt;=$AH$36,0,1)</f>
        <v>0</v>
      </c>
      <c r="DN35" s="1038">
        <f t="shared" si="30"/>
        <v>0</v>
      </c>
      <c r="DO35" s="1038">
        <f t="shared" si="19"/>
        <v>0</v>
      </c>
      <c r="DP35" s="1038">
        <f t="shared" si="20"/>
        <v>0</v>
      </c>
      <c r="DQ35" s="1038">
        <f t="shared" si="35"/>
        <v>0</v>
      </c>
      <c r="DR35" s="1038">
        <f t="shared" si="35"/>
        <v>0</v>
      </c>
      <c r="DS35" s="1038">
        <f t="shared" si="35"/>
        <v>0</v>
      </c>
      <c r="DT35" s="1038">
        <f t="shared" si="35"/>
        <v>0</v>
      </c>
      <c r="DU35" s="1038">
        <f t="shared" si="35"/>
        <v>0</v>
      </c>
      <c r="DV35" s="1038">
        <f t="shared" si="35"/>
        <v>0</v>
      </c>
      <c r="DW35" s="1038">
        <f t="shared" si="35"/>
        <v>0</v>
      </c>
      <c r="DX35" s="1038">
        <f t="shared" si="35"/>
        <v>0</v>
      </c>
      <c r="DY35" s="1038">
        <f t="shared" si="35"/>
        <v>0</v>
      </c>
      <c r="DZ35" s="1038">
        <f t="shared" si="35"/>
        <v>0</v>
      </c>
      <c r="EA35" s="1038">
        <f t="shared" si="36"/>
        <v>0</v>
      </c>
      <c r="EB35" s="1038">
        <f t="shared" si="36"/>
        <v>0</v>
      </c>
      <c r="EC35" s="1038">
        <f t="shared" si="36"/>
        <v>0</v>
      </c>
      <c r="ED35" s="1038">
        <f t="shared" si="36"/>
        <v>0</v>
      </c>
      <c r="EE35" s="1038">
        <f t="shared" si="36"/>
        <v>0</v>
      </c>
      <c r="EF35" s="1038">
        <f t="shared" si="36"/>
        <v>0</v>
      </c>
      <c r="EG35" s="1038">
        <f t="shared" si="36"/>
        <v>0</v>
      </c>
      <c r="EH35" s="1038">
        <f t="shared" si="36"/>
        <v>0</v>
      </c>
      <c r="EI35" s="1038">
        <f t="shared" si="36"/>
        <v>0</v>
      </c>
      <c r="EJ35" s="1038">
        <f t="shared" si="36"/>
        <v>0</v>
      </c>
      <c r="EK35" s="1038">
        <f t="shared" si="37"/>
        <v>0</v>
      </c>
      <c r="EL35" s="1038">
        <f t="shared" si="37"/>
        <v>0</v>
      </c>
      <c r="EM35" s="1038">
        <f t="shared" si="37"/>
        <v>0</v>
      </c>
      <c r="EN35" s="1038">
        <f t="shared" si="37"/>
        <v>0</v>
      </c>
      <c r="EO35" s="1038">
        <f t="shared" si="37"/>
        <v>0</v>
      </c>
      <c r="EP35" s="1038">
        <f t="shared" si="37"/>
        <v>0</v>
      </c>
      <c r="EQ35" s="1038">
        <f t="shared" si="37"/>
        <v>0</v>
      </c>
      <c r="ER35" s="1038">
        <f t="shared" si="37"/>
        <v>0</v>
      </c>
    </row>
    <row r="36" spans="1:148" ht="15" customHeight="1" x14ac:dyDescent="0.15">
      <c r="A36" s="1976"/>
      <c r="B36" s="726" t="s">
        <v>528</v>
      </c>
      <c r="C36" s="1134">
        <f>SUM(D36:E36)</f>
        <v>478</v>
      </c>
      <c r="D36" s="390">
        <f>+F36+H36+J36+L36+N36+P36+R36+T36+V36+X36+Z36+AB36+AD36+AF36</f>
        <v>183</v>
      </c>
      <c r="E36" s="456">
        <f>+G36+I36+K36+M36+O36+Q36+S36+U36+W36+Y36+AA36+AC36+AE36+AG36</f>
        <v>295</v>
      </c>
      <c r="F36" s="402">
        <v>1</v>
      </c>
      <c r="G36" s="403">
        <v>0</v>
      </c>
      <c r="H36" s="402">
        <v>3</v>
      </c>
      <c r="I36" s="403">
        <v>0</v>
      </c>
      <c r="J36" s="402">
        <v>2</v>
      </c>
      <c r="K36" s="403">
        <v>7</v>
      </c>
      <c r="L36" s="402">
        <v>9</v>
      </c>
      <c r="M36" s="403">
        <v>15</v>
      </c>
      <c r="N36" s="402">
        <v>6</v>
      </c>
      <c r="O36" s="403">
        <v>24</v>
      </c>
      <c r="P36" s="402">
        <v>13</v>
      </c>
      <c r="Q36" s="403">
        <v>27</v>
      </c>
      <c r="R36" s="402">
        <v>7</v>
      </c>
      <c r="S36" s="403">
        <v>27</v>
      </c>
      <c r="T36" s="402">
        <v>27</v>
      </c>
      <c r="U36" s="403">
        <v>37</v>
      </c>
      <c r="V36" s="402">
        <v>30</v>
      </c>
      <c r="W36" s="403">
        <v>64</v>
      </c>
      <c r="X36" s="402">
        <v>28</v>
      </c>
      <c r="Y36" s="403">
        <v>40</v>
      </c>
      <c r="Z36" s="402">
        <v>26</v>
      </c>
      <c r="AA36" s="403">
        <v>32</v>
      </c>
      <c r="AB36" s="402">
        <v>20</v>
      </c>
      <c r="AC36" s="403">
        <v>10</v>
      </c>
      <c r="AD36" s="402">
        <v>6</v>
      </c>
      <c r="AE36" s="403">
        <v>8</v>
      </c>
      <c r="AF36" s="462">
        <v>5</v>
      </c>
      <c r="AG36" s="468">
        <v>4</v>
      </c>
      <c r="AH36" s="414">
        <v>13</v>
      </c>
      <c r="AI36" s="403">
        <v>26</v>
      </c>
      <c r="AJ36" s="462">
        <v>2</v>
      </c>
      <c r="AK36" s="403">
        <v>4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8">
        <f t="shared" si="28"/>
        <v>0</v>
      </c>
      <c r="DL36" s="1038">
        <f t="shared" si="29"/>
        <v>0</v>
      </c>
      <c r="DM36" s="1038">
        <f>IF($D$36&gt;=$AH$36,0,1)</f>
        <v>0</v>
      </c>
      <c r="DN36" s="1038">
        <f t="shared" si="30"/>
        <v>0</v>
      </c>
      <c r="DO36" s="1038">
        <f t="shared" si="19"/>
        <v>0</v>
      </c>
      <c r="DP36" s="1038">
        <f t="shared" si="20"/>
        <v>0</v>
      </c>
    </row>
    <row r="37" spans="1:148" ht="15" customHeight="1" x14ac:dyDescent="0.15">
      <c r="A37" s="2011" t="s">
        <v>529</v>
      </c>
      <c r="B37" s="1264" t="s">
        <v>526</v>
      </c>
      <c r="C37" s="1133">
        <f t="shared" ref="C37" si="40">SUM(D37:E37)</f>
        <v>27</v>
      </c>
      <c r="D37" s="386">
        <f>+F37+H37+J37+L37+N37+P37+R37+T37+V37+X37+Z37+AB37+AD37+AF37</f>
        <v>20</v>
      </c>
      <c r="E37" s="452">
        <f t="shared" ref="E37:E38" si="41">+G37+I37+K37+M37+O37+Q37+S37+U37+W37+Y37+AA37+AC37+AE37+AG37</f>
        <v>7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2</v>
      </c>
      <c r="S37" s="416">
        <v>0</v>
      </c>
      <c r="T37" s="415">
        <v>2</v>
      </c>
      <c r="U37" s="416">
        <v>0</v>
      </c>
      <c r="V37" s="415">
        <v>4</v>
      </c>
      <c r="W37" s="416">
        <v>0</v>
      </c>
      <c r="X37" s="415">
        <v>3</v>
      </c>
      <c r="Y37" s="416">
        <v>1</v>
      </c>
      <c r="Z37" s="415">
        <v>4</v>
      </c>
      <c r="AA37" s="416">
        <v>0</v>
      </c>
      <c r="AB37" s="415">
        <v>2</v>
      </c>
      <c r="AC37" s="416">
        <v>0</v>
      </c>
      <c r="AD37" s="415">
        <v>1</v>
      </c>
      <c r="AE37" s="416">
        <v>2</v>
      </c>
      <c r="AF37" s="466">
        <v>2</v>
      </c>
      <c r="AG37" s="467">
        <v>4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8">
        <f t="shared" si="28"/>
        <v>0</v>
      </c>
      <c r="DL37" s="1038">
        <f t="shared" si="29"/>
        <v>0</v>
      </c>
      <c r="DM37" s="1038">
        <f>IF($D$34&gt;=$AH$34,0,1)</f>
        <v>0</v>
      </c>
      <c r="DN37" s="1038">
        <f t="shared" si="30"/>
        <v>0</v>
      </c>
      <c r="DO37" s="1038">
        <f t="shared" si="19"/>
        <v>0</v>
      </c>
      <c r="DP37" s="1038">
        <f t="shared" si="20"/>
        <v>0</v>
      </c>
      <c r="DQ37" s="1038">
        <f>IF(F37&lt;=F$20,0,1)</f>
        <v>0</v>
      </c>
      <c r="DR37" s="1038">
        <f t="shared" ref="DR37:ER38" si="42">IF(G37&lt;=G$20,0,1)</f>
        <v>0</v>
      </c>
      <c r="DS37" s="1038">
        <f t="shared" si="42"/>
        <v>0</v>
      </c>
      <c r="DT37" s="1038">
        <f t="shared" si="42"/>
        <v>0</v>
      </c>
      <c r="DU37" s="1038">
        <f t="shared" si="42"/>
        <v>0</v>
      </c>
      <c r="DV37" s="1038">
        <f t="shared" si="42"/>
        <v>0</v>
      </c>
      <c r="DW37" s="1038">
        <f t="shared" si="42"/>
        <v>0</v>
      </c>
      <c r="DX37" s="1038">
        <f t="shared" si="42"/>
        <v>0</v>
      </c>
      <c r="DY37" s="1038">
        <f t="shared" si="42"/>
        <v>0</v>
      </c>
      <c r="DZ37" s="1038">
        <f t="shared" si="42"/>
        <v>0</v>
      </c>
      <c r="EA37" s="1038">
        <f t="shared" si="42"/>
        <v>0</v>
      </c>
      <c r="EB37" s="1038">
        <f t="shared" si="42"/>
        <v>0</v>
      </c>
      <c r="EC37" s="1038">
        <f t="shared" si="42"/>
        <v>0</v>
      </c>
      <c r="ED37" s="1038">
        <f t="shared" si="42"/>
        <v>0</v>
      </c>
      <c r="EE37" s="1038">
        <f t="shared" si="42"/>
        <v>0</v>
      </c>
      <c r="EF37" s="1038">
        <f t="shared" si="42"/>
        <v>0</v>
      </c>
      <c r="EG37" s="1038">
        <f t="shared" si="42"/>
        <v>0</v>
      </c>
      <c r="EH37" s="1038">
        <f t="shared" si="42"/>
        <v>0</v>
      </c>
      <c r="EI37" s="1038">
        <f t="shared" si="42"/>
        <v>0</v>
      </c>
      <c r="EJ37" s="1038">
        <f t="shared" si="42"/>
        <v>0</v>
      </c>
      <c r="EK37" s="1038">
        <f t="shared" si="42"/>
        <v>0</v>
      </c>
      <c r="EL37" s="1038">
        <f t="shared" si="42"/>
        <v>0</v>
      </c>
      <c r="EM37" s="1038">
        <f t="shared" si="42"/>
        <v>0</v>
      </c>
      <c r="EN37" s="1038">
        <f t="shared" si="42"/>
        <v>0</v>
      </c>
      <c r="EO37" s="1038">
        <f t="shared" si="42"/>
        <v>0</v>
      </c>
      <c r="EP37" s="1038">
        <f t="shared" si="42"/>
        <v>0</v>
      </c>
      <c r="EQ37" s="1038">
        <f>IF(AF37&lt;=AF$20,0,1)</f>
        <v>0</v>
      </c>
      <c r="ER37" s="1038">
        <f t="shared" si="42"/>
        <v>0</v>
      </c>
    </row>
    <row r="38" spans="1:148" ht="15" customHeight="1" x14ac:dyDescent="0.15">
      <c r="A38" s="2012"/>
      <c r="B38" s="1264" t="s">
        <v>527</v>
      </c>
      <c r="C38" s="1310">
        <f>SUM(D38:E38)</f>
        <v>14</v>
      </c>
      <c r="D38" s="388">
        <f t="shared" ref="D38" si="43">+F38+H38+J38+L38+N38+P38+R38+T38+V38+X38+Z38+AB38+AD38+AF38</f>
        <v>7</v>
      </c>
      <c r="E38" s="866">
        <f t="shared" si="41"/>
        <v>7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1</v>
      </c>
      <c r="R38" s="448">
        <v>1</v>
      </c>
      <c r="S38" s="449">
        <v>0</v>
      </c>
      <c r="T38" s="448">
        <v>1</v>
      </c>
      <c r="U38" s="449">
        <v>0</v>
      </c>
      <c r="V38" s="448">
        <v>0</v>
      </c>
      <c r="W38" s="449">
        <v>0</v>
      </c>
      <c r="X38" s="448">
        <v>0</v>
      </c>
      <c r="Y38" s="449">
        <v>1</v>
      </c>
      <c r="Z38" s="448">
        <v>2</v>
      </c>
      <c r="AA38" s="449">
        <v>1</v>
      </c>
      <c r="AB38" s="448">
        <v>1</v>
      </c>
      <c r="AC38" s="449">
        <v>0</v>
      </c>
      <c r="AD38" s="448">
        <v>1</v>
      </c>
      <c r="AE38" s="449">
        <v>1</v>
      </c>
      <c r="AF38" s="663">
        <v>1</v>
      </c>
      <c r="AG38" s="579">
        <v>3</v>
      </c>
      <c r="AH38" s="877">
        <v>3</v>
      </c>
      <c r="AI38" s="449">
        <v>0</v>
      </c>
      <c r="AJ38" s="663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8">
        <f t="shared" si="28"/>
        <v>0</v>
      </c>
      <c r="DL38" s="1038">
        <f t="shared" si="29"/>
        <v>0</v>
      </c>
      <c r="DM38" s="1038">
        <f>IF($D$36&gt;=$AH$36,0,1)</f>
        <v>0</v>
      </c>
      <c r="DN38" s="1038">
        <f t="shared" si="30"/>
        <v>0</v>
      </c>
      <c r="DO38" s="1038">
        <f t="shared" si="19"/>
        <v>0</v>
      </c>
      <c r="DP38" s="1038">
        <f t="shared" si="20"/>
        <v>0</v>
      </c>
      <c r="DQ38" s="1038">
        <f>IF(F38&lt;=F$20,0,1)</f>
        <v>0</v>
      </c>
      <c r="DR38" s="1038">
        <f t="shared" si="42"/>
        <v>0</v>
      </c>
      <c r="DS38" s="1038">
        <f t="shared" si="42"/>
        <v>0</v>
      </c>
      <c r="DT38" s="1038">
        <f t="shared" si="42"/>
        <v>0</v>
      </c>
      <c r="DU38" s="1038">
        <f t="shared" si="42"/>
        <v>0</v>
      </c>
      <c r="DV38" s="1038">
        <f t="shared" si="42"/>
        <v>0</v>
      </c>
      <c r="DW38" s="1038">
        <f t="shared" si="42"/>
        <v>0</v>
      </c>
      <c r="DX38" s="1038">
        <f t="shared" si="42"/>
        <v>0</v>
      </c>
      <c r="DY38" s="1038">
        <f t="shared" si="42"/>
        <v>0</v>
      </c>
      <c r="DZ38" s="1038">
        <f t="shared" si="42"/>
        <v>0</v>
      </c>
      <c r="EA38" s="1038">
        <f t="shared" si="42"/>
        <v>0</v>
      </c>
      <c r="EB38" s="1038">
        <f t="shared" si="42"/>
        <v>0</v>
      </c>
      <c r="EC38" s="1038">
        <f t="shared" si="42"/>
        <v>0</v>
      </c>
      <c r="ED38" s="1038">
        <f t="shared" si="42"/>
        <v>0</v>
      </c>
      <c r="EE38" s="1038">
        <f t="shared" si="42"/>
        <v>0</v>
      </c>
      <c r="EF38" s="1038">
        <f t="shared" si="42"/>
        <v>0</v>
      </c>
      <c r="EG38" s="1038">
        <f t="shared" si="42"/>
        <v>0</v>
      </c>
      <c r="EH38" s="1038">
        <f t="shared" si="42"/>
        <v>0</v>
      </c>
      <c r="EI38" s="1038">
        <f t="shared" si="42"/>
        <v>0</v>
      </c>
      <c r="EJ38" s="1038">
        <f t="shared" si="42"/>
        <v>0</v>
      </c>
      <c r="EK38" s="1038">
        <f t="shared" si="42"/>
        <v>0</v>
      </c>
      <c r="EL38" s="1038">
        <f t="shared" si="42"/>
        <v>0</v>
      </c>
      <c r="EM38" s="1038">
        <f t="shared" si="42"/>
        <v>0</v>
      </c>
      <c r="EN38" s="1038">
        <f t="shared" si="42"/>
        <v>0</v>
      </c>
      <c r="EO38" s="1038">
        <f t="shared" si="42"/>
        <v>0</v>
      </c>
      <c r="EP38" s="1038">
        <f t="shared" si="42"/>
        <v>0</v>
      </c>
      <c r="EQ38" s="1038">
        <f t="shared" si="42"/>
        <v>0</v>
      </c>
      <c r="ER38" s="1038">
        <f t="shared" si="42"/>
        <v>0</v>
      </c>
    </row>
    <row r="39" spans="1:148" ht="15" customHeight="1" x14ac:dyDescent="0.15">
      <c r="A39" s="2013"/>
      <c r="B39" s="1265" t="s">
        <v>528</v>
      </c>
      <c r="C39" s="1134">
        <f>SUM(D39:E39)</f>
        <v>22</v>
      </c>
      <c r="D39" s="390">
        <f>+F39+H39+J39+L39+N39+P39+R39+T39+V39+X39+Z39+AB39+AD39+AF39</f>
        <v>17</v>
      </c>
      <c r="E39" s="456">
        <f>+G39+I39+K39+M39+O39+Q39+S39+U39+W39+Y39+AA39+AC39+AE39+AG39</f>
        <v>5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2</v>
      </c>
      <c r="Q39" s="403">
        <v>1</v>
      </c>
      <c r="R39" s="402">
        <v>1</v>
      </c>
      <c r="S39" s="403">
        <v>0</v>
      </c>
      <c r="T39" s="402">
        <v>5</v>
      </c>
      <c r="U39" s="403">
        <v>0</v>
      </c>
      <c r="V39" s="402">
        <v>1</v>
      </c>
      <c r="W39" s="403">
        <v>2</v>
      </c>
      <c r="X39" s="402">
        <v>2</v>
      </c>
      <c r="Y39" s="403">
        <v>1</v>
      </c>
      <c r="Z39" s="402">
        <v>4</v>
      </c>
      <c r="AA39" s="403">
        <v>0</v>
      </c>
      <c r="AB39" s="402">
        <v>1</v>
      </c>
      <c r="AC39" s="403">
        <v>0</v>
      </c>
      <c r="AD39" s="402">
        <v>1</v>
      </c>
      <c r="AE39" s="403">
        <v>1</v>
      </c>
      <c r="AF39" s="462">
        <v>0</v>
      </c>
      <c r="AG39" s="468">
        <v>0</v>
      </c>
      <c r="AH39" s="414">
        <v>2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8">
        <f t="shared" si="28"/>
        <v>0</v>
      </c>
      <c r="DL39" s="1038">
        <f t="shared" si="29"/>
        <v>0</v>
      </c>
      <c r="DM39" s="1038">
        <f>IF($D$36&gt;=$AH$36,0,1)</f>
        <v>0</v>
      </c>
      <c r="DN39" s="1038">
        <f t="shared" si="30"/>
        <v>0</v>
      </c>
      <c r="DO39" s="1038">
        <f t="shared" si="19"/>
        <v>0</v>
      </c>
      <c r="DP39" s="1038">
        <f t="shared" si="20"/>
        <v>0</v>
      </c>
    </row>
    <row r="40" spans="1:148" ht="15" customHeight="1" x14ac:dyDescent="0.15">
      <c r="A40" s="2011" t="s">
        <v>530</v>
      </c>
      <c r="B40" s="1264" t="s">
        <v>526</v>
      </c>
      <c r="C40" s="1133">
        <f t="shared" ref="C40" si="44">SUM(D40:E40)</f>
        <v>23</v>
      </c>
      <c r="D40" s="386">
        <f t="shared" ref="D40:D41" si="45">+F40+H40+J40+L40+N40+P40+R40+T40+V40+X40+Z40+AB40+AD40+AF40</f>
        <v>16</v>
      </c>
      <c r="E40" s="452">
        <f t="shared" ref="E40:E41" si="46">+G40+I40+K40+M40+O40+Q40+S40+U40+W40+Y40+AA40+AC40+AE40+AG40</f>
        <v>7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1</v>
      </c>
      <c r="U40" s="416">
        <v>0</v>
      </c>
      <c r="V40" s="415">
        <v>0</v>
      </c>
      <c r="W40" s="416">
        <v>1</v>
      </c>
      <c r="X40" s="415">
        <v>5</v>
      </c>
      <c r="Y40" s="416">
        <v>0</v>
      </c>
      <c r="Z40" s="415">
        <v>5</v>
      </c>
      <c r="AA40" s="416">
        <v>0</v>
      </c>
      <c r="AB40" s="415">
        <v>2</v>
      </c>
      <c r="AC40" s="416">
        <v>2</v>
      </c>
      <c r="AD40" s="415">
        <v>3</v>
      </c>
      <c r="AE40" s="416">
        <v>0</v>
      </c>
      <c r="AF40" s="466">
        <v>0</v>
      </c>
      <c r="AG40" s="467">
        <v>4</v>
      </c>
      <c r="AH40" s="410">
        <v>1</v>
      </c>
      <c r="AI40" s="394">
        <v>2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8">
        <f t="shared" si="28"/>
        <v>0</v>
      </c>
      <c r="DL40" s="1038">
        <f t="shared" si="29"/>
        <v>0</v>
      </c>
      <c r="DM40" s="1038">
        <f>IF($D$34&gt;=$AH$34,0,1)</f>
        <v>0</v>
      </c>
      <c r="DN40" s="1038">
        <f t="shared" si="30"/>
        <v>0</v>
      </c>
      <c r="DO40" s="1038">
        <f t="shared" si="19"/>
        <v>0</v>
      </c>
      <c r="DP40" s="1038">
        <f t="shared" si="20"/>
        <v>0</v>
      </c>
      <c r="DQ40" s="1038">
        <f>IF(F40&lt;=F$21,0,1)</f>
        <v>0</v>
      </c>
      <c r="DR40" s="1038">
        <f t="shared" ref="DR40:ER41" si="47">IF(G40&lt;=G$21,0,1)</f>
        <v>0</v>
      </c>
      <c r="DS40" s="1038">
        <f t="shared" si="47"/>
        <v>0</v>
      </c>
      <c r="DT40" s="1038">
        <f t="shared" si="47"/>
        <v>0</v>
      </c>
      <c r="DU40" s="1038">
        <f t="shared" si="47"/>
        <v>0</v>
      </c>
      <c r="DV40" s="1038">
        <f t="shared" si="47"/>
        <v>0</v>
      </c>
      <c r="DW40" s="1038">
        <f t="shared" si="47"/>
        <v>0</v>
      </c>
      <c r="DX40" s="1038">
        <f t="shared" si="47"/>
        <v>0</v>
      </c>
      <c r="DY40" s="1038">
        <f t="shared" si="47"/>
        <v>0</v>
      </c>
      <c r="DZ40" s="1038">
        <f t="shared" si="47"/>
        <v>0</v>
      </c>
      <c r="EA40" s="1038">
        <f t="shared" si="47"/>
        <v>0</v>
      </c>
      <c r="EB40" s="1038">
        <f t="shared" si="47"/>
        <v>0</v>
      </c>
      <c r="EC40" s="1038">
        <f t="shared" si="47"/>
        <v>0</v>
      </c>
      <c r="ED40" s="1038">
        <f t="shared" si="47"/>
        <v>0</v>
      </c>
      <c r="EE40" s="1038">
        <f t="shared" si="47"/>
        <v>0</v>
      </c>
      <c r="EF40" s="1038">
        <f t="shared" si="47"/>
        <v>0</v>
      </c>
      <c r="EG40" s="1038">
        <f t="shared" si="47"/>
        <v>0</v>
      </c>
      <c r="EH40" s="1038">
        <f t="shared" si="47"/>
        <v>0</v>
      </c>
      <c r="EI40" s="1038">
        <f t="shared" si="47"/>
        <v>0</v>
      </c>
      <c r="EJ40" s="1038">
        <f t="shared" si="47"/>
        <v>0</v>
      </c>
      <c r="EK40" s="1038">
        <f t="shared" si="47"/>
        <v>0</v>
      </c>
      <c r="EL40" s="1038">
        <f t="shared" si="47"/>
        <v>0</v>
      </c>
      <c r="EM40" s="1038">
        <f t="shared" si="47"/>
        <v>0</v>
      </c>
      <c r="EN40" s="1038">
        <f t="shared" si="47"/>
        <v>0</v>
      </c>
      <c r="EO40" s="1038">
        <f t="shared" si="47"/>
        <v>0</v>
      </c>
      <c r="EP40" s="1038">
        <f t="shared" si="47"/>
        <v>0</v>
      </c>
      <c r="EQ40" s="1038">
        <f t="shared" si="47"/>
        <v>0</v>
      </c>
      <c r="ER40" s="1038">
        <f t="shared" si="47"/>
        <v>0</v>
      </c>
    </row>
    <row r="41" spans="1:148" ht="15" customHeight="1" x14ac:dyDescent="0.15">
      <c r="A41" s="2012"/>
      <c r="B41" s="1264" t="s">
        <v>527</v>
      </c>
      <c r="C41" s="1310">
        <f>SUM(D41:E41)</f>
        <v>30</v>
      </c>
      <c r="D41" s="388">
        <f t="shared" si="45"/>
        <v>20</v>
      </c>
      <c r="E41" s="866">
        <f t="shared" si="46"/>
        <v>10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1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1</v>
      </c>
      <c r="V41" s="448">
        <v>0</v>
      </c>
      <c r="W41" s="449">
        <v>1</v>
      </c>
      <c r="X41" s="448">
        <v>4</v>
      </c>
      <c r="Y41" s="449">
        <v>3</v>
      </c>
      <c r="Z41" s="448">
        <v>6</v>
      </c>
      <c r="AA41" s="449">
        <v>1</v>
      </c>
      <c r="AB41" s="448">
        <v>5</v>
      </c>
      <c r="AC41" s="449">
        <v>1</v>
      </c>
      <c r="AD41" s="448">
        <v>4</v>
      </c>
      <c r="AE41" s="449">
        <v>0</v>
      </c>
      <c r="AF41" s="663">
        <v>1</v>
      </c>
      <c r="AG41" s="579">
        <v>2</v>
      </c>
      <c r="AH41" s="877">
        <v>4</v>
      </c>
      <c r="AI41" s="449">
        <v>0</v>
      </c>
      <c r="AJ41" s="663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8">
        <f t="shared" si="28"/>
        <v>0</v>
      </c>
      <c r="DL41" s="1038">
        <f t="shared" si="29"/>
        <v>0</v>
      </c>
      <c r="DM41" s="1038">
        <f>IF($D$36&gt;=$AH$36,0,1)</f>
        <v>0</v>
      </c>
      <c r="DN41" s="1038">
        <f t="shared" si="30"/>
        <v>0</v>
      </c>
      <c r="DO41" s="1038">
        <f t="shared" si="19"/>
        <v>0</v>
      </c>
      <c r="DP41" s="1038">
        <f t="shared" si="20"/>
        <v>0</v>
      </c>
      <c r="DQ41" s="1038">
        <f>IF(F41&lt;=F$21,0,1)</f>
        <v>0</v>
      </c>
      <c r="DR41" s="1038">
        <f t="shared" si="47"/>
        <v>0</v>
      </c>
      <c r="DS41" s="1038">
        <f t="shared" si="47"/>
        <v>0</v>
      </c>
      <c r="DT41" s="1038">
        <f t="shared" si="47"/>
        <v>0</v>
      </c>
      <c r="DU41" s="1038">
        <f t="shared" si="47"/>
        <v>0</v>
      </c>
      <c r="DV41" s="1038">
        <f t="shared" si="47"/>
        <v>0</v>
      </c>
      <c r="DW41" s="1038">
        <f t="shared" si="47"/>
        <v>0</v>
      </c>
      <c r="DX41" s="1038">
        <f t="shared" si="47"/>
        <v>0</v>
      </c>
      <c r="DY41" s="1038">
        <f t="shared" si="47"/>
        <v>0</v>
      </c>
      <c r="DZ41" s="1038">
        <f t="shared" si="47"/>
        <v>0</v>
      </c>
      <c r="EA41" s="1038">
        <f t="shared" si="47"/>
        <v>0</v>
      </c>
      <c r="EB41" s="1038">
        <f t="shared" si="47"/>
        <v>0</v>
      </c>
      <c r="EC41" s="1038">
        <f t="shared" si="47"/>
        <v>0</v>
      </c>
      <c r="ED41" s="1038">
        <f t="shared" si="47"/>
        <v>0</v>
      </c>
      <c r="EE41" s="1038">
        <f t="shared" si="47"/>
        <v>0</v>
      </c>
      <c r="EF41" s="1038">
        <f t="shared" si="47"/>
        <v>0</v>
      </c>
      <c r="EG41" s="1038">
        <f t="shared" si="47"/>
        <v>0</v>
      </c>
      <c r="EH41" s="1038">
        <f t="shared" si="47"/>
        <v>0</v>
      </c>
      <c r="EI41" s="1038">
        <f t="shared" si="47"/>
        <v>0</v>
      </c>
      <c r="EJ41" s="1038">
        <f t="shared" si="47"/>
        <v>0</v>
      </c>
      <c r="EK41" s="1038">
        <f t="shared" si="47"/>
        <v>0</v>
      </c>
      <c r="EL41" s="1038">
        <f t="shared" si="47"/>
        <v>0</v>
      </c>
      <c r="EM41" s="1038">
        <f t="shared" si="47"/>
        <v>0</v>
      </c>
      <c r="EN41" s="1038">
        <f t="shared" si="47"/>
        <v>0</v>
      </c>
      <c r="EO41" s="1038">
        <f t="shared" si="47"/>
        <v>0</v>
      </c>
      <c r="EP41" s="1038">
        <f t="shared" si="47"/>
        <v>0</v>
      </c>
      <c r="EQ41" s="1038">
        <f t="shared" si="47"/>
        <v>0</v>
      </c>
      <c r="ER41" s="1038">
        <f t="shared" si="47"/>
        <v>0</v>
      </c>
    </row>
    <row r="42" spans="1:148" ht="15" customHeight="1" x14ac:dyDescent="0.15">
      <c r="A42" s="2013"/>
      <c r="B42" s="1265" t="s">
        <v>528</v>
      </c>
      <c r="C42" s="1134">
        <f>SUM(D42:E42)</f>
        <v>29</v>
      </c>
      <c r="D42" s="390">
        <f>+F42+H42+J42+L42+N42+P42+R42+T42+V42+X42+Z42+AB42+AD42+AF42</f>
        <v>21</v>
      </c>
      <c r="E42" s="456">
        <f>+G42+I42+K42+M42+O42+Q42+S42+U42+W42+Y42+AA42+AC42+AE42+AG42</f>
        <v>8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1</v>
      </c>
      <c r="R42" s="402">
        <v>0</v>
      </c>
      <c r="S42" s="403">
        <v>0</v>
      </c>
      <c r="T42" s="402">
        <v>1</v>
      </c>
      <c r="U42" s="403">
        <v>2</v>
      </c>
      <c r="V42" s="402">
        <v>0</v>
      </c>
      <c r="W42" s="403">
        <v>0</v>
      </c>
      <c r="X42" s="402">
        <v>6</v>
      </c>
      <c r="Y42" s="403">
        <v>0</v>
      </c>
      <c r="Z42" s="402">
        <v>5</v>
      </c>
      <c r="AA42" s="403">
        <v>2</v>
      </c>
      <c r="AB42" s="402">
        <v>5</v>
      </c>
      <c r="AC42" s="403">
        <v>2</v>
      </c>
      <c r="AD42" s="402">
        <v>2</v>
      </c>
      <c r="AE42" s="403">
        <v>1</v>
      </c>
      <c r="AF42" s="462">
        <v>2</v>
      </c>
      <c r="AG42" s="468">
        <v>0</v>
      </c>
      <c r="AH42" s="414">
        <v>1</v>
      </c>
      <c r="AI42" s="403">
        <v>0</v>
      </c>
      <c r="AJ42" s="462">
        <v>1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8">
        <f t="shared" si="28"/>
        <v>0</v>
      </c>
      <c r="DL42" s="1038">
        <f t="shared" si="29"/>
        <v>0</v>
      </c>
      <c r="DM42" s="1038">
        <f>IF($D$36&gt;=$AH$36,0,1)</f>
        <v>0</v>
      </c>
      <c r="DN42" s="1038">
        <f t="shared" si="30"/>
        <v>0</v>
      </c>
      <c r="DO42" s="1038">
        <f t="shared" si="19"/>
        <v>0</v>
      </c>
      <c r="DP42" s="1038">
        <f t="shared" si="20"/>
        <v>0</v>
      </c>
    </row>
    <row r="43" spans="1:148" ht="17.100000000000001" customHeight="1" x14ac:dyDescent="0.15">
      <c r="A43" s="1063" t="s">
        <v>531</v>
      </c>
      <c r="B43" s="605"/>
      <c r="C43" s="865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93"/>
    </row>
    <row r="44" spans="1:148" ht="20.25" customHeight="1" x14ac:dyDescent="0.15">
      <c r="A44" s="1978" t="s">
        <v>532</v>
      </c>
      <c r="B44" s="1979"/>
      <c r="C44" s="1950" t="s">
        <v>502</v>
      </c>
      <c r="D44" s="1951"/>
      <c r="E44" s="1952"/>
      <c r="F44" s="1956" t="s">
        <v>381</v>
      </c>
      <c r="G44" s="1945"/>
      <c r="H44" s="1945"/>
      <c r="I44" s="1945"/>
      <c r="J44" s="1945"/>
      <c r="K44" s="1945"/>
      <c r="L44" s="1945"/>
      <c r="M44" s="1945"/>
      <c r="N44" s="1945"/>
      <c r="O44" s="1945"/>
      <c r="P44" s="1945"/>
      <c r="Q44" s="1945"/>
      <c r="R44" s="1945"/>
      <c r="S44" s="1945"/>
      <c r="T44" s="1945"/>
      <c r="U44" s="1945"/>
      <c r="V44" s="1945"/>
      <c r="W44" s="1945"/>
      <c r="X44" s="1945"/>
      <c r="Y44" s="1945"/>
      <c r="Z44" s="1945"/>
      <c r="AA44" s="1945"/>
      <c r="AB44" s="1945"/>
      <c r="AC44" s="1945"/>
      <c r="AD44" s="1945"/>
      <c r="AE44" s="1945"/>
      <c r="AF44" s="1945"/>
      <c r="AG44" s="1882"/>
      <c r="AH44" s="1696" t="s">
        <v>56</v>
      </c>
      <c r="AI44" s="1653"/>
      <c r="AJ44" s="1700" t="s">
        <v>57</v>
      </c>
      <c r="AK44" s="1653"/>
      <c r="CA44" s="1992"/>
      <c r="CB44" s="1992"/>
      <c r="CC44" s="1992"/>
      <c r="CD44" s="1992"/>
      <c r="CI44" s="1992"/>
      <c r="CJ44" s="1992"/>
      <c r="DK44" s="1992"/>
      <c r="DL44" s="1992"/>
      <c r="DM44" s="1992"/>
      <c r="DN44" s="1992"/>
      <c r="DU44" s="184"/>
      <c r="DV44" s="184"/>
    </row>
    <row r="45" spans="1:148" ht="18.75" customHeight="1" x14ac:dyDescent="0.15">
      <c r="A45" s="1980"/>
      <c r="B45" s="1981"/>
      <c r="C45" s="1953"/>
      <c r="D45" s="1954"/>
      <c r="E45" s="1955"/>
      <c r="F45" s="1972" t="s">
        <v>62</v>
      </c>
      <c r="G45" s="1973"/>
      <c r="H45" s="2009" t="s">
        <v>63</v>
      </c>
      <c r="I45" s="2010"/>
      <c r="J45" s="1875" t="s">
        <v>64</v>
      </c>
      <c r="K45" s="1875"/>
      <c r="L45" s="1648" t="s">
        <v>65</v>
      </c>
      <c r="M45" s="1650"/>
      <c r="N45" s="1875" t="s">
        <v>66</v>
      </c>
      <c r="O45" s="1875"/>
      <c r="P45" s="1648" t="s">
        <v>67</v>
      </c>
      <c r="Q45" s="1650"/>
      <c r="R45" s="1875" t="s">
        <v>68</v>
      </c>
      <c r="S45" s="1875"/>
      <c r="T45" s="1648" t="s">
        <v>69</v>
      </c>
      <c r="U45" s="1650"/>
      <c r="V45" s="1875" t="s">
        <v>70</v>
      </c>
      <c r="W45" s="1875"/>
      <c r="X45" s="1648" t="s">
        <v>71</v>
      </c>
      <c r="Y45" s="1650"/>
      <c r="Z45" s="1876" t="s">
        <v>72</v>
      </c>
      <c r="AA45" s="1877"/>
      <c r="AB45" s="1876" t="s">
        <v>411</v>
      </c>
      <c r="AC45" s="1877"/>
      <c r="AD45" s="1876" t="s">
        <v>412</v>
      </c>
      <c r="AE45" s="1877"/>
      <c r="AF45" s="1876" t="s">
        <v>413</v>
      </c>
      <c r="AG45" s="1877"/>
      <c r="AH45" s="1698"/>
      <c r="AI45" s="1654"/>
      <c r="AJ45" s="1701"/>
      <c r="AK45" s="1654"/>
      <c r="CA45" s="1992"/>
      <c r="CB45" s="1992"/>
      <c r="CC45" s="1992"/>
      <c r="CD45" s="1992"/>
      <c r="CI45" s="1992"/>
      <c r="CJ45" s="1992"/>
      <c r="DK45" s="1992"/>
      <c r="DL45" s="1992"/>
      <c r="DM45" s="1992"/>
      <c r="DN45" s="1992"/>
      <c r="DU45" s="184"/>
      <c r="DV45" s="184"/>
    </row>
    <row r="46" spans="1:148" ht="32.25" customHeight="1" x14ac:dyDescent="0.15">
      <c r="A46" s="1982"/>
      <c r="B46" s="1983"/>
      <c r="C46" s="1458" t="s">
        <v>414</v>
      </c>
      <c r="D46" s="1487" t="s">
        <v>91</v>
      </c>
      <c r="E46" s="1488" t="s">
        <v>231</v>
      </c>
      <c r="F46" s="1216" t="s">
        <v>91</v>
      </c>
      <c r="G46" s="1488" t="s">
        <v>231</v>
      </c>
      <c r="H46" s="1216" t="s">
        <v>91</v>
      </c>
      <c r="I46" s="1488" t="s">
        <v>231</v>
      </c>
      <c r="J46" s="1216" t="s">
        <v>91</v>
      </c>
      <c r="K46" s="1488" t="s">
        <v>231</v>
      </c>
      <c r="L46" s="1216" t="s">
        <v>91</v>
      </c>
      <c r="M46" s="1488" t="s">
        <v>231</v>
      </c>
      <c r="N46" s="1216" t="s">
        <v>91</v>
      </c>
      <c r="O46" s="1488" t="s">
        <v>231</v>
      </c>
      <c r="P46" s="1216" t="s">
        <v>91</v>
      </c>
      <c r="Q46" s="1488" t="s">
        <v>231</v>
      </c>
      <c r="R46" s="1216" t="s">
        <v>91</v>
      </c>
      <c r="S46" s="1488" t="s">
        <v>231</v>
      </c>
      <c r="T46" s="1216" t="s">
        <v>91</v>
      </c>
      <c r="U46" s="1488" t="s">
        <v>231</v>
      </c>
      <c r="V46" s="1216" t="s">
        <v>91</v>
      </c>
      <c r="W46" s="1488" t="s">
        <v>231</v>
      </c>
      <c r="X46" s="1216" t="s">
        <v>91</v>
      </c>
      <c r="Y46" s="1488" t="s">
        <v>231</v>
      </c>
      <c r="Z46" s="1216" t="s">
        <v>415</v>
      </c>
      <c r="AA46" s="1488" t="s">
        <v>231</v>
      </c>
      <c r="AB46" s="1216" t="s">
        <v>415</v>
      </c>
      <c r="AC46" s="1488" t="s">
        <v>231</v>
      </c>
      <c r="AD46" s="1216" t="s">
        <v>415</v>
      </c>
      <c r="AE46" s="1488" t="s">
        <v>231</v>
      </c>
      <c r="AF46" s="1213" t="s">
        <v>415</v>
      </c>
      <c r="AG46" s="871" t="s">
        <v>231</v>
      </c>
      <c r="AH46" s="873" t="s">
        <v>91</v>
      </c>
      <c r="AI46" s="872" t="s">
        <v>231</v>
      </c>
      <c r="AJ46" s="1493" t="s">
        <v>91</v>
      </c>
      <c r="AK46" s="872" t="s">
        <v>231</v>
      </c>
      <c r="CA46" s="100"/>
      <c r="CB46" s="100"/>
      <c r="CC46" s="100"/>
      <c r="CD46" s="100"/>
      <c r="CI46" s="1055"/>
      <c r="CJ46" s="1055"/>
      <c r="DK46" s="100"/>
      <c r="DL46" s="100"/>
      <c r="DM46" s="100"/>
      <c r="DN46" s="100"/>
      <c r="DU46" s="1055"/>
      <c r="DV46" s="1055"/>
    </row>
    <row r="47" spans="1:148" ht="15" customHeight="1" x14ac:dyDescent="0.15">
      <c r="A47" s="1495" t="s">
        <v>533</v>
      </c>
      <c r="B47" s="1496"/>
      <c r="C47" s="1998"/>
      <c r="D47" s="1999"/>
      <c r="E47" s="1999"/>
      <c r="F47" s="1999"/>
      <c r="G47" s="1999"/>
      <c r="H47" s="1999"/>
      <c r="I47" s="1999"/>
      <c r="J47" s="1999"/>
      <c r="K47" s="1999"/>
      <c r="L47" s="1999"/>
      <c r="M47" s="1999"/>
      <c r="N47" s="1999"/>
      <c r="O47" s="1999"/>
      <c r="P47" s="1999"/>
      <c r="Q47" s="1999"/>
      <c r="R47" s="1999"/>
      <c r="S47" s="1999"/>
      <c r="T47" s="1999"/>
      <c r="U47" s="1999"/>
      <c r="V47" s="1999"/>
      <c r="W47" s="1999"/>
      <c r="X47" s="1999"/>
      <c r="Y47" s="1999"/>
      <c r="Z47" s="1999"/>
      <c r="AA47" s="1999"/>
      <c r="AB47" s="1999"/>
      <c r="AC47" s="1999"/>
      <c r="AD47" s="1999"/>
      <c r="AE47" s="1999"/>
      <c r="AF47" s="1999"/>
      <c r="AG47" s="1999"/>
      <c r="AH47" s="1999"/>
      <c r="AI47" s="1999"/>
      <c r="AJ47" s="1999"/>
      <c r="AK47" s="2000"/>
    </row>
    <row r="48" spans="1:148" ht="15" customHeight="1" x14ac:dyDescent="0.15">
      <c r="A48" s="1964" t="s">
        <v>534</v>
      </c>
      <c r="B48" s="1965"/>
      <c r="C48" s="1136">
        <f>SUM(D48:E48)</f>
        <v>1084</v>
      </c>
      <c r="D48" s="391">
        <f>+F48+H48+J48+L48+N48+P48+R48+T48+V48+X48+Z48+AB48+AD48+AF48</f>
        <v>412</v>
      </c>
      <c r="E48" s="874">
        <f>+G48+I48+K48+M48+O48+Q48+S48+U48+W48+Y48+AA48+AC48+AE48+AG48</f>
        <v>672</v>
      </c>
      <c r="F48" s="393">
        <v>0</v>
      </c>
      <c r="G48" s="394">
        <v>0</v>
      </c>
      <c r="H48" s="415">
        <v>2</v>
      </c>
      <c r="I48" s="416">
        <v>0</v>
      </c>
      <c r="J48" s="415">
        <v>1</v>
      </c>
      <c r="K48" s="416">
        <v>3</v>
      </c>
      <c r="L48" s="415">
        <v>6</v>
      </c>
      <c r="M48" s="416">
        <v>13</v>
      </c>
      <c r="N48" s="415">
        <v>13</v>
      </c>
      <c r="O48" s="416">
        <v>13</v>
      </c>
      <c r="P48" s="415">
        <v>12</v>
      </c>
      <c r="Q48" s="416">
        <v>15</v>
      </c>
      <c r="R48" s="415">
        <v>24</v>
      </c>
      <c r="S48" s="416">
        <v>40</v>
      </c>
      <c r="T48" s="415">
        <v>40</v>
      </c>
      <c r="U48" s="416">
        <v>64</v>
      </c>
      <c r="V48" s="415">
        <v>49</v>
      </c>
      <c r="W48" s="416">
        <v>95</v>
      </c>
      <c r="X48" s="415">
        <v>76</v>
      </c>
      <c r="Y48" s="416">
        <v>121</v>
      </c>
      <c r="Z48" s="415">
        <v>74</v>
      </c>
      <c r="AA48" s="416">
        <v>116</v>
      </c>
      <c r="AB48" s="415">
        <v>50</v>
      </c>
      <c r="AC48" s="416">
        <v>76</v>
      </c>
      <c r="AD48" s="415">
        <v>38</v>
      </c>
      <c r="AE48" s="416">
        <v>53</v>
      </c>
      <c r="AF48" s="466">
        <v>27</v>
      </c>
      <c r="AG48" s="404">
        <v>63</v>
      </c>
      <c r="AH48" s="466">
        <v>66</v>
      </c>
      <c r="AI48" s="416">
        <v>107</v>
      </c>
      <c r="AJ48" s="466">
        <v>1</v>
      </c>
      <c r="AK48" s="416">
        <v>4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8">
        <f t="shared" ref="DK48:DK95" si="48">IF(AND(D48&gt;0,OR(AH48="")),1,IF(AH48&gt;D48,1,0))</f>
        <v>0</v>
      </c>
      <c r="DL48" s="1038">
        <f t="shared" ref="DL48:DL95" si="49">IF(AND(E48&gt;0,OR(AI48="")),1,IF(AI48&gt;E48,1,0))</f>
        <v>0</v>
      </c>
      <c r="DM48" s="1038">
        <f t="shared" ref="DM48:DM95" si="50">IF(AND(D48&gt;0,OR(AJ48="")),1,IF(AJ48&gt;D48,1,0))</f>
        <v>0</v>
      </c>
      <c r="DN48" s="1038">
        <f t="shared" ref="DN48:DN95" si="51">IF(AND(E48&gt;0,OR(AK48="")),1,IF(AK48&gt;E48,1,0))</f>
        <v>0</v>
      </c>
    </row>
    <row r="49" spans="1:118" ht="15" customHeight="1" x14ac:dyDescent="0.15">
      <c r="A49" s="1957" t="s">
        <v>535</v>
      </c>
      <c r="B49" s="1958"/>
      <c r="C49" s="1138">
        <f t="shared" ref="C49:C72" si="52">SUM(D49:E49)</f>
        <v>1229</v>
      </c>
      <c r="D49" s="396">
        <f t="shared" ref="D49:D72" si="53">+F49+H49+J49+L49+N49+P49+R49+T49+V49+X49+Z49+AB49+AD49+AF49</f>
        <v>455</v>
      </c>
      <c r="E49" s="442">
        <f t="shared" ref="E49:E72" si="54">+G49+I49+K49+M49+O49+Q49+S49+U49+W49+Y49+AA49+AC49+AE49+AG49</f>
        <v>774</v>
      </c>
      <c r="F49" s="397">
        <v>0</v>
      </c>
      <c r="G49" s="398">
        <v>0</v>
      </c>
      <c r="H49" s="397">
        <v>2</v>
      </c>
      <c r="I49" s="398">
        <v>0</v>
      </c>
      <c r="J49" s="397">
        <v>1</v>
      </c>
      <c r="K49" s="398">
        <v>4</v>
      </c>
      <c r="L49" s="397">
        <v>6</v>
      </c>
      <c r="M49" s="398">
        <v>13</v>
      </c>
      <c r="N49" s="397">
        <v>13</v>
      </c>
      <c r="O49" s="398">
        <v>19</v>
      </c>
      <c r="P49" s="397">
        <v>13</v>
      </c>
      <c r="Q49" s="398">
        <v>20</v>
      </c>
      <c r="R49" s="397">
        <v>27</v>
      </c>
      <c r="S49" s="398">
        <v>51</v>
      </c>
      <c r="T49" s="397">
        <v>41</v>
      </c>
      <c r="U49" s="398">
        <v>73</v>
      </c>
      <c r="V49" s="397">
        <v>55</v>
      </c>
      <c r="W49" s="398">
        <v>108</v>
      </c>
      <c r="X49" s="397">
        <v>86</v>
      </c>
      <c r="Y49" s="398">
        <v>138</v>
      </c>
      <c r="Z49" s="397">
        <v>82</v>
      </c>
      <c r="AA49" s="398">
        <v>126</v>
      </c>
      <c r="AB49" s="397">
        <v>56</v>
      </c>
      <c r="AC49" s="398">
        <v>89</v>
      </c>
      <c r="AD49" s="397">
        <v>41</v>
      </c>
      <c r="AE49" s="398">
        <v>63</v>
      </c>
      <c r="AF49" s="463">
        <v>32</v>
      </c>
      <c r="AG49" s="405">
        <v>70</v>
      </c>
      <c r="AH49" s="466">
        <v>74</v>
      </c>
      <c r="AI49" s="416">
        <v>122</v>
      </c>
      <c r="AJ49" s="466">
        <v>2</v>
      </c>
      <c r="AK49" s="416">
        <v>7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8">
        <f t="shared" si="48"/>
        <v>0</v>
      </c>
      <c r="DL49" s="1038">
        <f t="shared" si="49"/>
        <v>0</v>
      </c>
      <c r="DM49" s="1038">
        <f t="shared" si="50"/>
        <v>0</v>
      </c>
      <c r="DN49" s="1038">
        <f t="shared" si="51"/>
        <v>0</v>
      </c>
    </row>
    <row r="50" spans="1:118" ht="15" customHeight="1" x14ac:dyDescent="0.15">
      <c r="A50" s="1948" t="s">
        <v>536</v>
      </c>
      <c r="B50" s="1949"/>
      <c r="C50" s="1133">
        <f>SUM(D50:E50)</f>
        <v>1074</v>
      </c>
      <c r="D50" s="386">
        <f>+F50+H50+J50+L50+N50+P50+R50+T50+V50+X50+Z50+AB50+AD50+AF50</f>
        <v>405</v>
      </c>
      <c r="E50" s="452">
        <f>+G50+I50+K50+M50+O50+Q50+S50+U50+W50+Y50+AA50+AC50+AE50+AG50</f>
        <v>669</v>
      </c>
      <c r="F50" s="397">
        <v>0</v>
      </c>
      <c r="G50" s="398">
        <v>0</v>
      </c>
      <c r="H50" s="397">
        <v>2</v>
      </c>
      <c r="I50" s="398">
        <v>0</v>
      </c>
      <c r="J50" s="397">
        <v>1</v>
      </c>
      <c r="K50" s="398">
        <v>3</v>
      </c>
      <c r="L50" s="397">
        <v>6</v>
      </c>
      <c r="M50" s="398">
        <v>13</v>
      </c>
      <c r="N50" s="397">
        <v>13</v>
      </c>
      <c r="O50" s="398">
        <v>13</v>
      </c>
      <c r="P50" s="397">
        <v>11</v>
      </c>
      <c r="Q50" s="398">
        <v>15</v>
      </c>
      <c r="R50" s="397">
        <v>24</v>
      </c>
      <c r="S50" s="398">
        <v>40</v>
      </c>
      <c r="T50" s="397">
        <v>37</v>
      </c>
      <c r="U50" s="398">
        <v>62</v>
      </c>
      <c r="V50" s="397">
        <v>49</v>
      </c>
      <c r="W50" s="398">
        <v>95</v>
      </c>
      <c r="X50" s="397">
        <v>74</v>
      </c>
      <c r="Y50" s="398">
        <v>121</v>
      </c>
      <c r="Z50" s="397">
        <v>73</v>
      </c>
      <c r="AA50" s="398">
        <v>115</v>
      </c>
      <c r="AB50" s="397">
        <v>50</v>
      </c>
      <c r="AC50" s="398">
        <v>76</v>
      </c>
      <c r="AD50" s="397">
        <v>38</v>
      </c>
      <c r="AE50" s="398">
        <v>53</v>
      </c>
      <c r="AF50" s="463">
        <v>27</v>
      </c>
      <c r="AG50" s="405">
        <v>63</v>
      </c>
      <c r="AH50" s="466">
        <v>65</v>
      </c>
      <c r="AI50" s="416">
        <v>107</v>
      </c>
      <c r="AJ50" s="466">
        <v>1</v>
      </c>
      <c r="AK50" s="416">
        <v>4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8">
        <f t="shared" si="48"/>
        <v>0</v>
      </c>
      <c r="DL50" s="1038">
        <f t="shared" si="49"/>
        <v>0</v>
      </c>
      <c r="DM50" s="1038">
        <f t="shared" si="50"/>
        <v>0</v>
      </c>
      <c r="DN50" s="1038">
        <f t="shared" si="51"/>
        <v>0</v>
      </c>
    </row>
    <row r="51" spans="1:118" ht="15" customHeight="1" x14ac:dyDescent="0.15">
      <c r="A51" s="1948" t="s">
        <v>537</v>
      </c>
      <c r="B51" s="1949"/>
      <c r="C51" s="1133">
        <f t="shared" si="52"/>
        <v>381</v>
      </c>
      <c r="D51" s="386">
        <f t="shared" si="53"/>
        <v>144</v>
      </c>
      <c r="E51" s="452">
        <f t="shared" si="54"/>
        <v>237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1</v>
      </c>
      <c r="L51" s="397">
        <v>1</v>
      </c>
      <c r="M51" s="398">
        <v>3</v>
      </c>
      <c r="N51" s="397">
        <v>5</v>
      </c>
      <c r="O51" s="398">
        <v>5</v>
      </c>
      <c r="P51" s="397">
        <v>5</v>
      </c>
      <c r="Q51" s="398">
        <v>7</v>
      </c>
      <c r="R51" s="397">
        <v>8</v>
      </c>
      <c r="S51" s="398">
        <v>10</v>
      </c>
      <c r="T51" s="397">
        <v>14</v>
      </c>
      <c r="U51" s="398">
        <v>18</v>
      </c>
      <c r="V51" s="397">
        <v>22</v>
      </c>
      <c r="W51" s="398">
        <v>38</v>
      </c>
      <c r="X51" s="397">
        <v>26</v>
      </c>
      <c r="Y51" s="398">
        <v>47</v>
      </c>
      <c r="Z51" s="397">
        <v>21</v>
      </c>
      <c r="AA51" s="398">
        <v>42</v>
      </c>
      <c r="AB51" s="397">
        <v>17</v>
      </c>
      <c r="AC51" s="398">
        <v>33</v>
      </c>
      <c r="AD51" s="397">
        <v>17</v>
      </c>
      <c r="AE51" s="398">
        <v>20</v>
      </c>
      <c r="AF51" s="463">
        <v>8</v>
      </c>
      <c r="AG51" s="405">
        <v>13</v>
      </c>
      <c r="AH51" s="466">
        <v>28</v>
      </c>
      <c r="AI51" s="416">
        <v>42</v>
      </c>
      <c r="AJ51" s="466">
        <v>0</v>
      </c>
      <c r="AK51" s="416">
        <v>1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8">
        <f t="shared" si="48"/>
        <v>0</v>
      </c>
      <c r="DL51" s="1038">
        <f t="shared" si="49"/>
        <v>0</v>
      </c>
      <c r="DM51" s="1038">
        <f t="shared" si="50"/>
        <v>0</v>
      </c>
      <c r="DN51" s="1038">
        <f t="shared" si="51"/>
        <v>0</v>
      </c>
    </row>
    <row r="52" spans="1:118" ht="15" customHeight="1" x14ac:dyDescent="0.15">
      <c r="A52" s="1957" t="s">
        <v>538</v>
      </c>
      <c r="B52" s="1958"/>
      <c r="C52" s="1310">
        <f t="shared" si="52"/>
        <v>548</v>
      </c>
      <c r="D52" s="388">
        <f t="shared" si="53"/>
        <v>179</v>
      </c>
      <c r="E52" s="866">
        <f t="shared" si="54"/>
        <v>369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4</v>
      </c>
      <c r="N52" s="397">
        <v>2</v>
      </c>
      <c r="O52" s="398">
        <v>8</v>
      </c>
      <c r="P52" s="397">
        <v>2</v>
      </c>
      <c r="Q52" s="398">
        <v>9</v>
      </c>
      <c r="R52" s="397">
        <v>5</v>
      </c>
      <c r="S52" s="398">
        <v>24</v>
      </c>
      <c r="T52" s="397">
        <v>20</v>
      </c>
      <c r="U52" s="398">
        <v>34</v>
      </c>
      <c r="V52" s="397">
        <v>14</v>
      </c>
      <c r="W52" s="398">
        <v>55</v>
      </c>
      <c r="X52" s="397">
        <v>28</v>
      </c>
      <c r="Y52" s="398">
        <v>66</v>
      </c>
      <c r="Z52" s="397">
        <v>36</v>
      </c>
      <c r="AA52" s="398">
        <v>60</v>
      </c>
      <c r="AB52" s="397">
        <v>34</v>
      </c>
      <c r="AC52" s="398">
        <v>44</v>
      </c>
      <c r="AD52" s="397">
        <v>20</v>
      </c>
      <c r="AE52" s="398">
        <v>33</v>
      </c>
      <c r="AF52" s="463">
        <v>18</v>
      </c>
      <c r="AG52" s="405">
        <v>32</v>
      </c>
      <c r="AH52" s="466">
        <v>25</v>
      </c>
      <c r="AI52" s="416">
        <v>57</v>
      </c>
      <c r="AJ52" s="466">
        <v>1</v>
      </c>
      <c r="AK52" s="416">
        <v>3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8">
        <f t="shared" si="48"/>
        <v>0</v>
      </c>
      <c r="DL52" s="1038">
        <f t="shared" si="49"/>
        <v>0</v>
      </c>
      <c r="DM52" s="1038">
        <f t="shared" si="50"/>
        <v>0</v>
      </c>
      <c r="DN52" s="1038">
        <f t="shared" si="51"/>
        <v>0</v>
      </c>
    </row>
    <row r="53" spans="1:118" ht="15" customHeight="1" x14ac:dyDescent="0.15">
      <c r="A53" s="1957" t="s">
        <v>539</v>
      </c>
      <c r="B53" s="1958"/>
      <c r="C53" s="1138">
        <f t="shared" si="52"/>
        <v>286</v>
      </c>
      <c r="D53" s="396">
        <f t="shared" si="53"/>
        <v>116</v>
      </c>
      <c r="E53" s="446">
        <f t="shared" si="54"/>
        <v>170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1</v>
      </c>
      <c r="L53" s="397">
        <v>0</v>
      </c>
      <c r="M53" s="398">
        <v>2</v>
      </c>
      <c r="N53" s="397">
        <v>3</v>
      </c>
      <c r="O53" s="398">
        <v>2</v>
      </c>
      <c r="P53" s="397">
        <v>1</v>
      </c>
      <c r="Q53" s="398">
        <v>0</v>
      </c>
      <c r="R53" s="397">
        <v>4</v>
      </c>
      <c r="S53" s="398">
        <v>9</v>
      </c>
      <c r="T53" s="397">
        <v>9</v>
      </c>
      <c r="U53" s="398">
        <v>14</v>
      </c>
      <c r="V53" s="397">
        <v>16</v>
      </c>
      <c r="W53" s="398">
        <v>23</v>
      </c>
      <c r="X53" s="397">
        <v>20</v>
      </c>
      <c r="Y53" s="398">
        <v>36</v>
      </c>
      <c r="Z53" s="397">
        <v>18</v>
      </c>
      <c r="AA53" s="398">
        <v>31</v>
      </c>
      <c r="AB53" s="397">
        <v>23</v>
      </c>
      <c r="AC53" s="398">
        <v>27</v>
      </c>
      <c r="AD53" s="397">
        <v>15</v>
      </c>
      <c r="AE53" s="398">
        <v>13</v>
      </c>
      <c r="AF53" s="463">
        <v>7</v>
      </c>
      <c r="AG53" s="405">
        <v>12</v>
      </c>
      <c r="AH53" s="466">
        <v>20</v>
      </c>
      <c r="AI53" s="416">
        <v>25</v>
      </c>
      <c r="AJ53" s="466">
        <v>0</v>
      </c>
      <c r="AK53" s="416">
        <v>1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8">
        <f t="shared" si="48"/>
        <v>0</v>
      </c>
      <c r="DL53" s="1038">
        <f t="shared" si="49"/>
        <v>0</v>
      </c>
      <c r="DM53" s="1038">
        <f t="shared" si="50"/>
        <v>0</v>
      </c>
      <c r="DN53" s="1038">
        <f t="shared" si="51"/>
        <v>0</v>
      </c>
    </row>
    <row r="54" spans="1:118" ht="15" customHeight="1" x14ac:dyDescent="0.15">
      <c r="A54" s="1957" t="s">
        <v>540</v>
      </c>
      <c r="B54" s="1958"/>
      <c r="C54" s="1138">
        <f t="shared" si="52"/>
        <v>445</v>
      </c>
      <c r="D54" s="396">
        <f t="shared" si="53"/>
        <v>175</v>
      </c>
      <c r="E54" s="446">
        <f t="shared" si="54"/>
        <v>270</v>
      </c>
      <c r="F54" s="397">
        <v>0</v>
      </c>
      <c r="G54" s="398">
        <v>0</v>
      </c>
      <c r="H54" s="397">
        <v>1</v>
      </c>
      <c r="I54" s="398">
        <v>0</v>
      </c>
      <c r="J54" s="397">
        <v>0</v>
      </c>
      <c r="K54" s="398">
        <v>1</v>
      </c>
      <c r="L54" s="397">
        <v>4</v>
      </c>
      <c r="M54" s="398">
        <v>4</v>
      </c>
      <c r="N54" s="397">
        <v>5</v>
      </c>
      <c r="O54" s="398">
        <v>3</v>
      </c>
      <c r="P54" s="397">
        <v>8</v>
      </c>
      <c r="Q54" s="398">
        <v>11</v>
      </c>
      <c r="R54" s="397">
        <v>9</v>
      </c>
      <c r="S54" s="398">
        <v>17</v>
      </c>
      <c r="T54" s="397">
        <v>16</v>
      </c>
      <c r="U54" s="398">
        <v>38</v>
      </c>
      <c r="V54" s="397">
        <v>26</v>
      </c>
      <c r="W54" s="398">
        <v>47</v>
      </c>
      <c r="X54" s="397">
        <v>31</v>
      </c>
      <c r="Y54" s="398">
        <v>48</v>
      </c>
      <c r="Z54" s="397">
        <v>31</v>
      </c>
      <c r="AA54" s="398">
        <v>42</v>
      </c>
      <c r="AB54" s="397">
        <v>16</v>
      </c>
      <c r="AC54" s="398">
        <v>26</v>
      </c>
      <c r="AD54" s="397">
        <v>15</v>
      </c>
      <c r="AE54" s="398">
        <v>16</v>
      </c>
      <c r="AF54" s="463">
        <v>13</v>
      </c>
      <c r="AG54" s="405">
        <v>17</v>
      </c>
      <c r="AH54" s="466">
        <v>27</v>
      </c>
      <c r="AI54" s="416">
        <v>51</v>
      </c>
      <c r="AJ54" s="466">
        <v>1</v>
      </c>
      <c r="AK54" s="416">
        <v>3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8">
        <f t="shared" si="48"/>
        <v>0</v>
      </c>
      <c r="DL54" s="1038">
        <f t="shared" si="49"/>
        <v>0</v>
      </c>
      <c r="DM54" s="1038">
        <f t="shared" si="50"/>
        <v>0</v>
      </c>
      <c r="DN54" s="1038">
        <f t="shared" si="51"/>
        <v>0</v>
      </c>
    </row>
    <row r="55" spans="1:118" ht="15" customHeight="1" x14ac:dyDescent="0.15">
      <c r="A55" s="1957" t="s">
        <v>541</v>
      </c>
      <c r="B55" s="1958"/>
      <c r="C55" s="1133">
        <f t="shared" si="52"/>
        <v>58</v>
      </c>
      <c r="D55" s="386">
        <f t="shared" si="53"/>
        <v>28</v>
      </c>
      <c r="E55" s="452">
        <f t="shared" si="54"/>
        <v>30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1</v>
      </c>
      <c r="R55" s="415">
        <v>2</v>
      </c>
      <c r="S55" s="416">
        <v>0</v>
      </c>
      <c r="T55" s="415">
        <v>2</v>
      </c>
      <c r="U55" s="416">
        <v>2</v>
      </c>
      <c r="V55" s="415">
        <v>2</v>
      </c>
      <c r="W55" s="416">
        <v>4</v>
      </c>
      <c r="X55" s="415">
        <v>7</v>
      </c>
      <c r="Y55" s="416">
        <v>6</v>
      </c>
      <c r="Z55" s="415">
        <v>3</v>
      </c>
      <c r="AA55" s="416">
        <v>3</v>
      </c>
      <c r="AB55" s="415">
        <v>3</v>
      </c>
      <c r="AC55" s="416">
        <v>4</v>
      </c>
      <c r="AD55" s="415">
        <v>4</v>
      </c>
      <c r="AE55" s="416">
        <v>4</v>
      </c>
      <c r="AF55" s="466">
        <v>5</v>
      </c>
      <c r="AG55" s="417">
        <v>6</v>
      </c>
      <c r="AH55" s="466">
        <v>6</v>
      </c>
      <c r="AI55" s="416">
        <v>7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8">
        <f t="shared" si="48"/>
        <v>0</v>
      </c>
      <c r="DL55" s="1038">
        <f t="shared" si="49"/>
        <v>0</v>
      </c>
      <c r="DM55" s="1038">
        <f t="shared" si="50"/>
        <v>0</v>
      </c>
      <c r="DN55" s="1038">
        <f t="shared" si="51"/>
        <v>0</v>
      </c>
    </row>
    <row r="56" spans="1:118" ht="15" customHeight="1" x14ac:dyDescent="0.15">
      <c r="A56" s="2001" t="s">
        <v>542</v>
      </c>
      <c r="B56" s="2002"/>
      <c r="C56" s="1138">
        <f t="shared" si="52"/>
        <v>367</v>
      </c>
      <c r="D56" s="396">
        <f t="shared" si="53"/>
        <v>155</v>
      </c>
      <c r="E56" s="446">
        <f t="shared" si="54"/>
        <v>212</v>
      </c>
      <c r="F56" s="397">
        <v>0</v>
      </c>
      <c r="G56" s="398">
        <v>0</v>
      </c>
      <c r="H56" s="397">
        <v>1</v>
      </c>
      <c r="I56" s="398">
        <v>0</v>
      </c>
      <c r="J56" s="397">
        <v>0</v>
      </c>
      <c r="K56" s="398">
        <v>1</v>
      </c>
      <c r="L56" s="397">
        <v>5</v>
      </c>
      <c r="M56" s="398">
        <v>6</v>
      </c>
      <c r="N56" s="397">
        <v>4</v>
      </c>
      <c r="O56" s="398">
        <v>9</v>
      </c>
      <c r="P56" s="397">
        <v>9</v>
      </c>
      <c r="Q56" s="398">
        <v>9</v>
      </c>
      <c r="R56" s="397">
        <v>11</v>
      </c>
      <c r="S56" s="398">
        <v>22</v>
      </c>
      <c r="T56" s="397">
        <v>15</v>
      </c>
      <c r="U56" s="398">
        <v>29</v>
      </c>
      <c r="V56" s="397">
        <v>20</v>
      </c>
      <c r="W56" s="398">
        <v>35</v>
      </c>
      <c r="X56" s="397">
        <v>32</v>
      </c>
      <c r="Y56" s="398">
        <v>36</v>
      </c>
      <c r="Z56" s="397">
        <v>25</v>
      </c>
      <c r="AA56" s="398">
        <v>33</v>
      </c>
      <c r="AB56" s="397">
        <v>14</v>
      </c>
      <c r="AC56" s="398">
        <v>15</v>
      </c>
      <c r="AD56" s="397">
        <v>10</v>
      </c>
      <c r="AE56" s="398">
        <v>9</v>
      </c>
      <c r="AF56" s="463">
        <v>9</v>
      </c>
      <c r="AG56" s="405">
        <v>8</v>
      </c>
      <c r="AH56" s="466">
        <v>21</v>
      </c>
      <c r="AI56" s="416">
        <v>40</v>
      </c>
      <c r="AJ56" s="466">
        <v>1</v>
      </c>
      <c r="AK56" s="416">
        <v>4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8">
        <f t="shared" si="48"/>
        <v>0</v>
      </c>
      <c r="DL56" s="1038">
        <f t="shared" si="49"/>
        <v>0</v>
      </c>
      <c r="DM56" s="1038">
        <f t="shared" si="50"/>
        <v>0</v>
      </c>
      <c r="DN56" s="1038">
        <f t="shared" si="51"/>
        <v>0</v>
      </c>
    </row>
    <row r="57" spans="1:118" ht="15" customHeight="1" x14ac:dyDescent="0.15">
      <c r="A57" s="2001" t="s">
        <v>528</v>
      </c>
      <c r="B57" s="2002"/>
      <c r="C57" s="1133">
        <f>SUM(D57:E57)</f>
        <v>237</v>
      </c>
      <c r="D57" s="386">
        <f t="shared" ref="D57" si="60">+F57+H57+J57+L57+N57+P57+R57+T57+V57+X57+Z57+AB57+AD57+AF57</f>
        <v>113</v>
      </c>
      <c r="E57" s="452">
        <f t="shared" ref="E57" si="61">+G57+I57+K57+M57+O57+Q57+S57+U57+W57+Y57+AA57+AC57+AE57+AG57</f>
        <v>124</v>
      </c>
      <c r="F57" s="415">
        <v>0</v>
      </c>
      <c r="G57" s="416">
        <v>0</v>
      </c>
      <c r="H57" s="415">
        <v>2</v>
      </c>
      <c r="I57" s="416">
        <v>0</v>
      </c>
      <c r="J57" s="415">
        <v>1</v>
      </c>
      <c r="K57" s="416">
        <v>3</v>
      </c>
      <c r="L57" s="415">
        <v>3</v>
      </c>
      <c r="M57" s="416">
        <v>7</v>
      </c>
      <c r="N57" s="415">
        <v>4</v>
      </c>
      <c r="O57" s="416">
        <v>11</v>
      </c>
      <c r="P57" s="415">
        <v>6</v>
      </c>
      <c r="Q57" s="416">
        <v>7</v>
      </c>
      <c r="R57" s="415">
        <v>5</v>
      </c>
      <c r="S57" s="416">
        <v>16</v>
      </c>
      <c r="T57" s="415">
        <v>19</v>
      </c>
      <c r="U57" s="416">
        <v>15</v>
      </c>
      <c r="V57" s="415">
        <v>17</v>
      </c>
      <c r="W57" s="416">
        <v>20</v>
      </c>
      <c r="X57" s="415">
        <v>20</v>
      </c>
      <c r="Y57" s="416">
        <v>18</v>
      </c>
      <c r="Z57" s="415">
        <v>18</v>
      </c>
      <c r="AA57" s="416">
        <v>15</v>
      </c>
      <c r="AB57" s="415">
        <v>10</v>
      </c>
      <c r="AC57" s="416">
        <v>6</v>
      </c>
      <c r="AD57" s="415">
        <v>4</v>
      </c>
      <c r="AE57" s="416">
        <v>3</v>
      </c>
      <c r="AF57" s="466">
        <v>4</v>
      </c>
      <c r="AG57" s="417">
        <v>3</v>
      </c>
      <c r="AH57" s="466">
        <v>11</v>
      </c>
      <c r="AI57" s="416">
        <v>12</v>
      </c>
      <c r="AJ57" s="466">
        <v>0</v>
      </c>
      <c r="AK57" s="416">
        <v>2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8">
        <f t="shared" si="48"/>
        <v>0</v>
      </c>
      <c r="DL57" s="1038">
        <f t="shared" si="49"/>
        <v>0</v>
      </c>
      <c r="DM57" s="1038">
        <f t="shared" si="50"/>
        <v>0</v>
      </c>
      <c r="DN57" s="1038">
        <f t="shared" si="51"/>
        <v>0</v>
      </c>
    </row>
    <row r="58" spans="1:118" ht="15" customHeight="1" x14ac:dyDescent="0.15">
      <c r="A58" s="1962" t="s">
        <v>543</v>
      </c>
      <c r="B58" s="1963"/>
      <c r="C58" s="1133">
        <f t="shared" si="52"/>
        <v>61</v>
      </c>
      <c r="D58" s="386">
        <f>+F58+H58+J58+L58+N58+P58+R58+T58+V58+X58+Z58+AB58+AD58+AF58</f>
        <v>27</v>
      </c>
      <c r="E58" s="441">
        <f>+G58+I58+K58+M58+O58+Q58+S58+U58+W58+Y58+AA58+AC58+AE58+AG58</f>
        <v>34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4</v>
      </c>
      <c r="T58" s="415">
        <v>1</v>
      </c>
      <c r="U58" s="416">
        <v>3</v>
      </c>
      <c r="V58" s="415">
        <v>7</v>
      </c>
      <c r="W58" s="416">
        <v>5</v>
      </c>
      <c r="X58" s="415">
        <v>2</v>
      </c>
      <c r="Y58" s="416">
        <v>6</v>
      </c>
      <c r="Z58" s="415">
        <v>3</v>
      </c>
      <c r="AA58" s="416">
        <v>6</v>
      </c>
      <c r="AB58" s="415">
        <v>3</v>
      </c>
      <c r="AC58" s="416">
        <v>2</v>
      </c>
      <c r="AD58" s="415">
        <v>3</v>
      </c>
      <c r="AE58" s="416">
        <v>3</v>
      </c>
      <c r="AF58" s="466">
        <v>8</v>
      </c>
      <c r="AG58" s="417">
        <v>5</v>
      </c>
      <c r="AH58" s="466">
        <v>6</v>
      </c>
      <c r="AI58" s="416">
        <v>7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8">
        <f t="shared" si="48"/>
        <v>0</v>
      </c>
      <c r="DL58" s="1038">
        <f t="shared" si="49"/>
        <v>0</v>
      </c>
      <c r="DM58" s="1038">
        <f t="shared" si="50"/>
        <v>0</v>
      </c>
      <c r="DN58" s="1038">
        <f t="shared" si="51"/>
        <v>0</v>
      </c>
    </row>
    <row r="59" spans="1:118" ht="15" customHeight="1" x14ac:dyDescent="0.15">
      <c r="A59" s="2001" t="s">
        <v>544</v>
      </c>
      <c r="B59" s="2002"/>
      <c r="C59" s="1310">
        <f t="shared" si="52"/>
        <v>1243</v>
      </c>
      <c r="D59" s="388">
        <f t="shared" si="53"/>
        <v>458</v>
      </c>
      <c r="E59" s="880">
        <f t="shared" si="54"/>
        <v>785</v>
      </c>
      <c r="F59" s="406">
        <v>0</v>
      </c>
      <c r="G59" s="407">
        <v>0</v>
      </c>
      <c r="H59" s="406">
        <v>2</v>
      </c>
      <c r="I59" s="407">
        <v>0</v>
      </c>
      <c r="J59" s="406">
        <v>1</v>
      </c>
      <c r="K59" s="407">
        <v>4</v>
      </c>
      <c r="L59" s="406">
        <v>6</v>
      </c>
      <c r="M59" s="407">
        <v>13</v>
      </c>
      <c r="N59" s="406">
        <v>12</v>
      </c>
      <c r="O59" s="407">
        <v>22</v>
      </c>
      <c r="P59" s="406">
        <v>13</v>
      </c>
      <c r="Q59" s="407">
        <v>19</v>
      </c>
      <c r="R59" s="406">
        <v>26</v>
      </c>
      <c r="S59" s="407">
        <v>50</v>
      </c>
      <c r="T59" s="406">
        <v>41</v>
      </c>
      <c r="U59" s="407">
        <v>76</v>
      </c>
      <c r="V59" s="406">
        <v>57</v>
      </c>
      <c r="W59" s="407">
        <v>105</v>
      </c>
      <c r="X59" s="406">
        <v>85</v>
      </c>
      <c r="Y59" s="407">
        <v>145</v>
      </c>
      <c r="Z59" s="406">
        <v>84</v>
      </c>
      <c r="AA59" s="407">
        <v>130</v>
      </c>
      <c r="AB59" s="406">
        <v>58</v>
      </c>
      <c r="AC59" s="407">
        <v>89</v>
      </c>
      <c r="AD59" s="406">
        <v>41</v>
      </c>
      <c r="AE59" s="407">
        <v>60</v>
      </c>
      <c r="AF59" s="656">
        <v>32</v>
      </c>
      <c r="AG59" s="408">
        <v>72</v>
      </c>
      <c r="AH59" s="656">
        <v>76</v>
      </c>
      <c r="AI59" s="407">
        <v>133</v>
      </c>
      <c r="AJ59" s="656">
        <v>2</v>
      </c>
      <c r="AK59" s="407">
        <v>8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8">
        <f t="shared" si="48"/>
        <v>0</v>
      </c>
      <c r="DL59" s="1038">
        <f t="shared" si="49"/>
        <v>0</v>
      </c>
      <c r="DM59" s="1038">
        <f t="shared" si="50"/>
        <v>0</v>
      </c>
      <c r="DN59" s="1038">
        <f t="shared" si="51"/>
        <v>0</v>
      </c>
    </row>
    <row r="60" spans="1:118" ht="15" customHeight="1" x14ac:dyDescent="0.15">
      <c r="A60" s="1946" t="s">
        <v>545</v>
      </c>
      <c r="B60" s="1947"/>
      <c r="C60" s="1134">
        <f>SUM(D60:E60)</f>
        <v>16</v>
      </c>
      <c r="D60" s="390">
        <f t="shared" ref="D60" si="62">+F60+H60+J60+L60+N60+P60+R60+T60+V60+X60+Z60+AB60+AD60+AF60</f>
        <v>8</v>
      </c>
      <c r="E60" s="444">
        <f t="shared" ref="E60" si="63">+G60+I60+K60+M60+O60+Q60+S60+U60+W60+Y60+AA60+AC60+AE60+AG60</f>
        <v>8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1</v>
      </c>
      <c r="Q60" s="403">
        <v>0</v>
      </c>
      <c r="R60" s="402">
        <v>1</v>
      </c>
      <c r="S60" s="403">
        <v>1</v>
      </c>
      <c r="T60" s="402">
        <v>0</v>
      </c>
      <c r="U60" s="403">
        <v>1</v>
      </c>
      <c r="V60" s="402">
        <v>1</v>
      </c>
      <c r="W60" s="403">
        <v>0</v>
      </c>
      <c r="X60" s="402">
        <v>1</v>
      </c>
      <c r="Y60" s="403">
        <v>3</v>
      </c>
      <c r="Z60" s="402">
        <v>1</v>
      </c>
      <c r="AA60" s="403">
        <v>2</v>
      </c>
      <c r="AB60" s="402">
        <v>1</v>
      </c>
      <c r="AC60" s="403">
        <v>0</v>
      </c>
      <c r="AD60" s="402">
        <v>1</v>
      </c>
      <c r="AE60" s="403">
        <v>1</v>
      </c>
      <c r="AF60" s="462">
        <v>1</v>
      </c>
      <c r="AG60" s="429">
        <v>0</v>
      </c>
      <c r="AH60" s="462">
        <v>1</v>
      </c>
      <c r="AI60" s="403">
        <v>1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8">
        <f t="shared" si="48"/>
        <v>0</v>
      </c>
      <c r="DL60" s="1038">
        <f t="shared" si="49"/>
        <v>0</v>
      </c>
      <c r="DM60" s="1038">
        <f t="shared" si="50"/>
        <v>0</v>
      </c>
      <c r="DN60" s="1038">
        <f t="shared" si="51"/>
        <v>0</v>
      </c>
    </row>
    <row r="61" spans="1:118" ht="15" customHeight="1" x14ac:dyDescent="0.15">
      <c r="A61" s="1943" t="s">
        <v>546</v>
      </c>
      <c r="B61" s="606" t="s">
        <v>547</v>
      </c>
      <c r="C61" s="1133">
        <f t="shared" si="52"/>
        <v>932</v>
      </c>
      <c r="D61" s="386">
        <f>+F61+H61+J61+L61+N61+P61+R61+T61+V61+X61+Z61+AB61+AD61+AF61</f>
        <v>326</v>
      </c>
      <c r="E61" s="452">
        <f>+G61+I61+K61+M61+O61+Q61+S61+U61+W61+Y61+AA61+AC61+AE61+AG61</f>
        <v>606</v>
      </c>
      <c r="F61" s="415">
        <v>0</v>
      </c>
      <c r="G61" s="416">
        <v>0</v>
      </c>
      <c r="H61" s="415">
        <v>1</v>
      </c>
      <c r="I61" s="416">
        <v>0</v>
      </c>
      <c r="J61" s="415">
        <v>1</v>
      </c>
      <c r="K61" s="416">
        <v>4</v>
      </c>
      <c r="L61" s="415">
        <v>4</v>
      </c>
      <c r="M61" s="416">
        <v>11</v>
      </c>
      <c r="N61" s="415">
        <v>11</v>
      </c>
      <c r="O61" s="416">
        <v>18</v>
      </c>
      <c r="P61" s="415">
        <v>10</v>
      </c>
      <c r="Q61" s="416">
        <v>18</v>
      </c>
      <c r="R61" s="415">
        <v>24</v>
      </c>
      <c r="S61" s="416">
        <v>46</v>
      </c>
      <c r="T61" s="415">
        <v>32</v>
      </c>
      <c r="U61" s="416">
        <v>57</v>
      </c>
      <c r="V61" s="415">
        <v>48</v>
      </c>
      <c r="W61" s="416">
        <v>93</v>
      </c>
      <c r="X61" s="415">
        <v>63</v>
      </c>
      <c r="Y61" s="416">
        <v>105</v>
      </c>
      <c r="Z61" s="415">
        <v>51</v>
      </c>
      <c r="AA61" s="416">
        <v>103</v>
      </c>
      <c r="AB61" s="415">
        <v>37</v>
      </c>
      <c r="AC61" s="416">
        <v>73</v>
      </c>
      <c r="AD61" s="415">
        <v>25</v>
      </c>
      <c r="AE61" s="416">
        <v>43</v>
      </c>
      <c r="AF61" s="466">
        <v>19</v>
      </c>
      <c r="AG61" s="417">
        <v>35</v>
      </c>
      <c r="AH61" s="466">
        <v>58</v>
      </c>
      <c r="AI61" s="416">
        <v>88</v>
      </c>
      <c r="AJ61" s="466">
        <v>2</v>
      </c>
      <c r="AK61" s="416">
        <v>7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8">
        <f t="shared" si="48"/>
        <v>0</v>
      </c>
      <c r="DL61" s="1038">
        <f t="shared" si="49"/>
        <v>0</v>
      </c>
      <c r="DM61" s="1038">
        <f t="shared" si="50"/>
        <v>0</v>
      </c>
      <c r="DN61" s="1038">
        <f t="shared" si="51"/>
        <v>0</v>
      </c>
    </row>
    <row r="62" spans="1:118" ht="15" customHeight="1" x14ac:dyDescent="0.15">
      <c r="A62" s="1943"/>
      <c r="B62" s="606" t="s">
        <v>548</v>
      </c>
      <c r="C62" s="1138">
        <f t="shared" si="52"/>
        <v>137</v>
      </c>
      <c r="D62" s="396">
        <f t="shared" si="53"/>
        <v>61</v>
      </c>
      <c r="E62" s="442">
        <f t="shared" si="54"/>
        <v>76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1</v>
      </c>
      <c r="M62" s="398">
        <v>1</v>
      </c>
      <c r="N62" s="397">
        <v>0</v>
      </c>
      <c r="O62" s="398">
        <v>1</v>
      </c>
      <c r="P62" s="397">
        <v>1</v>
      </c>
      <c r="Q62" s="398">
        <v>1</v>
      </c>
      <c r="R62" s="397">
        <v>1</v>
      </c>
      <c r="S62" s="398">
        <v>1</v>
      </c>
      <c r="T62" s="397">
        <v>2</v>
      </c>
      <c r="U62" s="398">
        <v>11</v>
      </c>
      <c r="V62" s="397">
        <v>6</v>
      </c>
      <c r="W62" s="398">
        <v>12</v>
      </c>
      <c r="X62" s="397">
        <v>11</v>
      </c>
      <c r="Y62" s="398">
        <v>9</v>
      </c>
      <c r="Z62" s="397">
        <v>17</v>
      </c>
      <c r="AA62" s="398">
        <v>11</v>
      </c>
      <c r="AB62" s="397">
        <v>8</v>
      </c>
      <c r="AC62" s="398">
        <v>7</v>
      </c>
      <c r="AD62" s="397">
        <v>8</v>
      </c>
      <c r="AE62" s="398">
        <v>10</v>
      </c>
      <c r="AF62" s="463">
        <v>6</v>
      </c>
      <c r="AG62" s="405">
        <v>12</v>
      </c>
      <c r="AH62" s="466">
        <v>11</v>
      </c>
      <c r="AI62" s="416">
        <v>16</v>
      </c>
      <c r="AJ62" s="466">
        <v>0</v>
      </c>
      <c r="AK62" s="416">
        <v>1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8">
        <f t="shared" si="48"/>
        <v>0</v>
      </c>
      <c r="DL62" s="1038">
        <f t="shared" si="49"/>
        <v>0</v>
      </c>
      <c r="DM62" s="1038">
        <f t="shared" si="50"/>
        <v>0</v>
      </c>
      <c r="DN62" s="1038">
        <f t="shared" si="51"/>
        <v>0</v>
      </c>
    </row>
    <row r="63" spans="1:118" ht="15" customHeight="1" x14ac:dyDescent="0.15">
      <c r="A63" s="1943"/>
      <c r="B63" s="607" t="s">
        <v>549</v>
      </c>
      <c r="C63" s="1133">
        <f t="shared" si="52"/>
        <v>67</v>
      </c>
      <c r="D63" s="386">
        <f t="shared" si="53"/>
        <v>27</v>
      </c>
      <c r="E63" s="441">
        <f t="shared" si="54"/>
        <v>40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0</v>
      </c>
      <c r="O63" s="398">
        <v>0</v>
      </c>
      <c r="P63" s="397">
        <v>0</v>
      </c>
      <c r="Q63" s="398">
        <v>0</v>
      </c>
      <c r="R63" s="397">
        <v>1</v>
      </c>
      <c r="S63" s="398">
        <v>2</v>
      </c>
      <c r="T63" s="397">
        <v>4</v>
      </c>
      <c r="U63" s="398">
        <v>1</v>
      </c>
      <c r="V63" s="397">
        <v>1</v>
      </c>
      <c r="W63" s="398">
        <v>3</v>
      </c>
      <c r="X63" s="397">
        <v>6</v>
      </c>
      <c r="Y63" s="398">
        <v>12</v>
      </c>
      <c r="Z63" s="397">
        <v>6</v>
      </c>
      <c r="AA63" s="398">
        <v>6</v>
      </c>
      <c r="AB63" s="397">
        <v>2</v>
      </c>
      <c r="AC63" s="398">
        <v>2</v>
      </c>
      <c r="AD63" s="397">
        <v>5</v>
      </c>
      <c r="AE63" s="398">
        <v>3</v>
      </c>
      <c r="AF63" s="463">
        <v>2</v>
      </c>
      <c r="AG63" s="405">
        <v>11</v>
      </c>
      <c r="AH63" s="466">
        <v>3</v>
      </c>
      <c r="AI63" s="416">
        <v>8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8">
        <f t="shared" si="48"/>
        <v>0</v>
      </c>
      <c r="DL63" s="1038">
        <f t="shared" si="49"/>
        <v>0</v>
      </c>
      <c r="DM63" s="1038">
        <f t="shared" si="50"/>
        <v>0</v>
      </c>
      <c r="DN63" s="1038">
        <f t="shared" si="51"/>
        <v>0</v>
      </c>
    </row>
    <row r="64" spans="1:118" ht="15" customHeight="1" x14ac:dyDescent="0.15">
      <c r="A64" s="1944"/>
      <c r="B64" s="608" t="s">
        <v>550</v>
      </c>
      <c r="C64" s="1134">
        <f t="shared" si="52"/>
        <v>35</v>
      </c>
      <c r="D64" s="390">
        <f t="shared" si="53"/>
        <v>22</v>
      </c>
      <c r="E64" s="444">
        <f t="shared" si="54"/>
        <v>13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1</v>
      </c>
      <c r="O64" s="403">
        <v>0</v>
      </c>
      <c r="P64" s="402">
        <v>0</v>
      </c>
      <c r="Q64" s="403">
        <v>0</v>
      </c>
      <c r="R64" s="402">
        <v>0</v>
      </c>
      <c r="S64" s="403">
        <v>1</v>
      </c>
      <c r="T64" s="402">
        <v>3</v>
      </c>
      <c r="U64" s="403">
        <v>1</v>
      </c>
      <c r="V64" s="402">
        <v>3</v>
      </c>
      <c r="W64" s="403">
        <v>1</v>
      </c>
      <c r="X64" s="402">
        <v>4</v>
      </c>
      <c r="Y64" s="403">
        <v>4</v>
      </c>
      <c r="Z64" s="402">
        <v>4</v>
      </c>
      <c r="AA64" s="403">
        <v>4</v>
      </c>
      <c r="AB64" s="402">
        <v>5</v>
      </c>
      <c r="AC64" s="403">
        <v>0</v>
      </c>
      <c r="AD64" s="402">
        <v>1</v>
      </c>
      <c r="AE64" s="403">
        <v>1</v>
      </c>
      <c r="AF64" s="462">
        <v>1</v>
      </c>
      <c r="AG64" s="429">
        <v>1</v>
      </c>
      <c r="AH64" s="462">
        <v>3</v>
      </c>
      <c r="AI64" s="403">
        <v>2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8">
        <f t="shared" si="48"/>
        <v>0</v>
      </c>
      <c r="DL64" s="1038">
        <f t="shared" si="49"/>
        <v>0</v>
      </c>
      <c r="DM64" s="1038">
        <f t="shared" si="50"/>
        <v>0</v>
      </c>
      <c r="DN64" s="1038">
        <f t="shared" si="51"/>
        <v>0</v>
      </c>
    </row>
    <row r="65" spans="1:118" ht="15" customHeight="1" x14ac:dyDescent="0.15">
      <c r="A65" s="1959" t="s">
        <v>551</v>
      </c>
      <c r="B65" s="727" t="s">
        <v>552</v>
      </c>
      <c r="C65" s="1133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8">
        <f t="shared" si="48"/>
        <v>0</v>
      </c>
      <c r="DL65" s="1038">
        <f t="shared" si="49"/>
        <v>0</v>
      </c>
      <c r="DM65" s="1038">
        <f t="shared" si="50"/>
        <v>0</v>
      </c>
      <c r="DN65" s="1038">
        <f t="shared" si="51"/>
        <v>0</v>
      </c>
    </row>
    <row r="66" spans="1:118" ht="15" customHeight="1" x14ac:dyDescent="0.15">
      <c r="A66" s="1960"/>
      <c r="B66" s="607" t="s">
        <v>553</v>
      </c>
      <c r="C66" s="1310">
        <f t="shared" ref="C66" si="64">SUM(D66:E66)</f>
        <v>58</v>
      </c>
      <c r="D66" s="388">
        <f t="shared" ref="D66" si="65">+F66+H66+J66+L66+N66+P66+R66+T66+V66+X66+Z66+AB66+AD66+AF66</f>
        <v>29</v>
      </c>
      <c r="E66" s="866">
        <f t="shared" ref="E66" si="66">+G66+I66+K66+M66+O66+Q66+S66+U66+W66+Y66+AA66+AC66+AE66+AG66</f>
        <v>29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1</v>
      </c>
      <c r="O66" s="449">
        <v>0</v>
      </c>
      <c r="P66" s="448">
        <v>0</v>
      </c>
      <c r="Q66" s="449">
        <v>2</v>
      </c>
      <c r="R66" s="448">
        <v>1</v>
      </c>
      <c r="S66" s="449">
        <v>3</v>
      </c>
      <c r="T66" s="448">
        <v>4</v>
      </c>
      <c r="U66" s="449">
        <v>4</v>
      </c>
      <c r="V66" s="448">
        <v>3</v>
      </c>
      <c r="W66" s="449">
        <v>5</v>
      </c>
      <c r="X66" s="448">
        <v>7</v>
      </c>
      <c r="Y66" s="449">
        <v>3</v>
      </c>
      <c r="Z66" s="448">
        <v>5</v>
      </c>
      <c r="AA66" s="449">
        <v>5</v>
      </c>
      <c r="AB66" s="448">
        <v>6</v>
      </c>
      <c r="AC66" s="449">
        <v>0</v>
      </c>
      <c r="AD66" s="448">
        <v>1</v>
      </c>
      <c r="AE66" s="449">
        <v>4</v>
      </c>
      <c r="AF66" s="663">
        <v>1</v>
      </c>
      <c r="AG66" s="450">
        <v>3</v>
      </c>
      <c r="AH66" s="663">
        <v>1</v>
      </c>
      <c r="AI66" s="449">
        <v>6</v>
      </c>
      <c r="AJ66" s="663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8">
        <f t="shared" si="48"/>
        <v>0</v>
      </c>
      <c r="DL66" s="1038">
        <f t="shared" si="49"/>
        <v>0</v>
      </c>
      <c r="DM66" s="1038">
        <f t="shared" si="50"/>
        <v>0</v>
      </c>
      <c r="DN66" s="1038">
        <f t="shared" si="51"/>
        <v>0</v>
      </c>
    </row>
    <row r="67" spans="1:118" ht="15" customHeight="1" x14ac:dyDescent="0.15">
      <c r="A67" s="1961"/>
      <c r="B67" s="732" t="s">
        <v>554</v>
      </c>
      <c r="C67" s="1134">
        <f>SUM(D67:E67)</f>
        <v>4</v>
      </c>
      <c r="D67" s="390">
        <f t="shared" ref="D67:E68" si="67">+F67+H67+J67+L67+N67+P67+R67+T67+V67+X67+Z67+AB67+AD67+AF67</f>
        <v>3</v>
      </c>
      <c r="E67" s="456">
        <f t="shared" si="67"/>
        <v>1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1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1</v>
      </c>
      <c r="Y67" s="403">
        <v>1</v>
      </c>
      <c r="Z67" s="402">
        <v>1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1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8">
        <f t="shared" si="48"/>
        <v>0</v>
      </c>
      <c r="DL67" s="1038">
        <f t="shared" si="49"/>
        <v>0</v>
      </c>
      <c r="DM67" s="1038">
        <f t="shared" si="50"/>
        <v>0</v>
      </c>
      <c r="DN67" s="1038">
        <f t="shared" si="51"/>
        <v>0</v>
      </c>
    </row>
    <row r="68" spans="1:118" ht="15" customHeight="1" x14ac:dyDescent="0.15">
      <c r="A68" s="1966" t="s">
        <v>555</v>
      </c>
      <c r="B68" s="1967"/>
      <c r="C68" s="1133">
        <f t="shared" si="52"/>
        <v>22</v>
      </c>
      <c r="D68" s="386">
        <f t="shared" si="67"/>
        <v>17</v>
      </c>
      <c r="E68" s="452">
        <f t="shared" si="67"/>
        <v>5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1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1</v>
      </c>
      <c r="U68" s="416">
        <v>1</v>
      </c>
      <c r="V68" s="415">
        <v>1</v>
      </c>
      <c r="W68" s="416">
        <v>0</v>
      </c>
      <c r="X68" s="415">
        <v>4</v>
      </c>
      <c r="Y68" s="416">
        <v>2</v>
      </c>
      <c r="Z68" s="415">
        <v>3</v>
      </c>
      <c r="AA68" s="416">
        <v>2</v>
      </c>
      <c r="AB68" s="415">
        <v>5</v>
      </c>
      <c r="AC68" s="416">
        <v>0</v>
      </c>
      <c r="AD68" s="397">
        <v>1</v>
      </c>
      <c r="AE68" s="398">
        <v>0</v>
      </c>
      <c r="AF68" s="466">
        <v>1</v>
      </c>
      <c r="AG68" s="417">
        <v>0</v>
      </c>
      <c r="AH68" s="466">
        <v>0</v>
      </c>
      <c r="AI68" s="416">
        <v>3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8">
        <f t="shared" si="48"/>
        <v>0</v>
      </c>
      <c r="DL68" s="1038">
        <f t="shared" si="49"/>
        <v>0</v>
      </c>
      <c r="DM68" s="1038">
        <f t="shared" si="50"/>
        <v>0</v>
      </c>
      <c r="DN68" s="1038">
        <f t="shared" si="51"/>
        <v>0</v>
      </c>
    </row>
    <row r="69" spans="1:118" ht="15" customHeight="1" x14ac:dyDescent="0.15">
      <c r="A69" s="1968" t="s">
        <v>556</v>
      </c>
      <c r="B69" s="1969"/>
      <c r="C69" s="1138">
        <f t="shared" si="52"/>
        <v>1041</v>
      </c>
      <c r="D69" s="396">
        <f t="shared" si="53"/>
        <v>386</v>
      </c>
      <c r="E69" s="446">
        <f t="shared" si="54"/>
        <v>655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2</v>
      </c>
      <c r="M69" s="398">
        <v>3</v>
      </c>
      <c r="N69" s="397">
        <v>9</v>
      </c>
      <c r="O69" s="398">
        <v>5</v>
      </c>
      <c r="P69" s="397">
        <v>5</v>
      </c>
      <c r="Q69" s="398">
        <v>8</v>
      </c>
      <c r="R69" s="397">
        <v>14</v>
      </c>
      <c r="S69" s="398">
        <v>30</v>
      </c>
      <c r="T69" s="397">
        <v>33</v>
      </c>
      <c r="U69" s="398">
        <v>55</v>
      </c>
      <c r="V69" s="397">
        <v>50</v>
      </c>
      <c r="W69" s="398">
        <v>92</v>
      </c>
      <c r="X69" s="397">
        <v>71</v>
      </c>
      <c r="Y69" s="398">
        <v>124</v>
      </c>
      <c r="Z69" s="397">
        <v>80</v>
      </c>
      <c r="AA69" s="398">
        <v>120</v>
      </c>
      <c r="AB69" s="397">
        <v>53</v>
      </c>
      <c r="AC69" s="398">
        <v>83</v>
      </c>
      <c r="AD69" s="397">
        <v>38</v>
      </c>
      <c r="AE69" s="398">
        <v>60</v>
      </c>
      <c r="AF69" s="463">
        <v>31</v>
      </c>
      <c r="AG69" s="405">
        <v>75</v>
      </c>
      <c r="AH69" s="466">
        <v>55</v>
      </c>
      <c r="AI69" s="416">
        <v>104</v>
      </c>
      <c r="AJ69" s="466">
        <v>1</v>
      </c>
      <c r="AK69" s="416">
        <v>1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8">
        <f t="shared" si="48"/>
        <v>0</v>
      </c>
      <c r="DL69" s="1038">
        <f t="shared" si="49"/>
        <v>0</v>
      </c>
      <c r="DM69" s="1038">
        <f t="shared" si="50"/>
        <v>0</v>
      </c>
      <c r="DN69" s="1038">
        <f t="shared" si="51"/>
        <v>0</v>
      </c>
    </row>
    <row r="70" spans="1:118" ht="15" customHeight="1" x14ac:dyDescent="0.15">
      <c r="A70" s="1968" t="s">
        <v>557</v>
      </c>
      <c r="B70" s="1969"/>
      <c r="C70" s="1133">
        <f>SUM(D70:E70)</f>
        <v>375</v>
      </c>
      <c r="D70" s="386">
        <f>+F70+H70+J70+L70+N70+P70+R70+T70+V70+X70+Z70+AB70+AD70+AF70</f>
        <v>143</v>
      </c>
      <c r="E70" s="452">
        <f>+G70+I70+K70+M70+O70+Q70+S70+U70+W70+Y70+AA70+AC70+AE70+AG70</f>
        <v>232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1</v>
      </c>
      <c r="M70" s="416">
        <v>1</v>
      </c>
      <c r="N70" s="415">
        <v>5</v>
      </c>
      <c r="O70" s="416">
        <v>2</v>
      </c>
      <c r="P70" s="415">
        <v>0</v>
      </c>
      <c r="Q70" s="416">
        <v>2</v>
      </c>
      <c r="R70" s="415">
        <v>5</v>
      </c>
      <c r="S70" s="416">
        <v>12</v>
      </c>
      <c r="T70" s="415">
        <v>14</v>
      </c>
      <c r="U70" s="416">
        <v>19</v>
      </c>
      <c r="V70" s="415">
        <v>18</v>
      </c>
      <c r="W70" s="416">
        <v>29</v>
      </c>
      <c r="X70" s="415">
        <v>24</v>
      </c>
      <c r="Y70" s="416">
        <v>39</v>
      </c>
      <c r="Z70" s="415">
        <v>23</v>
      </c>
      <c r="AA70" s="416">
        <v>42</v>
      </c>
      <c r="AB70" s="415">
        <v>13</v>
      </c>
      <c r="AC70" s="416">
        <v>28</v>
      </c>
      <c r="AD70" s="415">
        <v>18</v>
      </c>
      <c r="AE70" s="416">
        <v>27</v>
      </c>
      <c r="AF70" s="466">
        <v>22</v>
      </c>
      <c r="AG70" s="417">
        <v>31</v>
      </c>
      <c r="AH70" s="466">
        <v>25</v>
      </c>
      <c r="AI70" s="416">
        <v>52</v>
      </c>
      <c r="AJ70" s="466">
        <v>0</v>
      </c>
      <c r="AK70" s="416">
        <v>1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8">
        <f t="shared" si="48"/>
        <v>0</v>
      </c>
      <c r="DL70" s="1038">
        <f t="shared" si="49"/>
        <v>0</v>
      </c>
      <c r="DM70" s="1038">
        <f t="shared" si="50"/>
        <v>0</v>
      </c>
      <c r="DN70" s="1038">
        <f t="shared" si="51"/>
        <v>0</v>
      </c>
    </row>
    <row r="71" spans="1:118" ht="15" customHeight="1" x14ac:dyDescent="0.15">
      <c r="A71" s="2005" t="s">
        <v>558</v>
      </c>
      <c r="B71" s="2006"/>
      <c r="C71" s="1133">
        <f>SUM(D71:E71)</f>
        <v>95</v>
      </c>
      <c r="D71" s="386">
        <f t="shared" si="53"/>
        <v>54</v>
      </c>
      <c r="E71" s="442">
        <f t="shared" si="54"/>
        <v>41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1</v>
      </c>
      <c r="Q71" s="416">
        <v>0</v>
      </c>
      <c r="R71" s="415">
        <v>0</v>
      </c>
      <c r="S71" s="416">
        <v>0</v>
      </c>
      <c r="T71" s="415">
        <v>2</v>
      </c>
      <c r="U71" s="416">
        <v>2</v>
      </c>
      <c r="V71" s="415">
        <v>2</v>
      </c>
      <c r="W71" s="416">
        <v>2</v>
      </c>
      <c r="X71" s="415">
        <v>12</v>
      </c>
      <c r="Y71" s="416">
        <v>10</v>
      </c>
      <c r="Z71" s="415">
        <v>14</v>
      </c>
      <c r="AA71" s="416">
        <v>4</v>
      </c>
      <c r="AB71" s="415">
        <v>6</v>
      </c>
      <c r="AC71" s="416">
        <v>11</v>
      </c>
      <c r="AD71" s="415">
        <v>11</v>
      </c>
      <c r="AE71" s="416">
        <v>3</v>
      </c>
      <c r="AF71" s="466">
        <v>6</v>
      </c>
      <c r="AG71" s="417">
        <v>9</v>
      </c>
      <c r="AH71" s="466">
        <v>7</v>
      </c>
      <c r="AI71" s="416">
        <v>6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8">
        <f t="shared" si="48"/>
        <v>0</v>
      </c>
      <c r="DL71" s="1038">
        <f t="shared" si="49"/>
        <v>0</v>
      </c>
      <c r="DM71" s="1038">
        <f t="shared" si="50"/>
        <v>0</v>
      </c>
      <c r="DN71" s="1038">
        <f t="shared" si="51"/>
        <v>0</v>
      </c>
    </row>
    <row r="72" spans="1:118" ht="15" customHeight="1" x14ac:dyDescent="0.15">
      <c r="A72" s="2005" t="s">
        <v>559</v>
      </c>
      <c r="B72" s="2006"/>
      <c r="C72" s="1133">
        <f t="shared" si="52"/>
        <v>85</v>
      </c>
      <c r="D72" s="386">
        <f t="shared" si="53"/>
        <v>57</v>
      </c>
      <c r="E72" s="442">
        <f t="shared" si="54"/>
        <v>28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1</v>
      </c>
      <c r="Q72" s="398">
        <v>1</v>
      </c>
      <c r="R72" s="463">
        <v>0</v>
      </c>
      <c r="S72" s="398">
        <v>1</v>
      </c>
      <c r="T72" s="397">
        <v>6</v>
      </c>
      <c r="U72" s="398">
        <v>0</v>
      </c>
      <c r="V72" s="397">
        <v>6</v>
      </c>
      <c r="W72" s="398">
        <v>2</v>
      </c>
      <c r="X72" s="397">
        <v>9</v>
      </c>
      <c r="Y72" s="398">
        <v>4</v>
      </c>
      <c r="Z72" s="397">
        <v>13</v>
      </c>
      <c r="AA72" s="398">
        <v>4</v>
      </c>
      <c r="AB72" s="397">
        <v>7</v>
      </c>
      <c r="AC72" s="398">
        <v>4</v>
      </c>
      <c r="AD72" s="397">
        <v>8</v>
      </c>
      <c r="AE72" s="398">
        <v>5</v>
      </c>
      <c r="AF72" s="463">
        <v>7</v>
      </c>
      <c r="AG72" s="879">
        <v>7</v>
      </c>
      <c r="AH72" s="463">
        <v>8</v>
      </c>
      <c r="AI72" s="398">
        <v>4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8">
        <f t="shared" si="48"/>
        <v>0</v>
      </c>
      <c r="DL72" s="1038">
        <f t="shared" si="49"/>
        <v>0</v>
      </c>
      <c r="DM72" s="1038">
        <f t="shared" si="50"/>
        <v>0</v>
      </c>
      <c r="DN72" s="1038">
        <f t="shared" si="51"/>
        <v>0</v>
      </c>
    </row>
    <row r="73" spans="1:118" ht="15" customHeight="1" x14ac:dyDescent="0.15">
      <c r="A73" s="2007" t="s">
        <v>560</v>
      </c>
      <c r="B73" s="2008"/>
      <c r="C73" s="1134">
        <f t="shared" ref="C73" si="68">SUM(D73:E73)</f>
        <v>140</v>
      </c>
      <c r="D73" s="390">
        <f t="shared" ref="D73" si="69">+F73+H73+J73+L73+N73+P73+R73+T73+V73+X73+Z73+AB73+AD73+AF73</f>
        <v>61</v>
      </c>
      <c r="E73" s="875">
        <f t="shared" ref="E73" si="70">+G73+I73+K73+M73+O73+Q73+S73+U73+W73+Y73+AA73+AC73+AE73+AG73</f>
        <v>79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1</v>
      </c>
      <c r="M73" s="412">
        <v>0</v>
      </c>
      <c r="N73" s="461">
        <v>3</v>
      </c>
      <c r="O73" s="412">
        <v>0</v>
      </c>
      <c r="P73" s="461">
        <v>1</v>
      </c>
      <c r="Q73" s="412">
        <v>5</v>
      </c>
      <c r="R73" s="461">
        <v>3</v>
      </c>
      <c r="S73" s="412">
        <v>4</v>
      </c>
      <c r="T73" s="461">
        <v>5</v>
      </c>
      <c r="U73" s="412">
        <v>8</v>
      </c>
      <c r="V73" s="461">
        <v>14</v>
      </c>
      <c r="W73" s="412">
        <v>15</v>
      </c>
      <c r="X73" s="461">
        <v>13</v>
      </c>
      <c r="Y73" s="412">
        <v>15</v>
      </c>
      <c r="Z73" s="461">
        <v>10</v>
      </c>
      <c r="AA73" s="412">
        <v>10</v>
      </c>
      <c r="AB73" s="461">
        <v>5</v>
      </c>
      <c r="AC73" s="412">
        <v>7</v>
      </c>
      <c r="AD73" s="461">
        <v>4</v>
      </c>
      <c r="AE73" s="412">
        <v>10</v>
      </c>
      <c r="AF73" s="461">
        <v>2</v>
      </c>
      <c r="AG73" s="878">
        <v>5</v>
      </c>
      <c r="AH73" s="461">
        <v>10</v>
      </c>
      <c r="AI73" s="412">
        <v>17</v>
      </c>
      <c r="AJ73" s="461">
        <v>0</v>
      </c>
      <c r="AK73" s="412">
        <v>1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8">
        <f t="shared" si="48"/>
        <v>0</v>
      </c>
      <c r="DL73" s="1038">
        <f t="shared" si="49"/>
        <v>0</v>
      </c>
      <c r="DM73" s="1038">
        <f t="shared" si="50"/>
        <v>0</v>
      </c>
      <c r="DN73" s="1038">
        <f t="shared" si="51"/>
        <v>0</v>
      </c>
    </row>
    <row r="74" spans="1:118" ht="15" customHeight="1" x14ac:dyDescent="0.15">
      <c r="A74" s="1313" t="s">
        <v>561</v>
      </c>
      <c r="B74" s="609"/>
      <c r="C74" s="1996"/>
      <c r="D74" s="1996"/>
      <c r="E74" s="1996"/>
      <c r="F74" s="1996"/>
      <c r="G74" s="1996"/>
      <c r="H74" s="1996"/>
      <c r="I74" s="1996"/>
      <c r="J74" s="1996"/>
      <c r="K74" s="1996"/>
      <c r="L74" s="1996"/>
      <c r="M74" s="1996"/>
      <c r="N74" s="1996"/>
      <c r="O74" s="1996"/>
      <c r="P74" s="1996"/>
      <c r="Q74" s="1996"/>
      <c r="R74" s="1996"/>
      <c r="S74" s="1996"/>
      <c r="T74" s="1996"/>
      <c r="U74" s="1996"/>
      <c r="V74" s="1996"/>
      <c r="W74" s="1996"/>
      <c r="X74" s="1996"/>
      <c r="Y74" s="1996"/>
      <c r="Z74" s="1996"/>
      <c r="AA74" s="1996"/>
      <c r="AB74" s="1996"/>
      <c r="AC74" s="1996"/>
      <c r="AD74" s="1996"/>
      <c r="AE74" s="1996"/>
      <c r="AF74" s="1996"/>
      <c r="AG74" s="1996"/>
      <c r="AH74" s="1996"/>
      <c r="AI74" s="1996"/>
      <c r="AJ74" s="1996"/>
      <c r="AK74" s="1997"/>
    </row>
    <row r="75" spans="1:118" ht="15" customHeight="1" x14ac:dyDescent="0.15">
      <c r="A75" s="1964" t="s">
        <v>534</v>
      </c>
      <c r="B75" s="1965"/>
      <c r="C75" s="1136">
        <f t="shared" ref="C75:C79" si="71">SUM(D75:E75)</f>
        <v>1833</v>
      </c>
      <c r="D75" s="386">
        <f>+F75+H75+J75+L75+N75+P75+R75+T75+V75+X75+Z75+AB75+AD75+AF75</f>
        <v>671</v>
      </c>
      <c r="E75" s="452">
        <f>+G75+I75+K75+M75+O75+Q75+S75+U75+W75+Y75+AA75+AC75+AE75+AG75</f>
        <v>1162</v>
      </c>
      <c r="F75" s="393">
        <v>1</v>
      </c>
      <c r="G75" s="394">
        <v>0</v>
      </c>
      <c r="H75" s="415">
        <v>3</v>
      </c>
      <c r="I75" s="416">
        <v>1</v>
      </c>
      <c r="J75" s="415">
        <v>5</v>
      </c>
      <c r="K75" s="416">
        <v>2</v>
      </c>
      <c r="L75" s="415">
        <v>7</v>
      </c>
      <c r="M75" s="416">
        <v>17</v>
      </c>
      <c r="N75" s="415">
        <v>17</v>
      </c>
      <c r="O75" s="416">
        <v>24</v>
      </c>
      <c r="P75" s="415">
        <v>16</v>
      </c>
      <c r="Q75" s="416">
        <v>34</v>
      </c>
      <c r="R75" s="415">
        <v>27</v>
      </c>
      <c r="S75" s="416">
        <v>48</v>
      </c>
      <c r="T75" s="415">
        <v>51</v>
      </c>
      <c r="U75" s="416">
        <v>103</v>
      </c>
      <c r="V75" s="415">
        <v>77</v>
      </c>
      <c r="W75" s="416">
        <v>158</v>
      </c>
      <c r="X75" s="415">
        <v>113</v>
      </c>
      <c r="Y75" s="416">
        <v>198</v>
      </c>
      <c r="Z75" s="415">
        <v>120</v>
      </c>
      <c r="AA75" s="416">
        <v>197</v>
      </c>
      <c r="AB75" s="415">
        <v>93</v>
      </c>
      <c r="AC75" s="416">
        <v>135</v>
      </c>
      <c r="AD75" s="415">
        <v>75</v>
      </c>
      <c r="AE75" s="416">
        <v>103</v>
      </c>
      <c r="AF75" s="466">
        <v>66</v>
      </c>
      <c r="AG75" s="417">
        <v>142</v>
      </c>
      <c r="AH75" s="466">
        <v>100</v>
      </c>
      <c r="AI75" s="416">
        <v>187</v>
      </c>
      <c r="AJ75" s="466">
        <v>8</v>
      </c>
      <c r="AK75" s="416">
        <v>10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8">
        <f t="shared" si="48"/>
        <v>0</v>
      </c>
      <c r="DL75" s="1038">
        <f t="shared" si="49"/>
        <v>0</v>
      </c>
      <c r="DM75" s="1038">
        <f t="shared" si="50"/>
        <v>0</v>
      </c>
      <c r="DN75" s="1038">
        <f t="shared" si="51"/>
        <v>0</v>
      </c>
    </row>
    <row r="76" spans="1:118" ht="15" customHeight="1" x14ac:dyDescent="0.15">
      <c r="A76" s="1948" t="s">
        <v>562</v>
      </c>
      <c r="B76" s="1949"/>
      <c r="C76" s="1133">
        <f t="shared" ref="C76:C77" si="76">SUM(D76:E76)</f>
        <v>2125</v>
      </c>
      <c r="D76" s="386">
        <f t="shared" ref="D76:D77" si="77">+F76+H76+J76+L76+N76+P76+R76+T76+V76+X76+Z76+AB76+AD76+AF76</f>
        <v>775</v>
      </c>
      <c r="E76" s="452">
        <f t="shared" ref="E76:E77" si="78">+G76+I76+K76+M76+O76+Q76+S76+U76+W76+Y76+AA76+AC76+AE76+AG76</f>
        <v>1350</v>
      </c>
      <c r="F76" s="415">
        <v>1</v>
      </c>
      <c r="G76" s="416">
        <v>0</v>
      </c>
      <c r="H76" s="415">
        <v>3</v>
      </c>
      <c r="I76" s="416">
        <v>2</v>
      </c>
      <c r="J76" s="415">
        <v>7</v>
      </c>
      <c r="K76" s="416">
        <v>2</v>
      </c>
      <c r="L76" s="415">
        <v>10</v>
      </c>
      <c r="M76" s="416">
        <v>17</v>
      </c>
      <c r="N76" s="415">
        <v>18</v>
      </c>
      <c r="O76" s="416">
        <v>30</v>
      </c>
      <c r="P76" s="415">
        <v>18</v>
      </c>
      <c r="Q76" s="416">
        <v>47</v>
      </c>
      <c r="R76" s="415">
        <v>30</v>
      </c>
      <c r="S76" s="416">
        <v>63</v>
      </c>
      <c r="T76" s="415">
        <v>61</v>
      </c>
      <c r="U76" s="416">
        <v>116</v>
      </c>
      <c r="V76" s="415">
        <v>90</v>
      </c>
      <c r="W76" s="416">
        <v>184</v>
      </c>
      <c r="X76" s="415">
        <v>134</v>
      </c>
      <c r="Y76" s="416">
        <v>229</v>
      </c>
      <c r="Z76" s="415">
        <v>133</v>
      </c>
      <c r="AA76" s="416">
        <v>221</v>
      </c>
      <c r="AB76" s="415">
        <v>109</v>
      </c>
      <c r="AC76" s="416">
        <v>153</v>
      </c>
      <c r="AD76" s="415">
        <v>82</v>
      </c>
      <c r="AE76" s="416">
        <v>119</v>
      </c>
      <c r="AF76" s="466">
        <v>79</v>
      </c>
      <c r="AG76" s="417">
        <v>167</v>
      </c>
      <c r="AH76" s="466">
        <v>118</v>
      </c>
      <c r="AI76" s="416">
        <v>212</v>
      </c>
      <c r="AJ76" s="466">
        <v>9</v>
      </c>
      <c r="AK76" s="416">
        <v>14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8">
        <f t="shared" si="48"/>
        <v>0</v>
      </c>
      <c r="DL76" s="1038">
        <f t="shared" si="49"/>
        <v>0</v>
      </c>
      <c r="DM76" s="1038">
        <f t="shared" si="50"/>
        <v>0</v>
      </c>
      <c r="DN76" s="1038">
        <f t="shared" si="51"/>
        <v>0</v>
      </c>
    </row>
    <row r="77" spans="1:118" ht="15" customHeight="1" x14ac:dyDescent="0.15">
      <c r="A77" s="1948" t="s">
        <v>536</v>
      </c>
      <c r="B77" s="1949"/>
      <c r="C77" s="1133">
        <f t="shared" si="76"/>
        <v>1821</v>
      </c>
      <c r="D77" s="386">
        <f t="shared" si="77"/>
        <v>668</v>
      </c>
      <c r="E77" s="452">
        <f t="shared" si="78"/>
        <v>1153</v>
      </c>
      <c r="F77" s="415">
        <v>1</v>
      </c>
      <c r="G77" s="416">
        <v>0</v>
      </c>
      <c r="H77" s="415">
        <v>3</v>
      </c>
      <c r="I77" s="416">
        <v>1</v>
      </c>
      <c r="J77" s="415">
        <v>5</v>
      </c>
      <c r="K77" s="416">
        <v>1</v>
      </c>
      <c r="L77" s="415">
        <v>7</v>
      </c>
      <c r="M77" s="416">
        <v>16</v>
      </c>
      <c r="N77" s="415">
        <v>17</v>
      </c>
      <c r="O77" s="416">
        <v>23</v>
      </c>
      <c r="P77" s="415">
        <v>16</v>
      </c>
      <c r="Q77" s="416">
        <v>33</v>
      </c>
      <c r="R77" s="415">
        <v>27</v>
      </c>
      <c r="S77" s="416">
        <v>48</v>
      </c>
      <c r="T77" s="415">
        <v>51</v>
      </c>
      <c r="U77" s="416">
        <v>101</v>
      </c>
      <c r="V77" s="415">
        <v>77</v>
      </c>
      <c r="W77" s="416">
        <v>156</v>
      </c>
      <c r="X77" s="415">
        <v>112</v>
      </c>
      <c r="Y77" s="416">
        <v>198</v>
      </c>
      <c r="Z77" s="415">
        <v>119</v>
      </c>
      <c r="AA77" s="416">
        <v>196</v>
      </c>
      <c r="AB77" s="415">
        <v>92</v>
      </c>
      <c r="AC77" s="416">
        <v>135</v>
      </c>
      <c r="AD77" s="415">
        <v>75</v>
      </c>
      <c r="AE77" s="416">
        <v>103</v>
      </c>
      <c r="AF77" s="466">
        <v>66</v>
      </c>
      <c r="AG77" s="417">
        <v>142</v>
      </c>
      <c r="AH77" s="466">
        <v>100</v>
      </c>
      <c r="AI77" s="416">
        <v>187</v>
      </c>
      <c r="AJ77" s="466">
        <v>8</v>
      </c>
      <c r="AK77" s="416">
        <v>10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8">
        <f t="shared" si="48"/>
        <v>0</v>
      </c>
      <c r="DL77" s="1038">
        <f t="shared" si="49"/>
        <v>0</v>
      </c>
      <c r="DM77" s="1038">
        <f t="shared" si="50"/>
        <v>0</v>
      </c>
      <c r="DN77" s="1038">
        <f t="shared" si="51"/>
        <v>0</v>
      </c>
    </row>
    <row r="78" spans="1:118" ht="15" customHeight="1" x14ac:dyDescent="0.15">
      <c r="A78" s="1957" t="s">
        <v>563</v>
      </c>
      <c r="B78" s="1958"/>
      <c r="C78" s="1138">
        <f t="shared" si="71"/>
        <v>78</v>
      </c>
      <c r="D78" s="396">
        <f t="shared" ref="D78:D79" si="79">+F78+H78+J78+L78+N78+P78+R78+T78+V78+X78+Z78+AB78+AD78+AF78</f>
        <v>32</v>
      </c>
      <c r="E78" s="446">
        <f t="shared" ref="E78:E79" si="80">+G78+I78+K78+M78+O78+Q78+S78+U78+W78+Y78+AA78+AC78+AE78+AG78</f>
        <v>46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1</v>
      </c>
      <c r="M78" s="398">
        <v>1</v>
      </c>
      <c r="N78" s="397">
        <v>0</v>
      </c>
      <c r="O78" s="398">
        <v>2</v>
      </c>
      <c r="P78" s="397">
        <v>1</v>
      </c>
      <c r="Q78" s="398">
        <v>4</v>
      </c>
      <c r="R78" s="397">
        <v>4</v>
      </c>
      <c r="S78" s="398">
        <v>6</v>
      </c>
      <c r="T78" s="397">
        <v>4</v>
      </c>
      <c r="U78" s="398">
        <v>6</v>
      </c>
      <c r="V78" s="397">
        <v>6</v>
      </c>
      <c r="W78" s="398">
        <v>8</v>
      </c>
      <c r="X78" s="397">
        <v>3</v>
      </c>
      <c r="Y78" s="398">
        <v>5</v>
      </c>
      <c r="Z78" s="397">
        <v>6</v>
      </c>
      <c r="AA78" s="398">
        <v>7</v>
      </c>
      <c r="AB78" s="397">
        <v>3</v>
      </c>
      <c r="AC78" s="398">
        <v>2</v>
      </c>
      <c r="AD78" s="397">
        <v>2</v>
      </c>
      <c r="AE78" s="398">
        <v>1</v>
      </c>
      <c r="AF78" s="463">
        <v>2</v>
      </c>
      <c r="AG78" s="405">
        <v>4</v>
      </c>
      <c r="AH78" s="466">
        <v>6</v>
      </c>
      <c r="AI78" s="416">
        <v>10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8">
        <f t="shared" si="48"/>
        <v>0</v>
      </c>
      <c r="DL78" s="1038">
        <f t="shared" si="49"/>
        <v>0</v>
      </c>
      <c r="DM78" s="1038">
        <f t="shared" si="50"/>
        <v>0</v>
      </c>
      <c r="DN78" s="1038">
        <f t="shared" si="51"/>
        <v>0</v>
      </c>
    </row>
    <row r="79" spans="1:118" ht="15" customHeight="1" x14ac:dyDescent="0.15">
      <c r="A79" s="1948" t="s">
        <v>557</v>
      </c>
      <c r="B79" s="1949"/>
      <c r="C79" s="1138">
        <f t="shared" si="71"/>
        <v>605</v>
      </c>
      <c r="D79" s="396">
        <f t="shared" si="79"/>
        <v>208</v>
      </c>
      <c r="E79" s="442">
        <f t="shared" si="80"/>
        <v>397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1</v>
      </c>
      <c r="L79" s="397">
        <v>1</v>
      </c>
      <c r="M79" s="531">
        <v>1</v>
      </c>
      <c r="N79" s="397">
        <v>5</v>
      </c>
      <c r="O79" s="531">
        <v>4</v>
      </c>
      <c r="P79" s="397">
        <v>0</v>
      </c>
      <c r="Q79" s="531">
        <v>7</v>
      </c>
      <c r="R79" s="463">
        <v>6</v>
      </c>
      <c r="S79" s="531">
        <v>17</v>
      </c>
      <c r="T79" s="463">
        <v>14</v>
      </c>
      <c r="U79" s="531">
        <v>24</v>
      </c>
      <c r="V79" s="463">
        <v>22</v>
      </c>
      <c r="W79" s="531">
        <v>47</v>
      </c>
      <c r="X79" s="463">
        <v>32</v>
      </c>
      <c r="Y79" s="531">
        <v>63</v>
      </c>
      <c r="Z79" s="463">
        <v>32</v>
      </c>
      <c r="AA79" s="531">
        <v>67</v>
      </c>
      <c r="AB79" s="463">
        <v>32</v>
      </c>
      <c r="AC79" s="531">
        <v>48</v>
      </c>
      <c r="AD79" s="463">
        <v>30</v>
      </c>
      <c r="AE79" s="531">
        <v>49</v>
      </c>
      <c r="AF79" s="463">
        <v>34</v>
      </c>
      <c r="AG79" s="879">
        <v>69</v>
      </c>
      <c r="AH79" s="463">
        <v>35</v>
      </c>
      <c r="AI79" s="531">
        <v>74</v>
      </c>
      <c r="AJ79" s="463">
        <v>1</v>
      </c>
      <c r="AK79" s="531">
        <v>2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8">
        <f t="shared" si="48"/>
        <v>0</v>
      </c>
      <c r="DL79" s="1038">
        <f t="shared" si="49"/>
        <v>0</v>
      </c>
      <c r="DM79" s="1038">
        <f t="shared" si="50"/>
        <v>0</v>
      </c>
      <c r="DN79" s="1038">
        <f t="shared" si="51"/>
        <v>0</v>
      </c>
    </row>
    <row r="80" spans="1:118" ht="15" customHeight="1" x14ac:dyDescent="0.15">
      <c r="A80" s="1994" t="s">
        <v>564</v>
      </c>
      <c r="B80" s="1995"/>
      <c r="C80" s="1135">
        <f t="shared" ref="C80" si="81">SUM(D80:E80)</f>
        <v>526</v>
      </c>
      <c r="D80" s="538">
        <f t="shared" ref="D80" si="82">+F80+H80+J80+L80+N80+P80+R80+T80+V80+X80+Z80+AB80+AD80+AF80</f>
        <v>213</v>
      </c>
      <c r="E80" s="875">
        <f t="shared" ref="E80" si="83">+G80+I80+K80+M80+O80+Q80+S80+U80+W80+Y80+AA80+AC80+AE80+AG80</f>
        <v>313</v>
      </c>
      <c r="F80" s="402">
        <v>1</v>
      </c>
      <c r="G80" s="540">
        <v>0</v>
      </c>
      <c r="H80" s="411">
        <v>0</v>
      </c>
      <c r="I80" s="540">
        <v>1</v>
      </c>
      <c r="J80" s="411">
        <v>6</v>
      </c>
      <c r="K80" s="540">
        <v>0</v>
      </c>
      <c r="L80" s="411">
        <v>2</v>
      </c>
      <c r="M80" s="540">
        <v>4</v>
      </c>
      <c r="N80" s="411">
        <v>7</v>
      </c>
      <c r="O80" s="540">
        <v>9</v>
      </c>
      <c r="P80" s="411">
        <v>9</v>
      </c>
      <c r="Q80" s="540">
        <v>20</v>
      </c>
      <c r="R80" s="461">
        <v>11</v>
      </c>
      <c r="S80" s="540">
        <v>16</v>
      </c>
      <c r="T80" s="461">
        <v>24</v>
      </c>
      <c r="U80" s="540">
        <v>28</v>
      </c>
      <c r="V80" s="461">
        <v>37</v>
      </c>
      <c r="W80" s="540">
        <v>55</v>
      </c>
      <c r="X80" s="461">
        <v>32</v>
      </c>
      <c r="Y80" s="540">
        <v>63</v>
      </c>
      <c r="Z80" s="461">
        <v>39</v>
      </c>
      <c r="AA80" s="540">
        <v>50</v>
      </c>
      <c r="AB80" s="461">
        <v>19</v>
      </c>
      <c r="AC80" s="540">
        <v>21</v>
      </c>
      <c r="AD80" s="461">
        <v>18</v>
      </c>
      <c r="AE80" s="540">
        <v>20</v>
      </c>
      <c r="AF80" s="461">
        <v>8</v>
      </c>
      <c r="AG80" s="878">
        <v>26</v>
      </c>
      <c r="AH80" s="461">
        <v>31</v>
      </c>
      <c r="AI80" s="540">
        <v>45</v>
      </c>
      <c r="AJ80" s="461">
        <v>2</v>
      </c>
      <c r="AK80" s="540">
        <v>4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8">
        <f t="shared" si="48"/>
        <v>0</v>
      </c>
      <c r="DL80" s="1038">
        <f t="shared" si="49"/>
        <v>0</v>
      </c>
      <c r="DM80" s="1038">
        <f t="shared" si="50"/>
        <v>0</v>
      </c>
      <c r="DN80" s="1038">
        <f t="shared" si="51"/>
        <v>0</v>
      </c>
    </row>
    <row r="81" spans="1:146" ht="15" customHeight="1" x14ac:dyDescent="0.15">
      <c r="A81" s="2003" t="s">
        <v>565</v>
      </c>
      <c r="B81" s="2004"/>
      <c r="C81" s="1945"/>
      <c r="D81" s="1945"/>
      <c r="E81" s="1945"/>
      <c r="F81" s="1945"/>
      <c r="G81" s="1945"/>
      <c r="H81" s="1945"/>
      <c r="I81" s="1945"/>
      <c r="J81" s="1945"/>
      <c r="K81" s="1945"/>
      <c r="L81" s="1945"/>
      <c r="M81" s="1945"/>
      <c r="N81" s="1945"/>
      <c r="O81" s="1945"/>
      <c r="P81" s="1945"/>
      <c r="Q81" s="1945"/>
      <c r="R81" s="1945"/>
      <c r="S81" s="1945"/>
      <c r="T81" s="1945"/>
      <c r="U81" s="1945"/>
      <c r="V81" s="1945"/>
      <c r="W81" s="1945"/>
      <c r="X81" s="1945"/>
      <c r="Y81" s="1945"/>
      <c r="Z81" s="1945"/>
      <c r="AA81" s="1945"/>
      <c r="AB81" s="1945"/>
      <c r="AC81" s="1945"/>
      <c r="AD81" s="1945"/>
      <c r="AE81" s="1945"/>
      <c r="AF81" s="1945"/>
      <c r="AG81" s="1945"/>
      <c r="AH81" s="1945"/>
      <c r="AI81" s="1945"/>
      <c r="AJ81" s="1945"/>
      <c r="AK81" s="1882"/>
    </row>
    <row r="82" spans="1:146" ht="15" customHeight="1" x14ac:dyDescent="0.15">
      <c r="A82" s="1970" t="s">
        <v>566</v>
      </c>
      <c r="B82" s="1971"/>
      <c r="C82" s="1136">
        <f t="shared" ref="C82:C87" si="84">SUM(D82:E82)</f>
        <v>497</v>
      </c>
      <c r="D82" s="391">
        <f>+F82+H82+J82+L82+N82+P82+R82+T82+V82+X82</f>
        <v>213</v>
      </c>
      <c r="E82" s="445">
        <f>+G82+I82+K82+M82+O82+Q82+S82+U82+W82+Y82</f>
        <v>284</v>
      </c>
      <c r="F82" s="393">
        <v>0</v>
      </c>
      <c r="G82" s="394">
        <v>2</v>
      </c>
      <c r="H82" s="393">
        <v>1</v>
      </c>
      <c r="I82" s="394">
        <v>0</v>
      </c>
      <c r="J82" s="393">
        <v>5</v>
      </c>
      <c r="K82" s="394">
        <v>3</v>
      </c>
      <c r="L82" s="393">
        <v>7</v>
      </c>
      <c r="M82" s="394">
        <v>7</v>
      </c>
      <c r="N82" s="393">
        <v>9</v>
      </c>
      <c r="O82" s="394">
        <v>14</v>
      </c>
      <c r="P82" s="393">
        <v>14</v>
      </c>
      <c r="Q82" s="394">
        <v>18</v>
      </c>
      <c r="R82" s="393">
        <v>17</v>
      </c>
      <c r="S82" s="394">
        <v>23</v>
      </c>
      <c r="T82" s="393">
        <v>36</v>
      </c>
      <c r="U82" s="394">
        <v>45</v>
      </c>
      <c r="V82" s="393">
        <v>41</v>
      </c>
      <c r="W82" s="394">
        <v>77</v>
      </c>
      <c r="X82" s="393">
        <v>83</v>
      </c>
      <c r="Y82" s="394">
        <v>95</v>
      </c>
      <c r="Z82" s="431"/>
      <c r="AA82" s="432"/>
      <c r="AB82" s="431"/>
      <c r="AC82" s="432"/>
      <c r="AD82" s="431"/>
      <c r="AE82" s="432"/>
      <c r="AF82" s="881"/>
      <c r="AG82" s="569"/>
      <c r="AH82" s="466">
        <v>32</v>
      </c>
      <c r="AI82" s="394">
        <v>37</v>
      </c>
      <c r="AJ82" s="466">
        <v>4</v>
      </c>
      <c r="AK82" s="416">
        <v>11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8">
        <f t="shared" si="48"/>
        <v>0</v>
      </c>
      <c r="DL82" s="1038">
        <f t="shared" si="49"/>
        <v>0</v>
      </c>
      <c r="DM82" s="1038">
        <f t="shared" si="50"/>
        <v>0</v>
      </c>
      <c r="DN82" s="1038">
        <f t="shared" si="51"/>
        <v>0</v>
      </c>
    </row>
    <row r="83" spans="1:146" ht="15" customHeight="1" x14ac:dyDescent="0.15">
      <c r="A83" s="1957" t="s">
        <v>567</v>
      </c>
      <c r="B83" s="1958"/>
      <c r="C83" s="1133">
        <f t="shared" si="84"/>
        <v>391</v>
      </c>
      <c r="D83" s="386">
        <f>+Z83+AB83+AD83+AF83</f>
        <v>159</v>
      </c>
      <c r="E83" s="452">
        <f>+AA83+AC83+AE83+AG83</f>
        <v>232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59</v>
      </c>
      <c r="AA83" s="416">
        <v>90</v>
      </c>
      <c r="AB83" s="415">
        <v>41</v>
      </c>
      <c r="AC83" s="416">
        <v>48</v>
      </c>
      <c r="AD83" s="415">
        <v>28</v>
      </c>
      <c r="AE83" s="416">
        <v>49</v>
      </c>
      <c r="AF83" s="466">
        <v>31</v>
      </c>
      <c r="AG83" s="417">
        <v>45</v>
      </c>
      <c r="AH83" s="466">
        <v>28</v>
      </c>
      <c r="AI83" s="416">
        <v>39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8">
        <f t="shared" si="48"/>
        <v>0</v>
      </c>
      <c r="DL83" s="1038">
        <f t="shared" si="49"/>
        <v>0</v>
      </c>
      <c r="DM83" s="1038">
        <f t="shared" si="50"/>
        <v>0</v>
      </c>
      <c r="DN83" s="1038">
        <f t="shared" si="51"/>
        <v>0</v>
      </c>
    </row>
    <row r="84" spans="1:146" ht="15" customHeight="1" x14ac:dyDescent="0.15">
      <c r="A84" s="1957" t="s">
        <v>568</v>
      </c>
      <c r="B84" s="1958"/>
      <c r="C84" s="1138">
        <f t="shared" si="84"/>
        <v>1215</v>
      </c>
      <c r="D84" s="396">
        <f>+F84+H84+J84+L84+N84+P84+R84+T84+V84+X84</f>
        <v>359</v>
      </c>
      <c r="E84" s="446">
        <f>+G84+I84+K84+M84+O84+Q84+S84+U84+W84+Y84</f>
        <v>856</v>
      </c>
      <c r="F84" s="397">
        <v>2</v>
      </c>
      <c r="G84" s="398">
        <v>1</v>
      </c>
      <c r="H84" s="397">
        <v>2</v>
      </c>
      <c r="I84" s="398">
        <v>3</v>
      </c>
      <c r="J84" s="397">
        <v>10</v>
      </c>
      <c r="K84" s="398">
        <v>13</v>
      </c>
      <c r="L84" s="397">
        <v>19</v>
      </c>
      <c r="M84" s="398">
        <v>41</v>
      </c>
      <c r="N84" s="397">
        <v>18</v>
      </c>
      <c r="O84" s="398">
        <v>59</v>
      </c>
      <c r="P84" s="397">
        <v>34</v>
      </c>
      <c r="Q84" s="398">
        <v>71</v>
      </c>
      <c r="R84" s="397">
        <v>41</v>
      </c>
      <c r="S84" s="398">
        <v>98</v>
      </c>
      <c r="T84" s="397">
        <v>60</v>
      </c>
      <c r="U84" s="398">
        <v>156</v>
      </c>
      <c r="V84" s="397">
        <v>76</v>
      </c>
      <c r="W84" s="398">
        <v>216</v>
      </c>
      <c r="X84" s="397">
        <v>97</v>
      </c>
      <c r="Y84" s="398">
        <v>198</v>
      </c>
      <c r="Z84" s="434"/>
      <c r="AA84" s="435"/>
      <c r="AB84" s="434"/>
      <c r="AC84" s="435"/>
      <c r="AD84" s="434"/>
      <c r="AE84" s="435"/>
      <c r="AF84" s="532"/>
      <c r="AG84" s="534"/>
      <c r="AH84" s="466">
        <v>70</v>
      </c>
      <c r="AI84" s="416">
        <v>156</v>
      </c>
      <c r="AJ84" s="466">
        <v>4</v>
      </c>
      <c r="AK84" s="416">
        <v>11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8">
        <f t="shared" si="48"/>
        <v>0</v>
      </c>
      <c r="DL84" s="1038">
        <f t="shared" si="49"/>
        <v>0</v>
      </c>
      <c r="DM84" s="1038">
        <f t="shared" si="50"/>
        <v>0</v>
      </c>
      <c r="DN84" s="1038">
        <f t="shared" si="51"/>
        <v>0</v>
      </c>
    </row>
    <row r="85" spans="1:146" ht="15" customHeight="1" x14ac:dyDescent="0.15">
      <c r="A85" s="1957" t="s">
        <v>569</v>
      </c>
      <c r="B85" s="1958"/>
      <c r="C85" s="1138">
        <f t="shared" si="84"/>
        <v>532</v>
      </c>
      <c r="D85" s="396">
        <f>+Z85+AB85+AD85+AF85</f>
        <v>152</v>
      </c>
      <c r="E85" s="384">
        <f>+AA85+AC85+AE85+AG85</f>
        <v>380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64</v>
      </c>
      <c r="AA85" s="398">
        <v>151</v>
      </c>
      <c r="AB85" s="397">
        <v>49</v>
      </c>
      <c r="AC85" s="398">
        <v>97</v>
      </c>
      <c r="AD85" s="397">
        <v>23</v>
      </c>
      <c r="AE85" s="398">
        <v>57</v>
      </c>
      <c r="AF85" s="463">
        <v>16</v>
      </c>
      <c r="AG85" s="405">
        <v>75</v>
      </c>
      <c r="AH85" s="463">
        <v>28</v>
      </c>
      <c r="AI85" s="398">
        <v>69</v>
      </c>
      <c r="AJ85" s="463">
        <v>0</v>
      </c>
      <c r="AK85" s="398">
        <v>1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8">
        <f t="shared" si="48"/>
        <v>0</v>
      </c>
      <c r="DL85" s="1038">
        <f t="shared" si="49"/>
        <v>0</v>
      </c>
      <c r="DM85" s="1038">
        <f t="shared" si="50"/>
        <v>0</v>
      </c>
      <c r="DN85" s="1038">
        <f t="shared" si="51"/>
        <v>0</v>
      </c>
    </row>
    <row r="86" spans="1:146" ht="15" customHeight="1" x14ac:dyDescent="0.15">
      <c r="A86" s="1990" t="s">
        <v>570</v>
      </c>
      <c r="B86" s="1991"/>
      <c r="C86" s="1134">
        <f>SUM(D86:E86)</f>
        <v>929</v>
      </c>
      <c r="D86" s="390">
        <f>+F86+H86+J86+L86+N86+P86+R86+T86+V86+X86+Z86+AB86+AD86+AF86</f>
        <v>351</v>
      </c>
      <c r="E86" s="390">
        <f>+G86+I86+K86+M86+O86+Q86+S86+U86+W86+Y86+AA86+AC86+AE86+AG86</f>
        <v>578</v>
      </c>
      <c r="F86" s="402">
        <v>0</v>
      </c>
      <c r="G86" s="403">
        <v>0</v>
      </c>
      <c r="H86" s="402">
        <v>4</v>
      </c>
      <c r="I86" s="403">
        <v>0</v>
      </c>
      <c r="J86" s="402">
        <v>3</v>
      </c>
      <c r="K86" s="403">
        <v>7</v>
      </c>
      <c r="L86" s="402">
        <v>7</v>
      </c>
      <c r="M86" s="403">
        <v>12</v>
      </c>
      <c r="N86" s="402">
        <v>5</v>
      </c>
      <c r="O86" s="403">
        <v>14</v>
      </c>
      <c r="P86" s="402">
        <v>18</v>
      </c>
      <c r="Q86" s="403">
        <v>13</v>
      </c>
      <c r="R86" s="402">
        <v>15</v>
      </c>
      <c r="S86" s="403">
        <v>33</v>
      </c>
      <c r="T86" s="402">
        <v>21</v>
      </c>
      <c r="U86" s="403">
        <v>51</v>
      </c>
      <c r="V86" s="402">
        <v>44</v>
      </c>
      <c r="W86" s="403">
        <v>80</v>
      </c>
      <c r="X86" s="402">
        <v>44</v>
      </c>
      <c r="Y86" s="403">
        <v>101</v>
      </c>
      <c r="Z86" s="402">
        <v>65</v>
      </c>
      <c r="AA86" s="403">
        <v>104</v>
      </c>
      <c r="AB86" s="402">
        <v>55</v>
      </c>
      <c r="AC86" s="403">
        <v>83</v>
      </c>
      <c r="AD86" s="402">
        <v>40</v>
      </c>
      <c r="AE86" s="403">
        <v>39</v>
      </c>
      <c r="AF86" s="462">
        <v>30</v>
      </c>
      <c r="AG86" s="429">
        <v>41</v>
      </c>
      <c r="AH86" s="462">
        <v>52</v>
      </c>
      <c r="AI86" s="403">
        <v>97</v>
      </c>
      <c r="AJ86" s="462">
        <v>7</v>
      </c>
      <c r="AK86" s="403">
        <v>11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8">
        <f t="shared" si="48"/>
        <v>0</v>
      </c>
      <c r="DL86" s="1038">
        <f t="shared" si="49"/>
        <v>0</v>
      </c>
      <c r="DM86" s="1038">
        <f t="shared" si="50"/>
        <v>0</v>
      </c>
      <c r="DN86" s="1038">
        <f t="shared" si="51"/>
        <v>0</v>
      </c>
    </row>
    <row r="87" spans="1:146" ht="15" customHeight="1" x14ac:dyDescent="0.15">
      <c r="A87" s="1939" t="s">
        <v>528</v>
      </c>
      <c r="B87" s="1940"/>
      <c r="C87" s="1135">
        <f t="shared" si="84"/>
        <v>528</v>
      </c>
      <c r="D87" s="538">
        <f>+F87+H87+J87+L87+N87+P87+R87+T87+V87+X87+Z87+AB87+AD87+AF87</f>
        <v>220</v>
      </c>
      <c r="E87" s="586">
        <f>+G87+I87+K87+M87+O87+Q87+S87+U87+W87+Y87+AA87+AC87+AE87+AG87</f>
        <v>308</v>
      </c>
      <c r="F87" s="411">
        <v>1</v>
      </c>
      <c r="G87" s="412">
        <v>0</v>
      </c>
      <c r="H87" s="411">
        <v>3</v>
      </c>
      <c r="I87" s="412">
        <v>0</v>
      </c>
      <c r="J87" s="411">
        <v>2</v>
      </c>
      <c r="K87" s="412">
        <v>7</v>
      </c>
      <c r="L87" s="411">
        <v>9</v>
      </c>
      <c r="M87" s="412">
        <v>15</v>
      </c>
      <c r="N87" s="411">
        <v>6</v>
      </c>
      <c r="O87" s="412">
        <v>24</v>
      </c>
      <c r="P87" s="411">
        <v>15</v>
      </c>
      <c r="Q87" s="412">
        <v>29</v>
      </c>
      <c r="R87" s="411">
        <v>8</v>
      </c>
      <c r="S87" s="412">
        <v>27</v>
      </c>
      <c r="T87" s="411">
        <v>33</v>
      </c>
      <c r="U87" s="412">
        <v>39</v>
      </c>
      <c r="V87" s="411">
        <v>31</v>
      </c>
      <c r="W87" s="412">
        <v>66</v>
      </c>
      <c r="X87" s="411">
        <v>35</v>
      </c>
      <c r="Y87" s="412">
        <v>41</v>
      </c>
      <c r="Z87" s="402">
        <v>35</v>
      </c>
      <c r="AA87" s="403">
        <v>34</v>
      </c>
      <c r="AB87" s="402">
        <v>26</v>
      </c>
      <c r="AC87" s="403">
        <v>12</v>
      </c>
      <c r="AD87" s="402">
        <v>9</v>
      </c>
      <c r="AE87" s="403">
        <v>10</v>
      </c>
      <c r="AF87" s="402">
        <v>7</v>
      </c>
      <c r="AG87" s="429">
        <v>4</v>
      </c>
      <c r="AH87" s="462">
        <v>16</v>
      </c>
      <c r="AI87" s="403">
        <v>26</v>
      </c>
      <c r="AJ87" s="462">
        <v>3</v>
      </c>
      <c r="AK87" s="403">
        <v>4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8">
        <f t="shared" si="48"/>
        <v>0</v>
      </c>
      <c r="DL87" s="1038">
        <f t="shared" si="49"/>
        <v>0</v>
      </c>
      <c r="DM87" s="1038">
        <f t="shared" si="50"/>
        <v>0</v>
      </c>
      <c r="DN87" s="1038">
        <f t="shared" si="51"/>
        <v>0</v>
      </c>
    </row>
    <row r="88" spans="1:146" ht="15" customHeight="1" x14ac:dyDescent="0.15">
      <c r="A88" s="1941" t="s">
        <v>571</v>
      </c>
      <c r="B88" s="1266" t="s">
        <v>572</v>
      </c>
      <c r="C88" s="1138">
        <f>SUM(D88:E88)</f>
        <v>2343</v>
      </c>
      <c r="D88" s="386">
        <f t="shared" ref="D88:E95" si="89">+F88+H88+J88+L88+N88+P88+R88+T88+V88+X88+Z88+AB88+AD88+AF88</f>
        <v>876</v>
      </c>
      <c r="E88" s="384">
        <f t="shared" si="89"/>
        <v>1467</v>
      </c>
      <c r="F88" s="415">
        <v>2</v>
      </c>
      <c r="G88" s="416">
        <v>4</v>
      </c>
      <c r="H88" s="415">
        <v>7</v>
      </c>
      <c r="I88" s="416">
        <v>3</v>
      </c>
      <c r="J88" s="415">
        <v>18</v>
      </c>
      <c r="K88" s="416">
        <v>20</v>
      </c>
      <c r="L88" s="415">
        <v>27</v>
      </c>
      <c r="M88" s="416">
        <v>49</v>
      </c>
      <c r="N88" s="415">
        <v>24</v>
      </c>
      <c r="O88" s="416">
        <v>60</v>
      </c>
      <c r="P88" s="415">
        <v>51</v>
      </c>
      <c r="Q88" s="416">
        <v>81</v>
      </c>
      <c r="R88" s="415">
        <v>52</v>
      </c>
      <c r="S88" s="416">
        <v>98</v>
      </c>
      <c r="T88" s="415">
        <v>94</v>
      </c>
      <c r="U88" s="416">
        <v>178</v>
      </c>
      <c r="V88" s="415">
        <v>99</v>
      </c>
      <c r="W88" s="416">
        <v>226</v>
      </c>
      <c r="X88" s="415">
        <v>151</v>
      </c>
      <c r="Y88" s="416">
        <v>220</v>
      </c>
      <c r="Z88" s="415">
        <v>130</v>
      </c>
      <c r="AA88" s="416">
        <v>201</v>
      </c>
      <c r="AB88" s="415">
        <v>99</v>
      </c>
      <c r="AC88" s="416">
        <v>111</v>
      </c>
      <c r="AD88" s="415">
        <v>55</v>
      </c>
      <c r="AE88" s="416">
        <v>85</v>
      </c>
      <c r="AF88" s="415">
        <v>67</v>
      </c>
      <c r="AG88" s="417">
        <v>131</v>
      </c>
      <c r="AH88" s="410">
        <v>134</v>
      </c>
      <c r="AI88" s="394">
        <v>214</v>
      </c>
      <c r="AJ88" s="460">
        <v>12</v>
      </c>
      <c r="AK88" s="531">
        <v>25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8">
        <f t="shared" si="48"/>
        <v>0</v>
      </c>
      <c r="DL88" s="1038">
        <f t="shared" si="49"/>
        <v>0</v>
      </c>
      <c r="DM88" s="1038">
        <f t="shared" si="50"/>
        <v>0</v>
      </c>
      <c r="DN88" s="1038">
        <f t="shared" si="51"/>
        <v>0</v>
      </c>
    </row>
    <row r="89" spans="1:146" ht="15" customHeight="1" x14ac:dyDescent="0.15">
      <c r="A89" s="1941"/>
      <c r="B89" s="1267" t="s">
        <v>573</v>
      </c>
      <c r="C89" s="1138">
        <f t="shared" ref="C89:C95" si="93">SUM(D89:E89)</f>
        <v>424</v>
      </c>
      <c r="D89" s="396">
        <f t="shared" si="89"/>
        <v>159</v>
      </c>
      <c r="E89" s="446">
        <f t="shared" si="89"/>
        <v>265</v>
      </c>
      <c r="F89" s="397">
        <v>0</v>
      </c>
      <c r="G89" s="398">
        <v>0</v>
      </c>
      <c r="H89" s="397">
        <v>1</v>
      </c>
      <c r="I89" s="398">
        <v>0</v>
      </c>
      <c r="J89" s="397">
        <v>0</v>
      </c>
      <c r="K89" s="398">
        <v>2</v>
      </c>
      <c r="L89" s="397">
        <v>3</v>
      </c>
      <c r="M89" s="398">
        <v>1</v>
      </c>
      <c r="N89" s="397">
        <v>6</v>
      </c>
      <c r="O89" s="398">
        <v>9</v>
      </c>
      <c r="P89" s="397">
        <v>2</v>
      </c>
      <c r="Q89" s="398">
        <v>9</v>
      </c>
      <c r="R89" s="397">
        <v>10</v>
      </c>
      <c r="S89" s="398">
        <v>24</v>
      </c>
      <c r="T89" s="397">
        <v>19</v>
      </c>
      <c r="U89" s="398">
        <v>27</v>
      </c>
      <c r="V89" s="397">
        <v>20</v>
      </c>
      <c r="W89" s="398">
        <v>48</v>
      </c>
      <c r="X89" s="397">
        <v>40</v>
      </c>
      <c r="Y89" s="398">
        <v>45</v>
      </c>
      <c r="Z89" s="397">
        <v>17</v>
      </c>
      <c r="AA89" s="398">
        <v>43</v>
      </c>
      <c r="AB89" s="397">
        <v>18</v>
      </c>
      <c r="AC89" s="398">
        <v>24</v>
      </c>
      <c r="AD89" s="397">
        <v>12</v>
      </c>
      <c r="AE89" s="398">
        <v>19</v>
      </c>
      <c r="AF89" s="415">
        <v>11</v>
      </c>
      <c r="AG89" s="417">
        <v>14</v>
      </c>
      <c r="AH89" s="443">
        <v>18</v>
      </c>
      <c r="AI89" s="398">
        <v>44</v>
      </c>
      <c r="AJ89" s="656">
        <v>3</v>
      </c>
      <c r="AK89" s="531">
        <v>3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8">
        <f t="shared" si="48"/>
        <v>0</v>
      </c>
      <c r="DL89" s="1038">
        <f t="shared" si="49"/>
        <v>0</v>
      </c>
      <c r="DM89" s="1038">
        <f t="shared" si="50"/>
        <v>0</v>
      </c>
      <c r="DN89" s="1038">
        <f t="shared" si="51"/>
        <v>0</v>
      </c>
      <c r="DO89" s="1038">
        <f>IF(F$89+F$90+F$91+F$92+F$93+F$94&lt;=F$23,0,1)</f>
        <v>0</v>
      </c>
      <c r="DP89" s="1038">
        <f t="shared" ref="DP89:EP89" si="94">IF(G$89+G$90+G$91+G$92+G$93+G$94&lt;=G$23,0,1)</f>
        <v>0</v>
      </c>
      <c r="DQ89" s="1038">
        <f t="shared" si="94"/>
        <v>0</v>
      </c>
      <c r="DR89" s="1038">
        <f t="shared" si="94"/>
        <v>0</v>
      </c>
      <c r="DS89" s="1038">
        <f t="shared" si="94"/>
        <v>0</v>
      </c>
      <c r="DT89" s="1038">
        <f t="shared" si="94"/>
        <v>0</v>
      </c>
      <c r="DU89" s="1038">
        <f t="shared" si="94"/>
        <v>0</v>
      </c>
      <c r="DV89" s="1038">
        <f t="shared" si="94"/>
        <v>0</v>
      </c>
      <c r="DW89" s="1038">
        <f t="shared" si="94"/>
        <v>0</v>
      </c>
      <c r="DX89" s="1038">
        <f t="shared" si="94"/>
        <v>0</v>
      </c>
      <c r="DY89" s="1038">
        <f t="shared" si="94"/>
        <v>0</v>
      </c>
      <c r="DZ89" s="1038">
        <f t="shared" si="94"/>
        <v>0</v>
      </c>
      <c r="EA89" s="1038">
        <f t="shared" si="94"/>
        <v>0</v>
      </c>
      <c r="EB89" s="1038">
        <f t="shared" si="94"/>
        <v>0</v>
      </c>
      <c r="EC89" s="1038">
        <f t="shared" si="94"/>
        <v>0</v>
      </c>
      <c r="ED89" s="1038">
        <f t="shared" si="94"/>
        <v>0</v>
      </c>
      <c r="EE89" s="1038">
        <f t="shared" si="94"/>
        <v>0</v>
      </c>
      <c r="EF89" s="1038">
        <f t="shared" si="94"/>
        <v>0</v>
      </c>
      <c r="EG89" s="1038">
        <f t="shared" si="94"/>
        <v>0</v>
      </c>
      <c r="EH89" s="1038">
        <f t="shared" si="94"/>
        <v>0</v>
      </c>
      <c r="EI89" s="1038">
        <f t="shared" si="94"/>
        <v>0</v>
      </c>
      <c r="EJ89" s="1038">
        <f t="shared" si="94"/>
        <v>0</v>
      </c>
      <c r="EK89" s="1038">
        <f t="shared" si="94"/>
        <v>0</v>
      </c>
      <c r="EL89" s="1038">
        <f t="shared" si="94"/>
        <v>0</v>
      </c>
      <c r="EM89" s="1038">
        <f t="shared" si="94"/>
        <v>0</v>
      </c>
      <c r="EN89" s="1038">
        <f t="shared" si="94"/>
        <v>0</v>
      </c>
      <c r="EO89" s="1038">
        <f t="shared" si="94"/>
        <v>0</v>
      </c>
      <c r="EP89" s="1038">
        <f t="shared" si="94"/>
        <v>0</v>
      </c>
    </row>
    <row r="90" spans="1:146" ht="15" customHeight="1" x14ac:dyDescent="0.15">
      <c r="A90" s="1941"/>
      <c r="B90" s="1267" t="s">
        <v>574</v>
      </c>
      <c r="C90" s="1138">
        <f t="shared" si="93"/>
        <v>444</v>
      </c>
      <c r="D90" s="396">
        <f t="shared" si="89"/>
        <v>135</v>
      </c>
      <c r="E90" s="446">
        <f t="shared" si="89"/>
        <v>309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1</v>
      </c>
      <c r="N90" s="397">
        <v>0</v>
      </c>
      <c r="O90" s="398">
        <v>5</v>
      </c>
      <c r="P90" s="397">
        <v>0</v>
      </c>
      <c r="Q90" s="398">
        <v>5</v>
      </c>
      <c r="R90" s="397">
        <v>2</v>
      </c>
      <c r="S90" s="398">
        <v>11</v>
      </c>
      <c r="T90" s="397">
        <v>10</v>
      </c>
      <c r="U90" s="398">
        <v>15</v>
      </c>
      <c r="V90" s="397">
        <v>12</v>
      </c>
      <c r="W90" s="398">
        <v>35</v>
      </c>
      <c r="X90" s="397">
        <v>18</v>
      </c>
      <c r="Y90" s="398">
        <v>62</v>
      </c>
      <c r="Z90" s="397">
        <v>30</v>
      </c>
      <c r="AA90" s="398">
        <v>57</v>
      </c>
      <c r="AB90" s="397">
        <v>29</v>
      </c>
      <c r="AC90" s="398">
        <v>58</v>
      </c>
      <c r="AD90" s="397">
        <v>22</v>
      </c>
      <c r="AE90" s="398">
        <v>38</v>
      </c>
      <c r="AF90" s="415">
        <v>12</v>
      </c>
      <c r="AG90" s="417">
        <v>22</v>
      </c>
      <c r="AH90" s="443">
        <v>32</v>
      </c>
      <c r="AI90" s="398">
        <v>62</v>
      </c>
      <c r="AJ90" s="656">
        <v>0</v>
      </c>
      <c r="AK90" s="531">
        <v>1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8">
        <f t="shared" si="48"/>
        <v>0</v>
      </c>
      <c r="DL90" s="1038">
        <f t="shared" si="49"/>
        <v>0</v>
      </c>
      <c r="DM90" s="1038">
        <f t="shared" si="50"/>
        <v>0</v>
      </c>
      <c r="DN90" s="1038">
        <f t="shared" si="51"/>
        <v>0</v>
      </c>
    </row>
    <row r="91" spans="1:146" ht="15" customHeight="1" x14ac:dyDescent="0.15">
      <c r="A91" s="1941"/>
      <c r="B91" s="1267" t="s">
        <v>575</v>
      </c>
      <c r="C91" s="1138">
        <f t="shared" si="93"/>
        <v>84</v>
      </c>
      <c r="D91" s="396">
        <f t="shared" si="89"/>
        <v>36</v>
      </c>
      <c r="E91" s="446">
        <f t="shared" si="89"/>
        <v>48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1</v>
      </c>
      <c r="S91" s="398">
        <v>0</v>
      </c>
      <c r="T91" s="397">
        <v>2</v>
      </c>
      <c r="U91" s="398">
        <v>2</v>
      </c>
      <c r="V91" s="397">
        <v>0</v>
      </c>
      <c r="W91" s="398">
        <v>3</v>
      </c>
      <c r="X91" s="397">
        <v>2</v>
      </c>
      <c r="Y91" s="398">
        <v>5</v>
      </c>
      <c r="Z91" s="397">
        <v>6</v>
      </c>
      <c r="AA91" s="398">
        <v>9</v>
      </c>
      <c r="AB91" s="397">
        <v>14</v>
      </c>
      <c r="AC91" s="398">
        <v>7</v>
      </c>
      <c r="AD91" s="397">
        <v>6</v>
      </c>
      <c r="AE91" s="398">
        <v>6</v>
      </c>
      <c r="AF91" s="415">
        <v>5</v>
      </c>
      <c r="AG91" s="417">
        <v>16</v>
      </c>
      <c r="AH91" s="443">
        <v>7</v>
      </c>
      <c r="AI91" s="398">
        <v>8</v>
      </c>
      <c r="AJ91" s="463">
        <v>1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8">
        <f t="shared" si="48"/>
        <v>0</v>
      </c>
      <c r="DL91" s="1038">
        <f t="shared" si="49"/>
        <v>0</v>
      </c>
      <c r="DM91" s="1038">
        <f t="shared" si="50"/>
        <v>0</v>
      </c>
      <c r="DN91" s="1038">
        <f t="shared" si="51"/>
        <v>0</v>
      </c>
    </row>
    <row r="92" spans="1:146" ht="15" customHeight="1" x14ac:dyDescent="0.15">
      <c r="A92" s="1941"/>
      <c r="B92" s="1267" t="s">
        <v>576</v>
      </c>
      <c r="C92" s="1138">
        <f t="shared" si="93"/>
        <v>40</v>
      </c>
      <c r="D92" s="396">
        <f t="shared" si="89"/>
        <v>9</v>
      </c>
      <c r="E92" s="446">
        <f t="shared" si="89"/>
        <v>31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1</v>
      </c>
      <c r="T92" s="397">
        <v>0</v>
      </c>
      <c r="U92" s="398">
        <v>0</v>
      </c>
      <c r="V92" s="397">
        <v>2</v>
      </c>
      <c r="W92" s="398">
        <v>2</v>
      </c>
      <c r="X92" s="397">
        <v>0</v>
      </c>
      <c r="Y92" s="398">
        <v>2</v>
      </c>
      <c r="Z92" s="397">
        <v>1</v>
      </c>
      <c r="AA92" s="398">
        <v>5</v>
      </c>
      <c r="AB92" s="397">
        <v>0</v>
      </c>
      <c r="AC92" s="398">
        <v>0</v>
      </c>
      <c r="AD92" s="397">
        <v>0</v>
      </c>
      <c r="AE92" s="398">
        <v>3</v>
      </c>
      <c r="AF92" s="415">
        <v>6</v>
      </c>
      <c r="AG92" s="417">
        <v>18</v>
      </c>
      <c r="AH92" s="443">
        <v>0</v>
      </c>
      <c r="AI92" s="398">
        <v>8</v>
      </c>
      <c r="AJ92" s="656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8">
        <f t="shared" si="48"/>
        <v>0</v>
      </c>
      <c r="DL92" s="1038">
        <f t="shared" si="49"/>
        <v>0</v>
      </c>
      <c r="DM92" s="1038">
        <f t="shared" si="50"/>
        <v>0</v>
      </c>
      <c r="DN92" s="1038">
        <f t="shared" si="51"/>
        <v>0</v>
      </c>
    </row>
    <row r="93" spans="1:146" ht="15" customHeight="1" x14ac:dyDescent="0.15">
      <c r="A93" s="1941"/>
      <c r="B93" s="1267" t="s">
        <v>577</v>
      </c>
      <c r="C93" s="1138">
        <f t="shared" si="93"/>
        <v>17</v>
      </c>
      <c r="D93" s="396">
        <f t="shared" si="89"/>
        <v>5</v>
      </c>
      <c r="E93" s="446">
        <f t="shared" si="89"/>
        <v>12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1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1</v>
      </c>
      <c r="W93" s="398">
        <v>0</v>
      </c>
      <c r="X93" s="397">
        <v>1</v>
      </c>
      <c r="Y93" s="398">
        <v>2</v>
      </c>
      <c r="Z93" s="397">
        <v>0</v>
      </c>
      <c r="AA93" s="398">
        <v>1</v>
      </c>
      <c r="AB93" s="397">
        <v>1</v>
      </c>
      <c r="AC93" s="398">
        <v>1</v>
      </c>
      <c r="AD93" s="397">
        <v>2</v>
      </c>
      <c r="AE93" s="398">
        <v>0</v>
      </c>
      <c r="AF93" s="415">
        <v>0</v>
      </c>
      <c r="AG93" s="417">
        <v>7</v>
      </c>
      <c r="AH93" s="443">
        <v>1</v>
      </c>
      <c r="AI93" s="398">
        <v>2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8">
        <f t="shared" si="48"/>
        <v>0</v>
      </c>
      <c r="DL93" s="1038">
        <f t="shared" si="49"/>
        <v>0</v>
      </c>
      <c r="DM93" s="1038">
        <f t="shared" si="50"/>
        <v>0</v>
      </c>
      <c r="DN93" s="1038">
        <f t="shared" si="51"/>
        <v>0</v>
      </c>
    </row>
    <row r="94" spans="1:146" ht="15" customHeight="1" x14ac:dyDescent="0.15">
      <c r="A94" s="1941"/>
      <c r="B94" s="1268" t="s">
        <v>578</v>
      </c>
      <c r="C94" s="1138">
        <f>SUM(D94:E94)</f>
        <v>8</v>
      </c>
      <c r="D94" s="396">
        <f>+F94+H94+J94+L94+N94+P94+R94+T94+V94+X94+Z94+AB94+AD94+AF94</f>
        <v>3</v>
      </c>
      <c r="E94" s="446">
        <f>+G94+I94+K94+M94+O94+Q94+S94+U94+W94+Y94+AA94+AC94+AE94+AG94</f>
        <v>5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1</v>
      </c>
      <c r="V94" s="406">
        <v>0</v>
      </c>
      <c r="W94" s="407">
        <v>0</v>
      </c>
      <c r="X94" s="406">
        <v>2</v>
      </c>
      <c r="Y94" s="407">
        <v>2</v>
      </c>
      <c r="Z94" s="406">
        <v>0</v>
      </c>
      <c r="AA94" s="407">
        <v>1</v>
      </c>
      <c r="AB94" s="406">
        <v>0</v>
      </c>
      <c r="AC94" s="407">
        <v>1</v>
      </c>
      <c r="AD94" s="406">
        <v>1</v>
      </c>
      <c r="AE94" s="407">
        <v>0</v>
      </c>
      <c r="AF94" s="406">
        <v>0</v>
      </c>
      <c r="AG94" s="408">
        <v>0</v>
      </c>
      <c r="AH94" s="447">
        <v>0</v>
      </c>
      <c r="AI94" s="407">
        <v>3</v>
      </c>
      <c r="AJ94" s="656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8">
        <f t="shared" si="48"/>
        <v>0</v>
      </c>
      <c r="DL94" s="1038">
        <f t="shared" si="49"/>
        <v>0</v>
      </c>
      <c r="DM94" s="1038">
        <f t="shared" si="50"/>
        <v>0</v>
      </c>
      <c r="DN94" s="1038">
        <f t="shared" si="51"/>
        <v>0</v>
      </c>
    </row>
    <row r="95" spans="1:146" ht="15" customHeight="1" x14ac:dyDescent="0.15">
      <c r="A95" s="1941"/>
      <c r="B95" s="1269" t="s">
        <v>579</v>
      </c>
      <c r="C95" s="1134">
        <f t="shared" si="93"/>
        <v>45</v>
      </c>
      <c r="D95" s="390">
        <f t="shared" si="89"/>
        <v>18</v>
      </c>
      <c r="E95" s="456">
        <f t="shared" si="89"/>
        <v>27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1</v>
      </c>
      <c r="P95" s="402">
        <v>0</v>
      </c>
      <c r="Q95" s="403">
        <v>1</v>
      </c>
      <c r="R95" s="402">
        <v>0</v>
      </c>
      <c r="S95" s="403">
        <v>3</v>
      </c>
      <c r="T95" s="402">
        <v>1</v>
      </c>
      <c r="U95" s="403">
        <v>1</v>
      </c>
      <c r="V95" s="402">
        <v>1</v>
      </c>
      <c r="W95" s="403">
        <v>4</v>
      </c>
      <c r="X95" s="402">
        <v>4</v>
      </c>
      <c r="Y95" s="403">
        <v>4</v>
      </c>
      <c r="Z95" s="402">
        <v>5</v>
      </c>
      <c r="AA95" s="403">
        <v>4</v>
      </c>
      <c r="AB95" s="402">
        <v>2</v>
      </c>
      <c r="AC95" s="403">
        <v>3</v>
      </c>
      <c r="AD95" s="402">
        <v>3</v>
      </c>
      <c r="AE95" s="403">
        <v>2</v>
      </c>
      <c r="AF95" s="402">
        <v>2</v>
      </c>
      <c r="AG95" s="429">
        <v>4</v>
      </c>
      <c r="AH95" s="414">
        <v>3</v>
      </c>
      <c r="AI95" s="403">
        <v>3</v>
      </c>
      <c r="AJ95" s="656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8">
        <f t="shared" si="48"/>
        <v>0</v>
      </c>
      <c r="DL95" s="1038">
        <f t="shared" si="49"/>
        <v>0</v>
      </c>
      <c r="DM95" s="1038">
        <f t="shared" si="50"/>
        <v>0</v>
      </c>
      <c r="DN95" s="1038">
        <f t="shared" si="51"/>
        <v>0</v>
      </c>
    </row>
    <row r="96" spans="1:146" ht="15" customHeight="1" x14ac:dyDescent="0.15">
      <c r="A96" s="1941"/>
      <c r="B96" s="1269" t="s">
        <v>54</v>
      </c>
      <c r="C96" s="1134">
        <f>SUM(D96:E96)</f>
        <v>3405</v>
      </c>
      <c r="D96" s="390">
        <f>+F96+H96+J96+L96+N96+P96+R96+T96+V96+X96+Z96+AB96+AD96+AF96</f>
        <v>1241</v>
      </c>
      <c r="E96" s="456">
        <f>+G96+I96+K96+M96+O96+Q96+S96+U96+W96+Y96+AA96+AC96+AE96+AG96</f>
        <v>2164</v>
      </c>
      <c r="F96" s="1217">
        <f>SUM(F88:F95)</f>
        <v>2</v>
      </c>
      <c r="G96" s="1023">
        <f t="shared" ref="G96:AK96" si="95">SUM(G88:G95)</f>
        <v>4</v>
      </c>
      <c r="H96" s="1217">
        <f t="shared" si="95"/>
        <v>8</v>
      </c>
      <c r="I96" s="1023">
        <f t="shared" si="95"/>
        <v>3</v>
      </c>
      <c r="J96" s="1217">
        <f t="shared" si="95"/>
        <v>18</v>
      </c>
      <c r="K96" s="1023">
        <f t="shared" si="95"/>
        <v>22</v>
      </c>
      <c r="L96" s="1217">
        <f t="shared" si="95"/>
        <v>30</v>
      </c>
      <c r="M96" s="1023">
        <f t="shared" si="95"/>
        <v>51</v>
      </c>
      <c r="N96" s="1217">
        <f t="shared" si="95"/>
        <v>30</v>
      </c>
      <c r="O96" s="1023">
        <f t="shared" si="95"/>
        <v>76</v>
      </c>
      <c r="P96" s="1217">
        <f t="shared" si="95"/>
        <v>53</v>
      </c>
      <c r="Q96" s="1023">
        <f t="shared" si="95"/>
        <v>96</v>
      </c>
      <c r="R96" s="1217">
        <f t="shared" si="95"/>
        <v>65</v>
      </c>
      <c r="S96" s="1023">
        <f t="shared" si="95"/>
        <v>137</v>
      </c>
      <c r="T96" s="1217">
        <f t="shared" si="95"/>
        <v>126</v>
      </c>
      <c r="U96" s="1023">
        <f t="shared" si="95"/>
        <v>224</v>
      </c>
      <c r="V96" s="1217">
        <f t="shared" si="95"/>
        <v>135</v>
      </c>
      <c r="W96" s="1023">
        <f t="shared" si="95"/>
        <v>318</v>
      </c>
      <c r="X96" s="1217">
        <f t="shared" si="95"/>
        <v>218</v>
      </c>
      <c r="Y96" s="1023">
        <f t="shared" si="95"/>
        <v>342</v>
      </c>
      <c r="Z96" s="1217">
        <f t="shared" si="95"/>
        <v>189</v>
      </c>
      <c r="AA96" s="1023">
        <f t="shared" si="95"/>
        <v>321</v>
      </c>
      <c r="AB96" s="1217">
        <f t="shared" si="95"/>
        <v>163</v>
      </c>
      <c r="AC96" s="1023">
        <f t="shared" si="95"/>
        <v>205</v>
      </c>
      <c r="AD96" s="1217">
        <f t="shared" si="95"/>
        <v>101</v>
      </c>
      <c r="AE96" s="1023">
        <f t="shared" si="95"/>
        <v>153</v>
      </c>
      <c r="AF96" s="1217">
        <f t="shared" si="95"/>
        <v>103</v>
      </c>
      <c r="AG96" s="458">
        <f t="shared" si="95"/>
        <v>212</v>
      </c>
      <c r="AH96" s="1024">
        <f t="shared" si="95"/>
        <v>195</v>
      </c>
      <c r="AI96" s="1023">
        <f t="shared" si="95"/>
        <v>344</v>
      </c>
      <c r="AJ96" s="1490">
        <f t="shared" si="95"/>
        <v>16</v>
      </c>
      <c r="AK96" s="1491">
        <f t="shared" si="95"/>
        <v>29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86">
        <f>SUM(C12:C23,C28:C42,C48:C73,C75:C80,C82:C95)</f>
        <v>43260</v>
      </c>
      <c r="B110" s="189" t="s">
        <v>210</v>
      </c>
    </row>
    <row r="111" spans="1:26" hidden="1" x14ac:dyDescent="0.15">
      <c r="A111" s="1486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H7" zoomScaleNormal="100" workbookViewId="0">
      <selection activeCell="P14" sqref="P14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34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4" t="s">
        <v>581</v>
      </c>
      <c r="B7" s="2014"/>
      <c r="C7" s="2014"/>
      <c r="D7" s="2014"/>
      <c r="E7" s="2014"/>
      <c r="F7" s="2014"/>
      <c r="G7" s="2014"/>
      <c r="H7" s="2014"/>
      <c r="I7" s="2014"/>
      <c r="J7" s="2014"/>
      <c r="K7" s="2014"/>
      <c r="L7" s="2014"/>
      <c r="M7" s="2014"/>
      <c r="N7" s="2014"/>
      <c r="O7" s="2014"/>
      <c r="P7" s="2014"/>
      <c r="Q7" s="2014"/>
      <c r="R7" s="2014"/>
      <c r="S7" s="2014"/>
      <c r="T7" s="2014"/>
      <c r="U7" s="2014"/>
    </row>
    <row r="8" spans="1:98" s="1095" customFormat="1" ht="17.100000000000001" customHeight="1" x14ac:dyDescent="0.2">
      <c r="A8" s="1098" t="s">
        <v>582</v>
      </c>
      <c r="B8" s="1098"/>
      <c r="C8" s="1098"/>
      <c r="D8" s="1098"/>
      <c r="E8" s="1099"/>
      <c r="F8" s="1099"/>
      <c r="G8" s="1099"/>
      <c r="H8" s="1096"/>
      <c r="M8" s="1097"/>
      <c r="AB8" s="1334"/>
      <c r="AC8" s="1094"/>
      <c r="AD8" s="1094"/>
      <c r="AE8" s="1094"/>
      <c r="AF8" s="1094"/>
      <c r="AG8" s="1094"/>
      <c r="AH8" s="1094"/>
      <c r="AI8" s="1094"/>
      <c r="AJ8" s="1094"/>
      <c r="AK8" s="1094"/>
      <c r="AL8" s="1094"/>
      <c r="AM8" s="1094"/>
      <c r="AN8" s="1094"/>
      <c r="AO8" s="1094"/>
      <c r="AP8" s="1094"/>
      <c r="AQ8" s="1094"/>
      <c r="AR8" s="1094"/>
      <c r="AS8" s="1094"/>
      <c r="AT8" s="1094"/>
      <c r="AU8" s="1094"/>
      <c r="AV8" s="1094"/>
      <c r="AW8" s="1094"/>
      <c r="AX8" s="1094"/>
      <c r="AY8" s="1094"/>
      <c r="CB8" s="1710" t="s">
        <v>56</v>
      </c>
      <c r="CC8" s="1653"/>
      <c r="CD8" s="1710" t="s">
        <v>583</v>
      </c>
      <c r="CE8" s="1653"/>
      <c r="CF8" s="1710" t="s">
        <v>584</v>
      </c>
      <c r="CG8" s="1653"/>
      <c r="CJ8" s="1100"/>
      <c r="CK8" s="1100"/>
      <c r="CL8" s="1100"/>
      <c r="CM8" s="1100"/>
      <c r="CO8" s="1710" t="s">
        <v>56</v>
      </c>
      <c r="CP8" s="1653"/>
      <c r="CQ8" s="1710" t="s">
        <v>583</v>
      </c>
      <c r="CR8" s="1653"/>
      <c r="CS8" s="1710" t="s">
        <v>584</v>
      </c>
      <c r="CT8" s="1653"/>
    </row>
    <row r="9" spans="1:98" ht="21" customHeight="1" x14ac:dyDescent="0.25">
      <c r="A9" s="2036" t="s">
        <v>585</v>
      </c>
      <c r="B9" s="2037"/>
      <c r="C9" s="2015" t="s">
        <v>54</v>
      </c>
      <c r="D9" s="2015"/>
      <c r="E9" s="2015"/>
      <c r="F9" s="2019" t="s">
        <v>381</v>
      </c>
      <c r="G9" s="2020"/>
      <c r="H9" s="2020"/>
      <c r="I9" s="2020"/>
      <c r="J9" s="2020"/>
      <c r="K9" s="2020"/>
      <c r="L9" s="2020"/>
      <c r="M9" s="2020"/>
      <c r="N9" s="2020"/>
      <c r="O9" s="2020"/>
      <c r="P9" s="2020"/>
      <c r="Q9" s="2020"/>
      <c r="R9" s="2020"/>
      <c r="S9" s="2020"/>
      <c r="T9" s="2020"/>
      <c r="U9" s="2021"/>
      <c r="V9" s="1801" t="s">
        <v>56</v>
      </c>
      <c r="W9" s="1800"/>
      <c r="X9" s="1650" t="s">
        <v>57</v>
      </c>
      <c r="Y9" s="1800"/>
      <c r="Z9" s="1650" t="s">
        <v>584</v>
      </c>
      <c r="AA9" s="1800"/>
      <c r="CB9" s="1711"/>
      <c r="CC9" s="1654"/>
      <c r="CD9" s="1711"/>
      <c r="CE9" s="1654"/>
      <c r="CF9" s="1711"/>
      <c r="CG9" s="1654"/>
      <c r="CJ9" s="184"/>
      <c r="CK9" s="184"/>
      <c r="CL9" s="184"/>
      <c r="CM9" s="184"/>
      <c r="CO9" s="1711"/>
      <c r="CP9" s="1654"/>
      <c r="CQ9" s="1711"/>
      <c r="CR9" s="1654"/>
      <c r="CS9" s="1711"/>
      <c r="CT9" s="1654"/>
    </row>
    <row r="10" spans="1:98" ht="18" customHeight="1" x14ac:dyDescent="0.25">
      <c r="A10" s="2038"/>
      <c r="B10" s="2039"/>
      <c r="C10" s="2015"/>
      <c r="D10" s="2015"/>
      <c r="E10" s="2015"/>
      <c r="F10" s="1881" t="s">
        <v>72</v>
      </c>
      <c r="G10" s="1877"/>
      <c r="H10" s="1876" t="s">
        <v>411</v>
      </c>
      <c r="I10" s="1877"/>
      <c r="J10" s="1876" t="s">
        <v>412</v>
      </c>
      <c r="K10" s="1877"/>
      <c r="L10" s="1876" t="s">
        <v>586</v>
      </c>
      <c r="M10" s="1881"/>
      <c r="N10" s="1876" t="s">
        <v>587</v>
      </c>
      <c r="O10" s="1881"/>
      <c r="P10" s="1876" t="s">
        <v>588</v>
      </c>
      <c r="Q10" s="1881"/>
      <c r="R10" s="1876" t="s">
        <v>589</v>
      </c>
      <c r="S10" s="1881"/>
      <c r="T10" s="1876" t="s">
        <v>590</v>
      </c>
      <c r="U10" s="1881"/>
      <c r="V10" s="1801"/>
      <c r="W10" s="1800"/>
      <c r="X10" s="1650"/>
      <c r="Y10" s="1800"/>
      <c r="Z10" s="1650"/>
      <c r="AA10" s="1800"/>
      <c r="CB10" s="1499" t="s">
        <v>91</v>
      </c>
      <c r="CC10" s="1499" t="s">
        <v>231</v>
      </c>
      <c r="CD10" s="1499" t="s">
        <v>91</v>
      </c>
      <c r="CE10" s="1499" t="s">
        <v>231</v>
      </c>
      <c r="CF10" s="1499" t="s">
        <v>91</v>
      </c>
      <c r="CG10" s="1499" t="s">
        <v>231</v>
      </c>
      <c r="CJ10" s="1055"/>
      <c r="CK10" s="1055"/>
      <c r="CL10" s="1055"/>
      <c r="CM10" s="1055"/>
      <c r="CO10" s="1499" t="s">
        <v>91</v>
      </c>
      <c r="CP10" s="1499" t="s">
        <v>231</v>
      </c>
      <c r="CQ10" s="1499" t="s">
        <v>91</v>
      </c>
      <c r="CR10" s="1499" t="s">
        <v>231</v>
      </c>
      <c r="CS10" s="1499" t="s">
        <v>91</v>
      </c>
      <c r="CT10" s="1499" t="s">
        <v>231</v>
      </c>
    </row>
    <row r="11" spans="1:98" ht="21" x14ac:dyDescent="0.25">
      <c r="A11" s="2040"/>
      <c r="B11" s="2041"/>
      <c r="C11" s="1458" t="s">
        <v>414</v>
      </c>
      <c r="D11" s="1500" t="s">
        <v>91</v>
      </c>
      <c r="E11" s="1191" t="s">
        <v>231</v>
      </c>
      <c r="F11" s="1213" t="s">
        <v>415</v>
      </c>
      <c r="G11" s="871" t="s">
        <v>231</v>
      </c>
      <c r="H11" s="1213" t="s">
        <v>415</v>
      </c>
      <c r="I11" s="871" t="s">
        <v>231</v>
      </c>
      <c r="J11" s="1213" t="s">
        <v>415</v>
      </c>
      <c r="K11" s="871" t="s">
        <v>231</v>
      </c>
      <c r="L11" s="1213" t="s">
        <v>415</v>
      </c>
      <c r="M11" s="86" t="s">
        <v>231</v>
      </c>
      <c r="N11" s="1213" t="s">
        <v>415</v>
      </c>
      <c r="O11" s="86" t="s">
        <v>231</v>
      </c>
      <c r="P11" s="1213" t="s">
        <v>415</v>
      </c>
      <c r="Q11" s="86" t="s">
        <v>231</v>
      </c>
      <c r="R11" s="1213" t="s">
        <v>415</v>
      </c>
      <c r="S11" s="86" t="s">
        <v>231</v>
      </c>
      <c r="T11" s="1213" t="s">
        <v>415</v>
      </c>
      <c r="U11" s="86" t="s">
        <v>231</v>
      </c>
      <c r="V11" s="190" t="s">
        <v>91</v>
      </c>
      <c r="W11" s="1400" t="s">
        <v>231</v>
      </c>
      <c r="X11" s="1380" t="s">
        <v>91</v>
      </c>
      <c r="Y11" s="1400" t="s">
        <v>231</v>
      </c>
      <c r="Z11" s="1380" t="s">
        <v>91</v>
      </c>
      <c r="AA11" s="1400" t="s">
        <v>231</v>
      </c>
    </row>
    <row r="12" spans="1:98" ht="15" customHeight="1" x14ac:dyDescent="0.25">
      <c r="A12" s="2042" t="s">
        <v>591</v>
      </c>
      <c r="B12" s="2043"/>
      <c r="C12" s="1145">
        <f t="shared" ref="C12:C21" si="0">SUM(D12:E12)</f>
        <v>350</v>
      </c>
      <c r="D12" s="469">
        <f>+F12+H12+J12+L12+N12+P12+R12+T12</f>
        <v>137</v>
      </c>
      <c r="E12" s="470">
        <f>+G12+I12+K12+M12+O12+Q12+S12+U12</f>
        <v>213</v>
      </c>
      <c r="F12" s="471">
        <v>55</v>
      </c>
      <c r="G12" s="472">
        <v>94</v>
      </c>
      <c r="H12" s="471">
        <v>32</v>
      </c>
      <c r="I12" s="472">
        <v>59</v>
      </c>
      <c r="J12" s="471">
        <v>28</v>
      </c>
      <c r="K12" s="472">
        <v>37</v>
      </c>
      <c r="L12" s="471">
        <v>14</v>
      </c>
      <c r="M12" s="473">
        <v>15</v>
      </c>
      <c r="N12" s="471">
        <v>6</v>
      </c>
      <c r="O12" s="473">
        <v>7</v>
      </c>
      <c r="P12" s="471">
        <v>2</v>
      </c>
      <c r="Q12" s="473">
        <v>1</v>
      </c>
      <c r="R12" s="471">
        <v>0</v>
      </c>
      <c r="S12" s="473">
        <v>0</v>
      </c>
      <c r="T12" s="471">
        <v>0</v>
      </c>
      <c r="U12" s="473">
        <v>0</v>
      </c>
      <c r="V12" s="474">
        <v>28</v>
      </c>
      <c r="W12" s="472">
        <v>30</v>
      </c>
      <c r="X12" s="475">
        <v>2</v>
      </c>
      <c r="Y12" s="472">
        <v>9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8">
        <f>IF(AND(D12&gt;0,OR(V12="")),1,IF(V12&gt;D12,1,0))</f>
        <v>0</v>
      </c>
      <c r="CP12" s="1038">
        <f>IF(AND(E12&gt;0,OR(W12="")),1,IF(W12&gt;E12,1,0))</f>
        <v>0</v>
      </c>
      <c r="CQ12" s="1038">
        <f>IF(AND($D12&gt;0,OR(X12="")),1,IF(X12&gt;$D12,1,0))</f>
        <v>0</v>
      </c>
      <c r="CR12" s="1038">
        <f>IF(AND(E12&gt;0,OR(Y12="")),1,IF(Y12&gt;E12,1,0))</f>
        <v>0</v>
      </c>
      <c r="CS12" s="1038">
        <f>IF(AND($D12&gt;0,OR(Z12="")),1,IF(Z12&gt;$D12,1,0))</f>
        <v>0</v>
      </c>
      <c r="CT12" s="1038">
        <f>IF(AND($E12&gt;0,OR(AA12="")),1,IF(AA12&gt;$E12,1,0))</f>
        <v>0</v>
      </c>
    </row>
    <row r="13" spans="1:98" ht="15" customHeight="1" x14ac:dyDescent="0.25">
      <c r="A13" s="2044" t="s">
        <v>592</v>
      </c>
      <c r="B13" s="2045"/>
      <c r="C13" s="1146">
        <f t="shared" si="0"/>
        <v>323</v>
      </c>
      <c r="D13" s="476">
        <f t="shared" ref="D13:D14" si="1">+F13+H13+J13+L13+N13+P13+R13+T13</f>
        <v>147</v>
      </c>
      <c r="E13" s="477">
        <f t="shared" ref="E13:E14" si="2">+G13+I13+K13+M13+O13+Q13+S13+U13</f>
        <v>176</v>
      </c>
      <c r="F13" s="478">
        <v>51</v>
      </c>
      <c r="G13" s="479">
        <v>76</v>
      </c>
      <c r="H13" s="478">
        <v>51</v>
      </c>
      <c r="I13" s="479">
        <v>48</v>
      </c>
      <c r="J13" s="478">
        <v>31</v>
      </c>
      <c r="K13" s="479">
        <v>19</v>
      </c>
      <c r="L13" s="478">
        <v>7</v>
      </c>
      <c r="M13" s="480">
        <v>21</v>
      </c>
      <c r="N13" s="478">
        <v>5</v>
      </c>
      <c r="O13" s="480">
        <v>9</v>
      </c>
      <c r="P13" s="478">
        <v>2</v>
      </c>
      <c r="Q13" s="480">
        <v>3</v>
      </c>
      <c r="R13" s="478">
        <v>0</v>
      </c>
      <c r="S13" s="480">
        <v>0</v>
      </c>
      <c r="T13" s="478">
        <v>0</v>
      </c>
      <c r="U13" s="480">
        <v>0</v>
      </c>
      <c r="V13" s="481">
        <v>16</v>
      </c>
      <c r="W13" s="479">
        <v>25</v>
      </c>
      <c r="X13" s="482">
        <v>0</v>
      </c>
      <c r="Y13" s="479">
        <v>3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8">
        <f t="shared" ref="CO13:CP14" si="3">IF(AND(D13&gt;0,OR(V13="")),1,IF(V13&gt;D13,1,0))</f>
        <v>0</v>
      </c>
      <c r="CP13" s="1038">
        <f t="shared" si="3"/>
        <v>0</v>
      </c>
      <c r="CQ13" s="1038">
        <f>IF(AND($D13&gt;0,OR(X13="")),1,IF(X13&gt;$D13,1,0))</f>
        <v>0</v>
      </c>
      <c r="CR13" s="1038">
        <f>IF(AND(E13&gt;0,OR(Y13="")),1,IF(Y13&gt;E13,1,0))</f>
        <v>0</v>
      </c>
      <c r="CS13" s="1038">
        <f>IF(AND($D13&gt;0,OR(Z13="")),1,IF(Z13&gt;$D13,1,0))</f>
        <v>0</v>
      </c>
      <c r="CT13" s="1038">
        <f>IF(AND($E13&gt;0,OR(AA13="")),1,IF(AA13&gt;$E13,1,0))</f>
        <v>0</v>
      </c>
    </row>
    <row r="14" spans="1:98" ht="15" customHeight="1" x14ac:dyDescent="0.25">
      <c r="A14" s="2046" t="s">
        <v>593</v>
      </c>
      <c r="B14" s="2047"/>
      <c r="C14" s="1146">
        <f t="shared" si="0"/>
        <v>205</v>
      </c>
      <c r="D14" s="476">
        <f t="shared" si="1"/>
        <v>58</v>
      </c>
      <c r="E14" s="477">
        <f t="shared" si="2"/>
        <v>147</v>
      </c>
      <c r="F14" s="483">
        <v>9</v>
      </c>
      <c r="G14" s="484">
        <v>29</v>
      </c>
      <c r="H14" s="483">
        <v>15</v>
      </c>
      <c r="I14" s="484">
        <v>29</v>
      </c>
      <c r="J14" s="483">
        <v>10</v>
      </c>
      <c r="K14" s="484">
        <v>28</v>
      </c>
      <c r="L14" s="483">
        <v>12</v>
      </c>
      <c r="M14" s="485">
        <v>26</v>
      </c>
      <c r="N14" s="483">
        <v>7</v>
      </c>
      <c r="O14" s="485">
        <v>20</v>
      </c>
      <c r="P14" s="483">
        <v>4</v>
      </c>
      <c r="Q14" s="485">
        <v>12</v>
      </c>
      <c r="R14" s="483">
        <v>1</v>
      </c>
      <c r="S14" s="485">
        <v>3</v>
      </c>
      <c r="T14" s="977">
        <v>0</v>
      </c>
      <c r="U14" s="485">
        <v>0</v>
      </c>
      <c r="V14" s="486">
        <v>14</v>
      </c>
      <c r="W14" s="484">
        <v>22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8">
        <f t="shared" si="3"/>
        <v>0</v>
      </c>
      <c r="CP14" s="1038">
        <f t="shared" si="3"/>
        <v>0</v>
      </c>
      <c r="CQ14" s="1038">
        <f>IF(AND($D14&gt;0,OR(X14="")),1,IF(X14&gt;$D14,1,0))</f>
        <v>0</v>
      </c>
      <c r="CR14" s="1038">
        <f>IF(AND(E14&gt;0,OR(Y14="")),1,IF(Y14&gt;E14,1,0))</f>
        <v>0</v>
      </c>
      <c r="CS14" s="1038">
        <f>IF(AND($D14&gt;0,OR(Z14="")),1,IF(Z14&gt;$D14,1,0))</f>
        <v>0</v>
      </c>
      <c r="CT14" s="1038">
        <f>IF(AND($E14&gt;0,OR(AA14="")),1,IF(AA14&gt;$E14,1,0))</f>
        <v>0</v>
      </c>
    </row>
    <row r="15" spans="1:98" ht="15" customHeight="1" x14ac:dyDescent="0.25">
      <c r="A15" s="2048" t="s">
        <v>594</v>
      </c>
      <c r="B15" s="2049"/>
      <c r="C15" s="1501">
        <f>SUM(D15:E15)</f>
        <v>878</v>
      </c>
      <c r="D15" s="1502">
        <f>+F15+H15+J15+L15+N15+P15+R15+T15</f>
        <v>342</v>
      </c>
      <c r="E15" s="1192">
        <f>+G15+I15+K15+M15+O15+Q15+S15+U15</f>
        <v>536</v>
      </c>
      <c r="F15" s="1218">
        <f>SUM(F12:F14)</f>
        <v>115</v>
      </c>
      <c r="G15" s="1192">
        <f t="shared" ref="G15:X15" si="4">SUM(G12:G14)</f>
        <v>199</v>
      </c>
      <c r="H15" s="1218">
        <f t="shared" si="4"/>
        <v>98</v>
      </c>
      <c r="I15" s="1192">
        <f t="shared" si="4"/>
        <v>136</v>
      </c>
      <c r="J15" s="1218">
        <f t="shared" si="4"/>
        <v>69</v>
      </c>
      <c r="K15" s="1192">
        <f t="shared" si="4"/>
        <v>84</v>
      </c>
      <c r="L15" s="1218">
        <f t="shared" si="4"/>
        <v>33</v>
      </c>
      <c r="M15" s="488">
        <f t="shared" si="4"/>
        <v>62</v>
      </c>
      <c r="N15" s="1218">
        <f t="shared" ref="N15:O15" si="5">SUM(N12:N14)</f>
        <v>18</v>
      </c>
      <c r="O15" s="488">
        <f t="shared" si="5"/>
        <v>36</v>
      </c>
      <c r="P15" s="1218">
        <f t="shared" ref="P15:Q15" si="6">SUM(P12:P14)</f>
        <v>8</v>
      </c>
      <c r="Q15" s="488">
        <f t="shared" si="6"/>
        <v>16</v>
      </c>
      <c r="R15" s="1218">
        <f t="shared" ref="R15:S15" si="7">SUM(R12:R14)</f>
        <v>1</v>
      </c>
      <c r="S15" s="488">
        <f t="shared" si="7"/>
        <v>3</v>
      </c>
      <c r="T15" s="1218">
        <f t="shared" si="4"/>
        <v>0</v>
      </c>
      <c r="U15" s="488">
        <f t="shared" si="4"/>
        <v>0</v>
      </c>
      <c r="V15" s="489">
        <f>SUM(V12:V14)</f>
        <v>58</v>
      </c>
      <c r="W15" s="1192">
        <f>SUM(W12:W14)</f>
        <v>77</v>
      </c>
      <c r="X15" s="1502">
        <f t="shared" si="4"/>
        <v>2</v>
      </c>
      <c r="Y15" s="1192">
        <f>SUM(Y12:Y14)</f>
        <v>12</v>
      </c>
      <c r="Z15" s="1502">
        <f t="shared" ref="Z15" si="8">SUM(Z12:Z14)</f>
        <v>0</v>
      </c>
      <c r="AA15" s="1192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42" t="s">
        <v>595</v>
      </c>
      <c r="B16" s="2043"/>
      <c r="C16" s="1145">
        <f t="shared" si="0"/>
        <v>145</v>
      </c>
      <c r="D16" s="469">
        <f>+F16+H16+J16+L16+N16+P16+R16+T16</f>
        <v>45</v>
      </c>
      <c r="E16" s="470">
        <f t="shared" ref="E16:E19" si="9">+G16+I16+K16+M16+O16+Q16+S16+U16</f>
        <v>100</v>
      </c>
      <c r="F16" s="471">
        <v>5</v>
      </c>
      <c r="G16" s="472">
        <v>17</v>
      </c>
      <c r="H16" s="471">
        <v>6</v>
      </c>
      <c r="I16" s="472">
        <v>22</v>
      </c>
      <c r="J16" s="471">
        <v>10</v>
      </c>
      <c r="K16" s="472">
        <v>19</v>
      </c>
      <c r="L16" s="471">
        <v>13</v>
      </c>
      <c r="M16" s="473">
        <v>16</v>
      </c>
      <c r="N16" s="471">
        <v>7</v>
      </c>
      <c r="O16" s="473">
        <v>17</v>
      </c>
      <c r="P16" s="471">
        <v>2</v>
      </c>
      <c r="Q16" s="473">
        <v>8</v>
      </c>
      <c r="R16" s="471">
        <v>2</v>
      </c>
      <c r="S16" s="473">
        <v>1</v>
      </c>
      <c r="T16" s="471">
        <v>0</v>
      </c>
      <c r="U16" s="473">
        <v>0</v>
      </c>
      <c r="V16" s="474">
        <v>17</v>
      </c>
      <c r="W16" s="472">
        <v>16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8">
        <f t="shared" ref="CO16:CP19" si="10">IF(AND(D16&gt;0,OR(V16="")),1,IF(V16&gt;D16,1,0))</f>
        <v>0</v>
      </c>
      <c r="CP16" s="1038">
        <f t="shared" si="10"/>
        <v>0</v>
      </c>
      <c r="CQ16" s="1038">
        <f>IF(AND($D16&gt;0,OR(X16="")),1,IF(X16&gt;$D16,1,0))</f>
        <v>0</v>
      </c>
      <c r="CR16" s="1038">
        <f>IF(AND($E16&gt;0,OR(Y16="")),1,IF(Y16&gt;$E16,1,0))</f>
        <v>0</v>
      </c>
      <c r="CS16" s="1038">
        <f>IF(AND($D16&gt;0,OR(Z16="")),1,IF(Z16&gt;$D16,1,0))</f>
        <v>0</v>
      </c>
      <c r="CT16" s="1038">
        <f>IF(AND($E16&gt;0,OR(AA16="")),1,IF(AA16&gt;$E16,1,0))</f>
        <v>0</v>
      </c>
    </row>
    <row r="17" spans="1:100" ht="15" customHeight="1" x14ac:dyDescent="0.25">
      <c r="A17" s="2028" t="s">
        <v>596</v>
      </c>
      <c r="B17" s="2029"/>
      <c r="C17" s="1146">
        <f t="shared" si="0"/>
        <v>22</v>
      </c>
      <c r="D17" s="476">
        <f t="shared" ref="D17:D18" si="11">+F17+H17+J17+L17+N17+P17+R17+T17</f>
        <v>6</v>
      </c>
      <c r="E17" s="490">
        <f t="shared" si="9"/>
        <v>16</v>
      </c>
      <c r="F17" s="478">
        <v>1</v>
      </c>
      <c r="G17" s="479">
        <v>2</v>
      </c>
      <c r="H17" s="478">
        <v>2</v>
      </c>
      <c r="I17" s="479">
        <v>2</v>
      </c>
      <c r="J17" s="478">
        <v>1</v>
      </c>
      <c r="K17" s="479">
        <v>2</v>
      </c>
      <c r="L17" s="478">
        <v>1</v>
      </c>
      <c r="M17" s="480">
        <v>3</v>
      </c>
      <c r="N17" s="478">
        <v>0</v>
      </c>
      <c r="O17" s="480">
        <v>3</v>
      </c>
      <c r="P17" s="478">
        <v>1</v>
      </c>
      <c r="Q17" s="480">
        <v>4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3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8">
        <f t="shared" si="10"/>
        <v>0</v>
      </c>
      <c r="CP17" s="1038">
        <f t="shared" si="10"/>
        <v>0</v>
      </c>
      <c r="CQ17" s="1038">
        <f>IF(AND($D17&gt;0,OR(X17="")),1,IF(X17&gt;$D17,1,0))</f>
        <v>0</v>
      </c>
      <c r="CR17" s="1038">
        <f>IF(AND($E17&gt;0,OR(Y17="")),1,IF(Y17&gt;$E17,1,0))</f>
        <v>0</v>
      </c>
      <c r="CS17" s="1038">
        <f>IF(AND($D17&gt;0,OR(Z17="")),1,IF(Z17&gt;$D17,1,0))</f>
        <v>0</v>
      </c>
      <c r="CT17" s="1038">
        <f>IF(AND($E17&gt;0,OR(AA17="")),1,IF(AA17&gt;$E17,1,0))</f>
        <v>0</v>
      </c>
    </row>
    <row r="18" spans="1:100" ht="15" customHeight="1" x14ac:dyDescent="0.25">
      <c r="A18" s="2028" t="s">
        <v>597</v>
      </c>
      <c r="B18" s="2029"/>
      <c r="C18" s="1146">
        <f t="shared" si="0"/>
        <v>16</v>
      </c>
      <c r="D18" s="476">
        <f t="shared" si="11"/>
        <v>6</v>
      </c>
      <c r="E18" s="490">
        <f t="shared" si="9"/>
        <v>10</v>
      </c>
      <c r="F18" s="478">
        <v>2</v>
      </c>
      <c r="G18" s="479">
        <v>1</v>
      </c>
      <c r="H18" s="478">
        <v>1</v>
      </c>
      <c r="I18" s="479">
        <v>1</v>
      </c>
      <c r="J18" s="478">
        <v>1</v>
      </c>
      <c r="K18" s="479">
        <v>0</v>
      </c>
      <c r="L18" s="478">
        <v>0</v>
      </c>
      <c r="M18" s="480">
        <v>2</v>
      </c>
      <c r="N18" s="478">
        <v>1</v>
      </c>
      <c r="O18" s="480">
        <v>2</v>
      </c>
      <c r="P18" s="478">
        <v>1</v>
      </c>
      <c r="Q18" s="480">
        <v>3</v>
      </c>
      <c r="R18" s="478">
        <v>0</v>
      </c>
      <c r="S18" s="480">
        <v>1</v>
      </c>
      <c r="T18" s="478">
        <v>0</v>
      </c>
      <c r="U18" s="480">
        <v>0</v>
      </c>
      <c r="V18" s="481">
        <v>1</v>
      </c>
      <c r="W18" s="479">
        <v>4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8">
        <f t="shared" si="10"/>
        <v>0</v>
      </c>
      <c r="CP18" s="1038">
        <f t="shared" si="10"/>
        <v>0</v>
      </c>
      <c r="CQ18" s="1038">
        <f>IF(AND($D18&gt;0,OR(X18="")),1,IF(X18&gt;$D18,1,0))</f>
        <v>0</v>
      </c>
      <c r="CR18" s="1038">
        <f>IF(AND($E18&gt;0,OR(Y18="")),1,IF(Y18&gt;$E18,1,0))</f>
        <v>0</v>
      </c>
      <c r="CS18" s="1038">
        <f>IF(AND($D18&gt;0,OR(Z18="")),1,IF(Z18&gt;$D18,1,0))</f>
        <v>0</v>
      </c>
      <c r="CT18" s="1038">
        <f>IF(AND($E18&gt;0,OR(AA18="")),1,IF(AA18&gt;$E18,1,0))</f>
        <v>0</v>
      </c>
    </row>
    <row r="19" spans="1:100" ht="15" customHeight="1" x14ac:dyDescent="0.25">
      <c r="A19" s="2022" t="s">
        <v>598</v>
      </c>
      <c r="B19" s="2023"/>
      <c r="C19" s="1314">
        <f t="shared" si="0"/>
        <v>21</v>
      </c>
      <c r="D19" s="491">
        <f>+F19+H19+J19+L19+N19+P19+R19+T19</f>
        <v>7</v>
      </c>
      <c r="E19" s="492">
        <f t="shared" si="9"/>
        <v>14</v>
      </c>
      <c r="F19" s="493">
        <v>2</v>
      </c>
      <c r="G19" s="494">
        <v>1</v>
      </c>
      <c r="H19" s="493">
        <v>1</v>
      </c>
      <c r="I19" s="494">
        <v>2</v>
      </c>
      <c r="J19" s="493">
        <v>1</v>
      </c>
      <c r="K19" s="494">
        <v>3</v>
      </c>
      <c r="L19" s="493">
        <v>0</v>
      </c>
      <c r="M19" s="495">
        <v>1</v>
      </c>
      <c r="N19" s="493">
        <v>2</v>
      </c>
      <c r="O19" s="495">
        <v>3</v>
      </c>
      <c r="P19" s="493">
        <v>1</v>
      </c>
      <c r="Q19" s="495">
        <v>1</v>
      </c>
      <c r="R19" s="493">
        <v>0</v>
      </c>
      <c r="S19" s="495">
        <v>3</v>
      </c>
      <c r="T19" s="493">
        <v>0</v>
      </c>
      <c r="U19" s="495">
        <v>0</v>
      </c>
      <c r="V19" s="496">
        <v>0</v>
      </c>
      <c r="W19" s="494">
        <v>3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8">
        <f t="shared" si="10"/>
        <v>0</v>
      </c>
      <c r="CP19" s="1038">
        <f t="shared" si="10"/>
        <v>0</v>
      </c>
      <c r="CQ19" s="1038">
        <f>IF(AND($D19&gt;0,OR(X19="")),1,IF(X19&gt;$D19,1,0))</f>
        <v>0</v>
      </c>
      <c r="CR19" s="1038">
        <f>IF(AND($E19&gt;0,OR(Y19="")),1,IF(Y19&gt;$E19,1,0))</f>
        <v>0</v>
      </c>
      <c r="CS19" s="1038">
        <f>IF(AND($D19&gt;0,OR(Z19="")),1,IF(Z19&gt;$D19,1,0))</f>
        <v>0</v>
      </c>
      <c r="CT19" s="1038">
        <f>IF(AND($E19&gt;0,OR(AA19="")),1,IF(AA19&gt;$E19,1,0))</f>
        <v>0</v>
      </c>
    </row>
    <row r="20" spans="1:100" ht="15" customHeight="1" x14ac:dyDescent="0.25">
      <c r="A20" s="2050" t="s">
        <v>599</v>
      </c>
      <c r="B20" s="2051"/>
      <c r="C20" s="1501">
        <f>SUM(D20:E20)</f>
        <v>204</v>
      </c>
      <c r="D20" s="1502">
        <f>+F20+H20+J20+L20+N20+P20+R20+T20</f>
        <v>64</v>
      </c>
      <c r="E20" s="1503">
        <f>+G20+I20+K20+M20+O20+Q20+S20+U20</f>
        <v>140</v>
      </c>
      <c r="F20" s="1219">
        <f>SUM(F16:F19)</f>
        <v>10</v>
      </c>
      <c r="G20" s="1504">
        <f t="shared" ref="G20:X20" si="12">SUM(G16:G19)</f>
        <v>21</v>
      </c>
      <c r="H20" s="1219">
        <f t="shared" si="12"/>
        <v>10</v>
      </c>
      <c r="I20" s="1504">
        <f t="shared" si="12"/>
        <v>27</v>
      </c>
      <c r="J20" s="499">
        <f t="shared" si="12"/>
        <v>13</v>
      </c>
      <c r="K20" s="1504">
        <f t="shared" si="12"/>
        <v>24</v>
      </c>
      <c r="L20" s="1219">
        <f t="shared" si="12"/>
        <v>14</v>
      </c>
      <c r="M20" s="500">
        <f t="shared" si="12"/>
        <v>22</v>
      </c>
      <c r="N20" s="1219">
        <f t="shared" ref="N20:O20" si="13">SUM(N16:N19)</f>
        <v>10</v>
      </c>
      <c r="O20" s="500">
        <f t="shared" si="13"/>
        <v>25</v>
      </c>
      <c r="P20" s="1219">
        <f t="shared" ref="P20:Q20" si="14">SUM(P16:P19)</f>
        <v>5</v>
      </c>
      <c r="Q20" s="500">
        <f t="shared" si="14"/>
        <v>16</v>
      </c>
      <c r="R20" s="1219">
        <f t="shared" ref="R20:S20" si="15">SUM(R16:R19)</f>
        <v>2</v>
      </c>
      <c r="S20" s="500">
        <f t="shared" si="15"/>
        <v>5</v>
      </c>
      <c r="T20" s="1219">
        <f t="shared" si="12"/>
        <v>0</v>
      </c>
      <c r="U20" s="500">
        <f t="shared" si="12"/>
        <v>0</v>
      </c>
      <c r="V20" s="501">
        <f>SUM(V16:V19)</f>
        <v>18</v>
      </c>
      <c r="W20" s="1193">
        <f>SUM(W16:W19)</f>
        <v>26</v>
      </c>
      <c r="X20" s="1505">
        <f t="shared" si="12"/>
        <v>0</v>
      </c>
      <c r="Y20" s="1193">
        <f>SUM(Y16:Y19)</f>
        <v>0</v>
      </c>
      <c r="Z20" s="1505">
        <f t="shared" ref="Z20" si="16">SUM(Z16:Z19)</f>
        <v>0</v>
      </c>
      <c r="AA20" s="1193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48" t="s">
        <v>600</v>
      </c>
      <c r="B21" s="2049"/>
      <c r="C21" s="1501">
        <f t="shared" si="0"/>
        <v>1082</v>
      </c>
      <c r="D21" s="1502">
        <f>+F21+H21+J21+L21+N21+P21+R21+T21</f>
        <v>406</v>
      </c>
      <c r="E21" s="1503">
        <f>+G21+I21+K21+M21+O21+Q21+S21+U21</f>
        <v>676</v>
      </c>
      <c r="F21" s="1219">
        <f>+F15+F20</f>
        <v>125</v>
      </c>
      <c r="G21" s="1504">
        <f t="shared" ref="G21:X21" si="17">+G15+G20</f>
        <v>220</v>
      </c>
      <c r="H21" s="1219">
        <f t="shared" si="17"/>
        <v>108</v>
      </c>
      <c r="I21" s="1504">
        <f t="shared" si="17"/>
        <v>163</v>
      </c>
      <c r="J21" s="1219">
        <f t="shared" si="17"/>
        <v>82</v>
      </c>
      <c r="K21" s="1504">
        <f t="shared" si="17"/>
        <v>108</v>
      </c>
      <c r="L21" s="1219">
        <f t="shared" si="17"/>
        <v>47</v>
      </c>
      <c r="M21" s="500">
        <f t="shared" si="17"/>
        <v>84</v>
      </c>
      <c r="N21" s="1219">
        <f t="shared" ref="N21:O21" si="18">+N15+N20</f>
        <v>28</v>
      </c>
      <c r="O21" s="500">
        <f t="shared" si="18"/>
        <v>61</v>
      </c>
      <c r="P21" s="1219">
        <f t="shared" ref="P21:Q21" si="19">+P15+P20</f>
        <v>13</v>
      </c>
      <c r="Q21" s="500">
        <f t="shared" si="19"/>
        <v>32</v>
      </c>
      <c r="R21" s="1219">
        <f t="shared" ref="R21:S21" si="20">+R15+R20</f>
        <v>3</v>
      </c>
      <c r="S21" s="500">
        <f t="shared" si="20"/>
        <v>8</v>
      </c>
      <c r="T21" s="1219">
        <f t="shared" si="17"/>
        <v>0</v>
      </c>
      <c r="U21" s="500">
        <f t="shared" si="17"/>
        <v>0</v>
      </c>
      <c r="V21" s="501">
        <f>+V15+V20</f>
        <v>76</v>
      </c>
      <c r="W21" s="1504">
        <f>+W15+W20</f>
        <v>103</v>
      </c>
      <c r="X21" s="1505">
        <f t="shared" si="17"/>
        <v>2</v>
      </c>
      <c r="Y21" s="1504">
        <f>+Y15+Y20</f>
        <v>12</v>
      </c>
      <c r="Z21" s="1505">
        <f t="shared" ref="Z21" si="21">+Z15+Z20</f>
        <v>0</v>
      </c>
      <c r="AA21" s="1504">
        <f>+AA15+AA20</f>
        <v>0</v>
      </c>
      <c r="AB21" s="107"/>
    </row>
    <row r="22" spans="1:100" s="1095" customFormat="1" ht="17.100000000000001" customHeight="1" x14ac:dyDescent="0.2">
      <c r="A22" s="1506" t="s">
        <v>601</v>
      </c>
      <c r="B22" s="1506"/>
      <c r="C22" s="1506"/>
      <c r="D22" s="1506"/>
      <c r="E22" s="1506"/>
      <c r="F22" s="1506"/>
      <c r="G22" s="1506"/>
      <c r="H22" s="1506"/>
      <c r="I22" s="1507"/>
      <c r="J22" s="1507"/>
      <c r="K22" s="1507"/>
      <c r="L22" s="1507"/>
      <c r="M22" s="1507"/>
      <c r="N22" s="1507"/>
      <c r="O22" s="1507"/>
      <c r="P22" s="1507"/>
      <c r="Q22" s="1508"/>
      <c r="R22" s="1509"/>
      <c r="S22" s="1509"/>
      <c r="T22" s="1509"/>
      <c r="U22" s="1509"/>
      <c r="V22" s="1509"/>
      <c r="W22" s="1509"/>
      <c r="X22" s="1509"/>
      <c r="Y22" s="1509"/>
      <c r="Z22" s="1509"/>
      <c r="AA22" s="1509"/>
      <c r="AB22" s="1334"/>
      <c r="AC22" s="1094"/>
      <c r="AD22" s="1094"/>
      <c r="AE22" s="1094"/>
      <c r="AF22" s="1094"/>
      <c r="AG22" s="1094"/>
      <c r="AH22" s="1094"/>
      <c r="AI22" s="1094"/>
      <c r="AJ22" s="1094"/>
      <c r="AK22" s="1094"/>
      <c r="AL22" s="1094"/>
      <c r="AM22" s="1094"/>
      <c r="AN22" s="1094"/>
      <c r="AO22" s="1094"/>
      <c r="AP22" s="1094"/>
      <c r="AQ22" s="1094"/>
      <c r="AR22" s="1094"/>
      <c r="AS22" s="1094"/>
      <c r="AT22" s="1094"/>
      <c r="AU22" s="1094"/>
      <c r="AV22" s="1094"/>
      <c r="AW22" s="1094"/>
      <c r="AX22" s="1094"/>
      <c r="AY22" s="1094"/>
    </row>
    <row r="23" spans="1:100" ht="19.5" customHeight="1" x14ac:dyDescent="0.25">
      <c r="A23" s="2036" t="s">
        <v>585</v>
      </c>
      <c r="B23" s="2037"/>
      <c r="C23" s="2015" t="s">
        <v>54</v>
      </c>
      <c r="D23" s="2015"/>
      <c r="E23" s="2015"/>
      <c r="F23" s="2052" t="s">
        <v>381</v>
      </c>
      <c r="G23" s="2053"/>
      <c r="H23" s="2053"/>
      <c r="I23" s="2053"/>
      <c r="J23" s="2053"/>
      <c r="K23" s="2053"/>
      <c r="L23" s="2053"/>
      <c r="M23" s="2053"/>
      <c r="N23" s="2053"/>
      <c r="O23" s="2053"/>
      <c r="P23" s="2053"/>
      <c r="Q23" s="2053"/>
      <c r="R23" s="2053"/>
      <c r="S23" s="2053"/>
      <c r="T23" s="2053"/>
      <c r="U23" s="2053"/>
      <c r="V23" s="2053"/>
      <c r="W23" s="2054"/>
      <c r="X23" s="1627" t="s">
        <v>56</v>
      </c>
      <c r="Y23" s="1656"/>
      <c r="Z23" s="1654" t="s">
        <v>57</v>
      </c>
      <c r="AA23" s="1656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8"/>
      <c r="B24" s="2039"/>
      <c r="C24" s="2015"/>
      <c r="D24" s="2015"/>
      <c r="E24" s="2015"/>
      <c r="F24" s="1876" t="s">
        <v>71</v>
      </c>
      <c r="G24" s="1877"/>
      <c r="H24" s="1876" t="s">
        <v>72</v>
      </c>
      <c r="I24" s="1877"/>
      <c r="J24" s="1876" t="s">
        <v>411</v>
      </c>
      <c r="K24" s="1877"/>
      <c r="L24" s="1876" t="s">
        <v>412</v>
      </c>
      <c r="M24" s="1877"/>
      <c r="N24" s="1876" t="s">
        <v>586</v>
      </c>
      <c r="O24" s="1881"/>
      <c r="P24" s="1876" t="s">
        <v>587</v>
      </c>
      <c r="Q24" s="1881"/>
      <c r="R24" s="1876" t="s">
        <v>588</v>
      </c>
      <c r="S24" s="1881"/>
      <c r="T24" s="1876" t="s">
        <v>589</v>
      </c>
      <c r="U24" s="1881"/>
      <c r="V24" s="1876" t="s">
        <v>590</v>
      </c>
      <c r="W24" s="1881"/>
      <c r="X24" s="1801"/>
      <c r="Y24" s="1800"/>
      <c r="Z24" s="1650"/>
      <c r="AA24" s="1800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0"/>
      <c r="B25" s="2041"/>
      <c r="C25" s="1458" t="s">
        <v>414</v>
      </c>
      <c r="D25" s="1500" t="s">
        <v>91</v>
      </c>
      <c r="E25" s="1497" t="s">
        <v>231</v>
      </c>
      <c r="F25" s="1213" t="s">
        <v>415</v>
      </c>
      <c r="G25" s="871" t="s">
        <v>231</v>
      </c>
      <c r="H25" s="1213" t="s">
        <v>415</v>
      </c>
      <c r="I25" s="871" t="s">
        <v>231</v>
      </c>
      <c r="J25" s="1213" t="s">
        <v>415</v>
      </c>
      <c r="K25" s="871" t="s">
        <v>231</v>
      </c>
      <c r="L25" s="1213" t="s">
        <v>415</v>
      </c>
      <c r="M25" s="871" t="s">
        <v>231</v>
      </c>
      <c r="N25" s="1213" t="s">
        <v>415</v>
      </c>
      <c r="O25" s="86" t="s">
        <v>231</v>
      </c>
      <c r="P25" s="1213" t="s">
        <v>415</v>
      </c>
      <c r="Q25" s="871" t="s">
        <v>231</v>
      </c>
      <c r="R25" s="1213" t="s">
        <v>415</v>
      </c>
      <c r="S25" s="871" t="s">
        <v>231</v>
      </c>
      <c r="T25" s="1213" t="s">
        <v>415</v>
      </c>
      <c r="U25" s="86" t="s">
        <v>231</v>
      </c>
      <c r="V25" s="1213" t="s">
        <v>415</v>
      </c>
      <c r="W25" s="86" t="s">
        <v>231</v>
      </c>
      <c r="X25" s="190" t="s">
        <v>91</v>
      </c>
      <c r="Y25" s="1400" t="s">
        <v>231</v>
      </c>
      <c r="Z25" s="1380" t="s">
        <v>91</v>
      </c>
      <c r="AA25" s="1400" t="s">
        <v>231</v>
      </c>
      <c r="CB25" s="37"/>
      <c r="CC25" s="37"/>
      <c r="CD25" s="37"/>
      <c r="CE25" s="37"/>
      <c r="CF25" s="1055"/>
      <c r="CG25" s="1055"/>
      <c r="CJ25" s="1055"/>
      <c r="CK25" s="1055"/>
      <c r="CL25" s="1055"/>
      <c r="CM25" s="1055"/>
      <c r="CO25" s="37"/>
      <c r="CP25" s="37"/>
      <c r="CQ25" s="37"/>
      <c r="CR25" s="37"/>
      <c r="CS25" s="1055"/>
      <c r="CT25" s="1055"/>
    </row>
    <row r="26" spans="1:100" ht="15" customHeight="1" x14ac:dyDescent="0.25">
      <c r="A26" s="2042" t="s">
        <v>591</v>
      </c>
      <c r="B26" s="2043"/>
      <c r="C26" s="1145">
        <f>SUM(D26:E26)</f>
        <v>288</v>
      </c>
      <c r="D26" s="469">
        <f>+F26+H26+J26+L26+N26+P26+R26+T26+V26</f>
        <v>68</v>
      </c>
      <c r="E26" s="503">
        <f>+G26+I26+K26+M26+O26+Q26+S26+U26+W26</f>
        <v>220</v>
      </c>
      <c r="F26" s="504" t="s">
        <v>602</v>
      </c>
      <c r="G26" s="505">
        <v>76</v>
      </c>
      <c r="H26" s="504">
        <v>22</v>
      </c>
      <c r="I26" s="505">
        <v>60</v>
      </c>
      <c r="J26" s="504">
        <v>20</v>
      </c>
      <c r="K26" s="505">
        <v>47</v>
      </c>
      <c r="L26" s="504">
        <v>9</v>
      </c>
      <c r="M26" s="505">
        <v>24</v>
      </c>
      <c r="N26" s="504">
        <v>7</v>
      </c>
      <c r="O26" s="506">
        <v>6</v>
      </c>
      <c r="P26" s="504">
        <v>0</v>
      </c>
      <c r="Q26" s="505">
        <v>7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2</v>
      </c>
      <c r="Y26" s="505">
        <v>9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8">
        <f>IF(AND(D26&gt;0,OR(X26="")),1,IF(X26&gt;D26,1,0))</f>
        <v>0</v>
      </c>
      <c r="CP26" s="1038">
        <f>IF(AND(E26&gt;0,OR(Y26="")),1,IF(Y26&gt;E26,1,0))</f>
        <v>0</v>
      </c>
      <c r="CQ26" s="1038">
        <f>IF(AND($D26&gt;0,OR(Z26="")),1,IF(Z26&gt;$D26,1,0))</f>
        <v>0</v>
      </c>
      <c r="CR26" s="1038">
        <f>IF(AND($E26&gt;0,OR(AA26="")),1,IF(AA26&gt;$E26,1,0))</f>
        <v>0</v>
      </c>
    </row>
    <row r="27" spans="1:100" ht="15" customHeight="1" x14ac:dyDescent="0.25">
      <c r="A27" s="2044" t="s">
        <v>592</v>
      </c>
      <c r="B27" s="2045"/>
      <c r="C27" s="1151">
        <f>SUM(D27:E27)</f>
        <v>118</v>
      </c>
      <c r="D27" s="1147">
        <f>H27+J27+L27+N27+P27+R27+T27+V27</f>
        <v>32</v>
      </c>
      <c r="E27" s="509">
        <f>I27+K27+M27+O27+Q27+S27+U27+W27</f>
        <v>86</v>
      </c>
      <c r="F27" s="870"/>
      <c r="G27" s="869"/>
      <c r="H27" s="510">
        <v>6</v>
      </c>
      <c r="I27" s="511">
        <v>32</v>
      </c>
      <c r="J27" s="510">
        <v>19</v>
      </c>
      <c r="K27" s="511">
        <v>33</v>
      </c>
      <c r="L27" s="510">
        <v>6</v>
      </c>
      <c r="M27" s="511">
        <v>11</v>
      </c>
      <c r="N27" s="510">
        <v>1</v>
      </c>
      <c r="O27" s="512">
        <v>10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3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8">
        <f t="shared" ref="CO27:CP28" si="24">IF(AND(D27&gt;0,OR(X27="")),1,IF(X27&gt;D27,1,0))</f>
        <v>0</v>
      </c>
      <c r="CP27" s="1038">
        <f t="shared" si="24"/>
        <v>0</v>
      </c>
      <c r="CQ27" s="1038">
        <f>IF(AND($D27&gt;0,OR(Z27="")),1,IF(Z27&gt;$D27,1,0))</f>
        <v>0</v>
      </c>
      <c r="CR27" s="1038">
        <f>IF(AND($E27&gt;0,OR(AA27="")),1,IF(AA27&gt;$E27,1,0))</f>
        <v>0</v>
      </c>
    </row>
    <row r="28" spans="1:100" ht="15" customHeight="1" x14ac:dyDescent="0.25">
      <c r="A28" s="2046" t="s">
        <v>593</v>
      </c>
      <c r="B28" s="2047"/>
      <c r="C28" s="1152">
        <f>SUM(D28:E28)</f>
        <v>29</v>
      </c>
      <c r="D28" s="1147">
        <f>H28+J28+L28+N28+P28+R28+T28+V28</f>
        <v>4</v>
      </c>
      <c r="E28" s="509">
        <f>I28+K28+M28+O28+Q28+S28+U28+W28</f>
        <v>25</v>
      </c>
      <c r="F28" s="868"/>
      <c r="G28" s="867"/>
      <c r="H28" s="493">
        <v>0</v>
      </c>
      <c r="I28" s="494">
        <v>11</v>
      </c>
      <c r="J28" s="493">
        <v>3</v>
      </c>
      <c r="K28" s="494">
        <v>2</v>
      </c>
      <c r="L28" s="493">
        <v>0</v>
      </c>
      <c r="M28" s="494">
        <v>10</v>
      </c>
      <c r="N28" s="493">
        <v>1</v>
      </c>
      <c r="O28" s="495">
        <v>2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8">
        <f t="shared" si="24"/>
        <v>0</v>
      </c>
      <c r="CP28" s="1038">
        <f t="shared" si="24"/>
        <v>0</v>
      </c>
      <c r="CQ28" s="1038">
        <f>IF(AND($D28&gt;0,OR(Z28="")),1,IF(Z28&gt;$D28,1,0))</f>
        <v>0</v>
      </c>
      <c r="CR28" s="1038">
        <f>IF(AND($E28&gt;0,OR(AA28="")),1,IF(AA28&gt;$E28,1,0))</f>
        <v>0</v>
      </c>
    </row>
    <row r="29" spans="1:100" ht="15" customHeight="1" x14ac:dyDescent="0.25">
      <c r="A29" s="2048" t="s">
        <v>603</v>
      </c>
      <c r="B29" s="2049"/>
      <c r="C29" s="1501">
        <f>SUM(D29:E29)</f>
        <v>425</v>
      </c>
      <c r="D29" s="1502">
        <f>+F29+H29+J29+L29+N29+P29+R29+T29+V29</f>
        <v>94</v>
      </c>
      <c r="E29" s="1503">
        <f>+G29+I29+K29+M29+O29+Q29+S29+U29+W29</f>
        <v>331</v>
      </c>
      <c r="F29" s="1218">
        <f>SUM(F26)</f>
        <v>0</v>
      </c>
      <c r="G29" s="1502">
        <f>SUM(G26)</f>
        <v>76</v>
      </c>
      <c r="H29" s="1218">
        <f>SUM(H26:H28)</f>
        <v>28</v>
      </c>
      <c r="I29" s="1192">
        <f t="shared" ref="I29:O29" si="25">SUM(I26:I28)</f>
        <v>103</v>
      </c>
      <c r="J29" s="1218">
        <f t="shared" si="25"/>
        <v>42</v>
      </c>
      <c r="K29" s="1192">
        <f t="shared" si="25"/>
        <v>82</v>
      </c>
      <c r="L29" s="1218">
        <f t="shared" si="25"/>
        <v>15</v>
      </c>
      <c r="M29" s="1192">
        <f t="shared" si="25"/>
        <v>45</v>
      </c>
      <c r="N29" s="1218">
        <f t="shared" si="25"/>
        <v>9</v>
      </c>
      <c r="O29" s="488">
        <f t="shared" si="25"/>
        <v>18</v>
      </c>
      <c r="P29" s="1218">
        <f t="shared" ref="P29:U29" si="26">SUM(P26:P28)</f>
        <v>0</v>
      </c>
      <c r="Q29" s="1192">
        <f t="shared" si="26"/>
        <v>7</v>
      </c>
      <c r="R29" s="1218">
        <f t="shared" si="26"/>
        <v>0</v>
      </c>
      <c r="S29" s="1192">
        <f t="shared" si="26"/>
        <v>0</v>
      </c>
      <c r="T29" s="1218">
        <f t="shared" si="26"/>
        <v>0</v>
      </c>
      <c r="U29" s="488">
        <f t="shared" si="26"/>
        <v>0</v>
      </c>
      <c r="V29" s="1218">
        <f t="shared" ref="V29:W29" si="27">SUM(V26:V28)</f>
        <v>0</v>
      </c>
      <c r="W29" s="488">
        <f t="shared" si="27"/>
        <v>0</v>
      </c>
      <c r="X29" s="489">
        <f>SUM(X26:X28)</f>
        <v>2</v>
      </c>
      <c r="Y29" s="1192">
        <f>SUM(Y26:Y28)</f>
        <v>12</v>
      </c>
      <c r="Z29" s="1502">
        <f>SUM(Z26:Z28)</f>
        <v>0</v>
      </c>
      <c r="AA29" s="1192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5" customFormat="1" ht="17.100000000000001" customHeight="1" x14ac:dyDescent="0.2">
      <c r="A30" s="1506" t="s">
        <v>604</v>
      </c>
      <c r="B30" s="1506"/>
      <c r="C30" s="1506"/>
      <c r="D30" s="1506"/>
      <c r="E30" s="1506"/>
      <c r="F30" s="1506"/>
      <c r="G30" s="1506"/>
      <c r="H30" s="1096"/>
      <c r="L30" s="1097"/>
      <c r="AB30" s="1334"/>
      <c r="AC30" s="1094"/>
      <c r="AD30" s="1094"/>
      <c r="AE30" s="1094"/>
      <c r="AF30" s="1094"/>
      <c r="AG30" s="1094"/>
      <c r="AH30" s="1094"/>
      <c r="AI30" s="1094"/>
      <c r="AJ30" s="1094"/>
      <c r="AK30" s="1094"/>
      <c r="AL30" s="1094"/>
      <c r="AM30" s="1094"/>
      <c r="AN30" s="1094"/>
      <c r="AO30" s="1094"/>
      <c r="AP30" s="1094"/>
      <c r="AQ30" s="1094"/>
      <c r="AR30" s="1094"/>
      <c r="AS30" s="1094"/>
      <c r="AT30" s="1094"/>
      <c r="AU30" s="1094"/>
      <c r="AV30" s="1094"/>
      <c r="AW30" s="1094"/>
      <c r="AX30" s="1094"/>
      <c r="AY30" s="1094"/>
    </row>
    <row r="31" spans="1:100" ht="23.25" customHeight="1" x14ac:dyDescent="0.25">
      <c r="A31" s="2016" t="s">
        <v>605</v>
      </c>
      <c r="B31" s="2016"/>
      <c r="C31" s="2015" t="s">
        <v>54</v>
      </c>
      <c r="D31" s="2015"/>
      <c r="E31" s="2015"/>
      <c r="F31" s="2019" t="s">
        <v>381</v>
      </c>
      <c r="G31" s="2020"/>
      <c r="H31" s="2020"/>
      <c r="I31" s="2020"/>
      <c r="J31" s="2020"/>
      <c r="K31" s="2020"/>
      <c r="L31" s="2020"/>
      <c r="M31" s="2020"/>
      <c r="N31" s="2020"/>
      <c r="O31" s="2020"/>
      <c r="P31" s="2020"/>
      <c r="Q31" s="2020"/>
      <c r="R31" s="2020"/>
      <c r="S31" s="2020"/>
      <c r="T31" s="2020"/>
      <c r="U31" s="2021"/>
      <c r="V31" s="1801" t="s">
        <v>56</v>
      </c>
      <c r="W31" s="1800"/>
      <c r="X31" s="1650" t="s">
        <v>113</v>
      </c>
      <c r="Y31" s="1800"/>
      <c r="Z31" s="1650" t="s">
        <v>584</v>
      </c>
      <c r="AA31" s="1800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92"/>
    </row>
    <row r="32" spans="1:100" ht="15.75" customHeight="1" x14ac:dyDescent="0.25">
      <c r="A32" s="2016"/>
      <c r="B32" s="2016"/>
      <c r="C32" s="2015"/>
      <c r="D32" s="2015"/>
      <c r="E32" s="2015"/>
      <c r="F32" s="1881" t="s">
        <v>72</v>
      </c>
      <c r="G32" s="1877"/>
      <c r="H32" s="1876" t="s">
        <v>411</v>
      </c>
      <c r="I32" s="1877"/>
      <c r="J32" s="1876" t="s">
        <v>412</v>
      </c>
      <c r="K32" s="1877"/>
      <c r="L32" s="1876" t="s">
        <v>586</v>
      </c>
      <c r="M32" s="1877"/>
      <c r="N32" s="1881" t="s">
        <v>587</v>
      </c>
      <c r="O32" s="1881"/>
      <c r="P32" s="1876" t="s">
        <v>588</v>
      </c>
      <c r="Q32" s="1881"/>
      <c r="R32" s="1876" t="s">
        <v>589</v>
      </c>
      <c r="S32" s="1877"/>
      <c r="T32" s="1881" t="s">
        <v>590</v>
      </c>
      <c r="U32" s="1881"/>
      <c r="V32" s="1801"/>
      <c r="W32" s="1800"/>
      <c r="X32" s="1650"/>
      <c r="Y32" s="1800"/>
      <c r="Z32" s="1650"/>
      <c r="AA32" s="1800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92"/>
    </row>
    <row r="33" spans="1:100" ht="21" x14ac:dyDescent="0.25">
      <c r="A33" s="2016"/>
      <c r="B33" s="2016"/>
      <c r="C33" s="1458" t="s">
        <v>414</v>
      </c>
      <c r="D33" s="1510" t="s">
        <v>91</v>
      </c>
      <c r="E33" s="1194" t="s">
        <v>231</v>
      </c>
      <c r="F33" s="1477" t="s">
        <v>415</v>
      </c>
      <c r="G33" s="871" t="s">
        <v>231</v>
      </c>
      <c r="H33" s="1213" t="s">
        <v>415</v>
      </c>
      <c r="I33" s="871" t="s">
        <v>231</v>
      </c>
      <c r="J33" s="1213" t="s">
        <v>415</v>
      </c>
      <c r="K33" s="871" t="s">
        <v>231</v>
      </c>
      <c r="L33" s="1220" t="s">
        <v>91</v>
      </c>
      <c r="M33" s="1191" t="s">
        <v>231</v>
      </c>
      <c r="N33" s="1477" t="s">
        <v>415</v>
      </c>
      <c r="O33" s="871" t="s">
        <v>231</v>
      </c>
      <c r="P33" s="1477" t="s">
        <v>415</v>
      </c>
      <c r="Q33" s="871" t="s">
        <v>231</v>
      </c>
      <c r="R33" s="1220" t="s">
        <v>91</v>
      </c>
      <c r="S33" s="1191" t="s">
        <v>231</v>
      </c>
      <c r="T33" s="1500" t="s">
        <v>91</v>
      </c>
      <c r="U33" s="106" t="s">
        <v>231</v>
      </c>
      <c r="V33" s="190" t="s">
        <v>91</v>
      </c>
      <c r="W33" s="1400" t="s">
        <v>231</v>
      </c>
      <c r="X33" s="1380" t="s">
        <v>91</v>
      </c>
      <c r="Y33" s="1400" t="s">
        <v>231</v>
      </c>
      <c r="Z33" s="1380" t="s">
        <v>91</v>
      </c>
      <c r="AA33" s="1400" t="s">
        <v>231</v>
      </c>
      <c r="AZ33"/>
      <c r="BA33"/>
      <c r="CB33" s="37"/>
      <c r="CC33" s="37"/>
      <c r="CD33" s="37"/>
      <c r="CE33" s="37"/>
      <c r="CF33" s="1055"/>
      <c r="CG33" s="1055"/>
      <c r="CJ33" s="1055"/>
      <c r="CK33" s="1055"/>
      <c r="CL33" s="1055"/>
      <c r="CM33" s="1055"/>
      <c r="CO33" s="37"/>
      <c r="CP33" s="37"/>
      <c r="CQ33" s="37"/>
      <c r="CR33" s="37"/>
      <c r="CS33" s="1055"/>
      <c r="CT33" s="1055"/>
      <c r="CU33" s="1055"/>
      <c r="CV33" s="1055"/>
    </row>
    <row r="34" spans="1:100" ht="15" customHeight="1" x14ac:dyDescent="0.25">
      <c r="A34" s="2026" t="s">
        <v>180</v>
      </c>
      <c r="B34" s="2027"/>
      <c r="C34" s="1145">
        <f>SUM(D34:E34)</f>
        <v>59</v>
      </c>
      <c r="D34" s="1148">
        <f>+F34+H34+J34+L34+N34+P34+R34+T34</f>
        <v>16</v>
      </c>
      <c r="E34" s="515">
        <f>+G34+I34+K34+M34+O34+Q34+S34+U34</f>
        <v>43</v>
      </c>
      <c r="F34" s="504">
        <v>2</v>
      </c>
      <c r="G34" s="506">
        <v>7</v>
      </c>
      <c r="H34" s="504">
        <v>5</v>
      </c>
      <c r="I34" s="505">
        <v>6</v>
      </c>
      <c r="J34" s="504">
        <v>2</v>
      </c>
      <c r="K34" s="505">
        <v>7</v>
      </c>
      <c r="L34" s="516">
        <v>2</v>
      </c>
      <c r="M34" s="505">
        <v>7</v>
      </c>
      <c r="N34" s="516">
        <v>5</v>
      </c>
      <c r="O34" s="505">
        <v>8</v>
      </c>
      <c r="P34" s="516">
        <v>0</v>
      </c>
      <c r="Q34" s="505">
        <v>5</v>
      </c>
      <c r="R34" s="516">
        <v>0</v>
      </c>
      <c r="S34" s="505">
        <v>3</v>
      </c>
      <c r="T34" s="516">
        <v>0</v>
      </c>
      <c r="U34" s="508">
        <v>0</v>
      </c>
      <c r="V34" s="507">
        <v>10</v>
      </c>
      <c r="W34" s="505">
        <v>19</v>
      </c>
      <c r="X34" s="516">
        <v>2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8">
        <f t="shared" ref="CO34:CP37" si="28">IF(AND(D34&gt;0,OR(V34="")),1,IF(V34&gt;D34,1,0))</f>
        <v>0</v>
      </c>
      <c r="CP34" s="1038">
        <f t="shared" si="28"/>
        <v>0</v>
      </c>
      <c r="CQ34" s="1038">
        <f>IF(AND($D34&gt;0,OR(X34="")),1,IF(X34&gt;$D34,1,0))</f>
        <v>0</v>
      </c>
      <c r="CR34" s="1038">
        <f>IF(AND($E34&gt;0,OR(Y34="")),1,IF(Y34&gt;$E34,1,0))</f>
        <v>0</v>
      </c>
      <c r="CS34" s="1038">
        <f>IF(AND($D34&gt;0,OR(Z34="")),1,IF(Z34&gt;$D34,1,0))</f>
        <v>0</v>
      </c>
      <c r="CT34" s="1038">
        <f>IF(AND($E34&gt;0,OR(AA34="")),1,IF(AA34&gt;$E34,1,0))</f>
        <v>0</v>
      </c>
    </row>
    <row r="35" spans="1:100" ht="15" customHeight="1" x14ac:dyDescent="0.25">
      <c r="A35" s="2028" t="s">
        <v>131</v>
      </c>
      <c r="B35" s="2029"/>
      <c r="C35" s="1146">
        <f>SUM(D35:E35)</f>
        <v>396</v>
      </c>
      <c r="D35" s="1149">
        <f t="shared" ref="D35:D37" si="29">+F35+H35+J35+L35+N35+P35+R35+T35</f>
        <v>178</v>
      </c>
      <c r="E35" s="490">
        <f t="shared" ref="E35:E37" si="30">+G35+I35+K35+M35+O35+Q35+S35+U35</f>
        <v>218</v>
      </c>
      <c r="F35" s="510">
        <v>41</v>
      </c>
      <c r="G35" s="512">
        <v>56</v>
      </c>
      <c r="H35" s="510">
        <v>48</v>
      </c>
      <c r="I35" s="511">
        <v>44</v>
      </c>
      <c r="J35" s="510">
        <v>39</v>
      </c>
      <c r="K35" s="511">
        <v>43</v>
      </c>
      <c r="L35" s="517">
        <v>28</v>
      </c>
      <c r="M35" s="511">
        <v>28</v>
      </c>
      <c r="N35" s="517">
        <v>14</v>
      </c>
      <c r="O35" s="511">
        <v>25</v>
      </c>
      <c r="P35" s="517">
        <v>7</v>
      </c>
      <c r="Q35" s="511">
        <v>18</v>
      </c>
      <c r="R35" s="517">
        <v>1</v>
      </c>
      <c r="S35" s="511">
        <v>4</v>
      </c>
      <c r="T35" s="517">
        <v>0</v>
      </c>
      <c r="U35" s="514">
        <v>0</v>
      </c>
      <c r="V35" s="513">
        <v>20</v>
      </c>
      <c r="W35" s="654">
        <v>19</v>
      </c>
      <c r="X35" s="517">
        <v>0</v>
      </c>
      <c r="Y35" s="511">
        <v>10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8">
        <f t="shared" si="28"/>
        <v>0</v>
      </c>
      <c r="CP35" s="1038">
        <f t="shared" si="28"/>
        <v>0</v>
      </c>
      <c r="CQ35" s="1038">
        <f>IF(AND($D35&gt;0,OR(X35="")),1,IF(X35&gt;$D35,1,0))</f>
        <v>0</v>
      </c>
      <c r="CR35" s="1038">
        <f>IF(AND($E35&gt;0,OR(Y35="")),1,IF(Y35&gt;$E35,1,0))</f>
        <v>0</v>
      </c>
      <c r="CS35" s="1038">
        <f>IF(AND($D35&gt;0,OR(Z35="")),1,IF(Z35&gt;$D35,1,0))</f>
        <v>0</v>
      </c>
      <c r="CT35" s="1038">
        <f>IF(AND($E35&gt;0,OR(AA35="")),1,IF(AA35&gt;$E35,1,0))</f>
        <v>0</v>
      </c>
    </row>
    <row r="36" spans="1:100" ht="15" customHeight="1" x14ac:dyDescent="0.25">
      <c r="A36" s="2028" t="s">
        <v>130</v>
      </c>
      <c r="B36" s="2029"/>
      <c r="C36" s="1146">
        <f>SUM(D36:E36)</f>
        <v>271</v>
      </c>
      <c r="D36" s="1149">
        <f t="shared" si="29"/>
        <v>110</v>
      </c>
      <c r="E36" s="490">
        <f t="shared" si="30"/>
        <v>161</v>
      </c>
      <c r="F36" s="510">
        <v>41</v>
      </c>
      <c r="G36" s="512">
        <v>62</v>
      </c>
      <c r="H36" s="510">
        <v>24</v>
      </c>
      <c r="I36" s="511">
        <v>37</v>
      </c>
      <c r="J36" s="510">
        <v>23</v>
      </c>
      <c r="K36" s="511">
        <v>27</v>
      </c>
      <c r="L36" s="517">
        <v>10</v>
      </c>
      <c r="M36" s="511">
        <v>18</v>
      </c>
      <c r="N36" s="517">
        <v>6</v>
      </c>
      <c r="O36" s="511">
        <v>12</v>
      </c>
      <c r="P36" s="517">
        <v>4</v>
      </c>
      <c r="Q36" s="511">
        <v>4</v>
      </c>
      <c r="R36" s="517">
        <v>2</v>
      </c>
      <c r="S36" s="511">
        <v>1</v>
      </c>
      <c r="T36" s="517">
        <v>0</v>
      </c>
      <c r="U36" s="514">
        <v>0</v>
      </c>
      <c r="V36" s="513">
        <v>23</v>
      </c>
      <c r="W36" s="654">
        <v>21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8">
        <f t="shared" si="28"/>
        <v>0</v>
      </c>
      <c r="CP36" s="1038">
        <f t="shared" si="28"/>
        <v>0</v>
      </c>
      <c r="CQ36" s="1038">
        <f>IF(AND($D36&gt;0,OR(X36="")),1,IF(X36&gt;$D36,1,0))</f>
        <v>0</v>
      </c>
      <c r="CR36" s="1038">
        <f>IF(AND($E36&gt;0,OR(Y36="")),1,IF(Y36&gt;$E36,1,0))</f>
        <v>0</v>
      </c>
      <c r="CS36" s="1038">
        <f>IF(AND($D36&gt;0,OR(Z36="")),1,IF(Z36&gt;$D36,1,0))</f>
        <v>0</v>
      </c>
      <c r="CT36" s="1038">
        <f>IF(AND($E36&gt;0,OR(AA36="")),1,IF(AA36&gt;$E36,1,0))</f>
        <v>0</v>
      </c>
    </row>
    <row r="37" spans="1:100" ht="15" customHeight="1" x14ac:dyDescent="0.25">
      <c r="A37" s="2022" t="s">
        <v>245</v>
      </c>
      <c r="B37" s="2023"/>
      <c r="C37" s="1153">
        <f>SUM(D37:E37)</f>
        <v>356</v>
      </c>
      <c r="D37" s="1150">
        <f t="shared" si="29"/>
        <v>102</v>
      </c>
      <c r="E37" s="518">
        <f t="shared" si="30"/>
        <v>254</v>
      </c>
      <c r="F37" s="493">
        <v>41</v>
      </c>
      <c r="G37" s="495">
        <v>95</v>
      </c>
      <c r="H37" s="493">
        <v>31</v>
      </c>
      <c r="I37" s="494">
        <v>76</v>
      </c>
      <c r="J37" s="493">
        <v>18</v>
      </c>
      <c r="K37" s="494">
        <v>31</v>
      </c>
      <c r="L37" s="498">
        <v>7</v>
      </c>
      <c r="M37" s="494">
        <v>31</v>
      </c>
      <c r="N37" s="498">
        <v>3</v>
      </c>
      <c r="O37" s="494">
        <v>16</v>
      </c>
      <c r="P37" s="498">
        <v>2</v>
      </c>
      <c r="Q37" s="494">
        <v>5</v>
      </c>
      <c r="R37" s="498">
        <v>0</v>
      </c>
      <c r="S37" s="494">
        <v>0</v>
      </c>
      <c r="T37" s="498">
        <v>0</v>
      </c>
      <c r="U37" s="497">
        <v>0</v>
      </c>
      <c r="V37" s="496">
        <v>23</v>
      </c>
      <c r="W37" s="655">
        <v>44</v>
      </c>
      <c r="X37" s="498">
        <v>0</v>
      </c>
      <c r="Y37" s="494">
        <v>2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8">
        <f t="shared" si="28"/>
        <v>0</v>
      </c>
      <c r="CP37" s="1038">
        <f t="shared" si="28"/>
        <v>0</v>
      </c>
      <c r="CQ37" s="1038">
        <f>IF(AND($D37&gt;0,OR(X37="")),1,IF(X37&gt;$D37,1,0))</f>
        <v>0</v>
      </c>
      <c r="CR37" s="1038">
        <f>IF(AND($E37&gt;0,OR(Y37="")),1,IF(Y37&gt;$E37,1,0))</f>
        <v>0</v>
      </c>
      <c r="CS37" s="1038">
        <f>IF(AND($D37&gt;0,OR(Z37="")),1,IF(Z37&gt;$D37,1,0))</f>
        <v>0</v>
      </c>
      <c r="CT37" s="1038">
        <f>IF(AND($E37&gt;0,OR(AA37="")),1,IF(AA37&gt;$E37,1,0))</f>
        <v>0</v>
      </c>
    </row>
    <row r="38" spans="1:100" ht="15" customHeight="1" x14ac:dyDescent="0.25">
      <c r="A38" s="2024" t="s">
        <v>502</v>
      </c>
      <c r="B38" s="2025"/>
      <c r="C38" s="1501">
        <f>SUM(D38:E38)</f>
        <v>1082</v>
      </c>
      <c r="D38" s="1505">
        <f>+F38+H38+J38+L38+N38+P38+R38+T38</f>
        <v>406</v>
      </c>
      <c r="E38" s="1193">
        <f>+G38+I38+K38+M38+O38+Q38+S38+U38</f>
        <v>676</v>
      </c>
      <c r="F38" s="1505">
        <f>SUM(F34:F37)</f>
        <v>125</v>
      </c>
      <c r="G38" s="1193">
        <f t="shared" ref="G38:Y38" si="31">SUM(G34:G37)</f>
        <v>220</v>
      </c>
      <c r="H38" s="1219">
        <f t="shared" si="31"/>
        <v>108</v>
      </c>
      <c r="I38" s="1193">
        <f t="shared" si="31"/>
        <v>163</v>
      </c>
      <c r="J38" s="1219">
        <f t="shared" ref="J38:M38" si="32">SUM(J34:J37)</f>
        <v>82</v>
      </c>
      <c r="K38" s="1193">
        <f t="shared" si="32"/>
        <v>108</v>
      </c>
      <c r="L38" s="1219">
        <f t="shared" si="32"/>
        <v>47</v>
      </c>
      <c r="M38" s="1193">
        <f t="shared" si="32"/>
        <v>84</v>
      </c>
      <c r="N38" s="1505">
        <f t="shared" si="31"/>
        <v>28</v>
      </c>
      <c r="O38" s="1193">
        <f t="shared" si="31"/>
        <v>61</v>
      </c>
      <c r="P38" s="1505">
        <f t="shared" ref="P38:S38" si="33">SUM(P34:P37)</f>
        <v>13</v>
      </c>
      <c r="Q38" s="1193">
        <f t="shared" si="33"/>
        <v>32</v>
      </c>
      <c r="R38" s="1219">
        <f t="shared" si="33"/>
        <v>3</v>
      </c>
      <c r="S38" s="1193">
        <f t="shared" si="33"/>
        <v>8</v>
      </c>
      <c r="T38" s="1505">
        <f t="shared" si="31"/>
        <v>0</v>
      </c>
      <c r="U38" s="502">
        <f t="shared" si="31"/>
        <v>0</v>
      </c>
      <c r="V38" s="501">
        <f>SUM(V34:V37)</f>
        <v>76</v>
      </c>
      <c r="W38" s="1193">
        <f>SUM(W34:W37)</f>
        <v>103</v>
      </c>
      <c r="X38" s="1505">
        <f t="shared" si="31"/>
        <v>2</v>
      </c>
      <c r="Y38" s="1193">
        <f t="shared" si="31"/>
        <v>12</v>
      </c>
      <c r="Z38" s="1505">
        <f t="shared" ref="Z38:AA38" si="34">SUM(Z34:Z37)</f>
        <v>0</v>
      </c>
      <c r="AA38" s="1193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5" customFormat="1" ht="17.100000000000001" customHeight="1" x14ac:dyDescent="0.2">
      <c r="A39" s="2017" t="s">
        <v>606</v>
      </c>
      <c r="B39" s="2017"/>
      <c r="C39" s="2017"/>
      <c r="D39" s="2017"/>
      <c r="E39" s="2017"/>
      <c r="F39" s="2018"/>
      <c r="G39" s="2018"/>
      <c r="H39" s="1101"/>
      <c r="I39" s="1101"/>
      <c r="J39" s="1101"/>
      <c r="K39" s="1101"/>
      <c r="L39" s="1097"/>
      <c r="AB39" s="1334"/>
      <c r="AC39" s="1094"/>
      <c r="AD39" s="1094"/>
      <c r="AE39" s="1094"/>
      <c r="AF39" s="1094"/>
      <c r="AG39" s="1094"/>
      <c r="AH39" s="1094"/>
      <c r="AI39" s="1094"/>
      <c r="AJ39" s="1094"/>
      <c r="AK39" s="1094"/>
      <c r="AL39" s="1094"/>
      <c r="AM39" s="1094"/>
      <c r="AN39" s="1094"/>
      <c r="AO39" s="1094"/>
      <c r="AP39" s="1094"/>
      <c r="AQ39" s="1094"/>
      <c r="AR39" s="1094"/>
      <c r="AS39" s="1094"/>
      <c r="AT39" s="1094"/>
      <c r="AU39" s="1094"/>
      <c r="AV39" s="1094"/>
      <c r="AW39" s="1094"/>
      <c r="AX39" s="1094"/>
      <c r="AY39" s="1094"/>
    </row>
    <row r="40" spans="1:100" ht="22.5" customHeight="1" x14ac:dyDescent="0.25">
      <c r="A40" s="2016" t="s">
        <v>450</v>
      </c>
      <c r="B40" s="2016"/>
      <c r="C40" s="2015" t="s">
        <v>54</v>
      </c>
      <c r="D40" s="2015"/>
      <c r="E40" s="2015"/>
      <c r="F40" s="2019" t="s">
        <v>381</v>
      </c>
      <c r="G40" s="2020"/>
      <c r="H40" s="2020"/>
      <c r="I40" s="2020"/>
      <c r="J40" s="2020"/>
      <c r="K40" s="2020"/>
      <c r="L40" s="2020"/>
      <c r="M40" s="2020"/>
      <c r="N40" s="2020"/>
      <c r="O40" s="2020"/>
      <c r="P40" s="2020"/>
      <c r="Q40" s="2020"/>
      <c r="R40" s="2020"/>
      <c r="S40" s="2020"/>
      <c r="T40" s="2020"/>
      <c r="U40" s="2021"/>
      <c r="V40" s="1869" t="s">
        <v>56</v>
      </c>
      <c r="W40" s="1866"/>
      <c r="X40" s="1869" t="s">
        <v>113</v>
      </c>
      <c r="Y40" s="1866"/>
      <c r="Z40" s="1869" t="s">
        <v>584</v>
      </c>
      <c r="AA40" s="1866"/>
    </row>
    <row r="41" spans="1:100" ht="17.25" customHeight="1" x14ac:dyDescent="0.25">
      <c r="A41" s="2016"/>
      <c r="B41" s="2016"/>
      <c r="C41" s="2015"/>
      <c r="D41" s="2015"/>
      <c r="E41" s="2015"/>
      <c r="F41" s="1876" t="s">
        <v>72</v>
      </c>
      <c r="G41" s="1877"/>
      <c r="H41" s="1876" t="s">
        <v>411</v>
      </c>
      <c r="I41" s="1877"/>
      <c r="J41" s="1876" t="s">
        <v>412</v>
      </c>
      <c r="K41" s="1877"/>
      <c r="L41" s="1876" t="s">
        <v>586</v>
      </c>
      <c r="M41" s="1877"/>
      <c r="N41" s="1881" t="s">
        <v>587</v>
      </c>
      <c r="O41" s="1881"/>
      <c r="P41" s="1876" t="s">
        <v>588</v>
      </c>
      <c r="Q41" s="1881"/>
      <c r="R41" s="1876" t="s">
        <v>589</v>
      </c>
      <c r="S41" s="1877"/>
      <c r="T41" s="1876" t="s">
        <v>590</v>
      </c>
      <c r="U41" s="1883"/>
      <c r="V41" s="1867"/>
      <c r="W41" s="1868"/>
      <c r="X41" s="1867"/>
      <c r="Y41" s="1868"/>
      <c r="Z41" s="1867"/>
      <c r="AA41" s="1868"/>
    </row>
    <row r="42" spans="1:100" ht="31.15" customHeight="1" x14ac:dyDescent="0.25">
      <c r="A42" s="2016"/>
      <c r="B42" s="2016"/>
      <c r="C42" s="1458" t="s">
        <v>414</v>
      </c>
      <c r="D42" s="1510" t="s">
        <v>91</v>
      </c>
      <c r="E42" s="1511" t="s">
        <v>231</v>
      </c>
      <c r="F42" s="1213" t="s">
        <v>415</v>
      </c>
      <c r="G42" s="871" t="s">
        <v>231</v>
      </c>
      <c r="H42" s="1213" t="s">
        <v>415</v>
      </c>
      <c r="I42" s="871" t="s">
        <v>231</v>
      </c>
      <c r="J42" s="1213" t="s">
        <v>415</v>
      </c>
      <c r="K42" s="871" t="s">
        <v>231</v>
      </c>
      <c r="L42" s="1220" t="s">
        <v>91</v>
      </c>
      <c r="M42" s="1191" t="s">
        <v>231</v>
      </c>
      <c r="N42" s="1220" t="s">
        <v>91</v>
      </c>
      <c r="O42" s="1191" t="s">
        <v>231</v>
      </c>
      <c r="P42" s="1220" t="s">
        <v>91</v>
      </c>
      <c r="Q42" s="1191" t="s">
        <v>231</v>
      </c>
      <c r="R42" s="1220" t="s">
        <v>91</v>
      </c>
      <c r="S42" s="1191" t="s">
        <v>231</v>
      </c>
      <c r="T42" s="1220" t="s">
        <v>91</v>
      </c>
      <c r="U42" s="106" t="s">
        <v>231</v>
      </c>
      <c r="V42" s="1380" t="s">
        <v>91</v>
      </c>
      <c r="W42" s="1400" t="s">
        <v>231</v>
      </c>
      <c r="X42" s="1380" t="s">
        <v>91</v>
      </c>
      <c r="Y42" s="1400" t="s">
        <v>231</v>
      </c>
      <c r="Z42" s="1380" t="s">
        <v>91</v>
      </c>
      <c r="AA42" s="1400" t="s">
        <v>231</v>
      </c>
    </row>
    <row r="43" spans="1:100" ht="15" customHeight="1" x14ac:dyDescent="0.25">
      <c r="A43" s="2028" t="s">
        <v>607</v>
      </c>
      <c r="B43" s="2029"/>
      <c r="C43" s="1501">
        <f>SUM(D43:E43)</f>
        <v>10</v>
      </c>
      <c r="D43" s="1505">
        <f>+F43+H43+J43+L43+N43+P43+R43+T43</f>
        <v>1</v>
      </c>
      <c r="E43" s="1504">
        <f>+G43+I43+K43+M43+O43+Q43+S43+U43</f>
        <v>9</v>
      </c>
      <c r="F43" s="1221">
        <v>0</v>
      </c>
      <c r="G43" s="1195">
        <v>3</v>
      </c>
      <c r="H43" s="1221">
        <v>0</v>
      </c>
      <c r="I43" s="1195">
        <v>2</v>
      </c>
      <c r="J43" s="1221">
        <v>0</v>
      </c>
      <c r="K43" s="1195">
        <v>1</v>
      </c>
      <c r="L43" s="1221">
        <v>1</v>
      </c>
      <c r="M43" s="1195">
        <v>1</v>
      </c>
      <c r="N43" s="1221">
        <v>0</v>
      </c>
      <c r="O43" s="1195">
        <v>1</v>
      </c>
      <c r="P43" s="1221">
        <v>0</v>
      </c>
      <c r="Q43" s="1195">
        <v>1</v>
      </c>
      <c r="R43" s="1221">
        <v>0</v>
      </c>
      <c r="S43" s="1195">
        <v>0</v>
      </c>
      <c r="T43" s="1221">
        <v>0</v>
      </c>
      <c r="U43" s="733">
        <v>0</v>
      </c>
      <c r="V43" s="1512">
        <v>1</v>
      </c>
      <c r="W43" s="1195">
        <v>2</v>
      </c>
      <c r="X43" s="1221">
        <v>0</v>
      </c>
      <c r="Y43" s="1195">
        <v>0</v>
      </c>
      <c r="Z43" s="1221">
        <v>0</v>
      </c>
      <c r="AA43" s="1195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8">
        <f>IF(C43&gt;C21,1,0)</f>
        <v>0</v>
      </c>
      <c r="CO43" s="1038">
        <f>IF(AND(D43&gt;0,OR(V43="")),1,IF(V43&gt;D43,1,0))</f>
        <v>0</v>
      </c>
      <c r="CP43" s="1038">
        <f>IF(AND(E43&gt;0,OR(W43="")),1,IF(W43&gt;E43,1,0))</f>
        <v>0</v>
      </c>
      <c r="CQ43" s="1038">
        <f>IF(AND($D43&gt;0,OR(X43="")),1,IF(X43&gt;$D43,1,0))</f>
        <v>0</v>
      </c>
      <c r="CR43" s="1038">
        <f>IF(AND($E43&gt;0,OR(Y43="")),1,IF(Y43&gt;$E43,1,0))</f>
        <v>0</v>
      </c>
      <c r="CS43" s="1038">
        <f>IF(AND($D43&gt;0,OR(Z43="")),1,IF(Z43&gt;$D43,1,0))</f>
        <v>0</v>
      </c>
      <c r="CT43" s="1038">
        <f>IF(AND($E43&gt;0,OR(AA43="")),1,IF(AA43&gt;$E43,1,0))</f>
        <v>0</v>
      </c>
    </row>
    <row r="44" spans="1:100" s="1095" customFormat="1" ht="17.100000000000001" customHeight="1" x14ac:dyDescent="0.2">
      <c r="A44" s="2031" t="s">
        <v>608</v>
      </c>
      <c r="B44" s="2031"/>
      <c r="C44" s="2031"/>
      <c r="D44" s="2031"/>
      <c r="E44" s="2031"/>
      <c r="F44" s="2032"/>
      <c r="G44" s="2032"/>
      <c r="H44" s="2032"/>
      <c r="I44" s="1101"/>
      <c r="J44" s="1101"/>
      <c r="K44" s="1101"/>
      <c r="L44" s="1097"/>
      <c r="AB44" s="1334"/>
      <c r="AC44" s="1094"/>
      <c r="AD44" s="1094"/>
      <c r="AE44" s="1094"/>
      <c r="AF44" s="1094"/>
      <c r="AG44" s="1094"/>
      <c r="AH44" s="1094"/>
      <c r="AI44" s="1094"/>
      <c r="AJ44" s="1094"/>
      <c r="AK44" s="1094"/>
      <c r="AL44" s="1094"/>
      <c r="AM44" s="1094"/>
      <c r="AN44" s="1094"/>
      <c r="AO44" s="1094"/>
      <c r="AP44" s="1094"/>
      <c r="AQ44" s="1094"/>
      <c r="AR44" s="1094"/>
      <c r="AS44" s="1094"/>
      <c r="AT44" s="1094"/>
      <c r="AU44" s="1094"/>
      <c r="AV44" s="1094"/>
      <c r="AW44" s="1094"/>
      <c r="AX44" s="1094"/>
      <c r="AY44" s="1094"/>
    </row>
    <row r="45" spans="1:100" ht="20.25" customHeight="1" x14ac:dyDescent="0.25">
      <c r="A45" s="2016" t="s">
        <v>450</v>
      </c>
      <c r="B45" s="2016"/>
      <c r="C45" s="2015" t="s">
        <v>54</v>
      </c>
      <c r="D45" s="2015"/>
      <c r="E45" s="2015"/>
      <c r="F45" s="2019" t="s">
        <v>381</v>
      </c>
      <c r="G45" s="2020"/>
      <c r="H45" s="2020"/>
      <c r="I45" s="2020"/>
      <c r="J45" s="2020"/>
      <c r="K45" s="2020"/>
      <c r="L45" s="2020"/>
      <c r="M45" s="2020"/>
      <c r="N45" s="2020"/>
      <c r="O45" s="2020"/>
      <c r="P45" s="2020"/>
      <c r="Q45" s="2020"/>
      <c r="R45" s="2020"/>
      <c r="S45" s="2020"/>
      <c r="T45" s="2020"/>
      <c r="U45" s="2021"/>
      <c r="V45" s="1869" t="s">
        <v>56</v>
      </c>
      <c r="W45" s="1866"/>
      <c r="X45" s="1869" t="s">
        <v>113</v>
      </c>
      <c r="Y45" s="1866"/>
      <c r="Z45" s="1869" t="s">
        <v>584</v>
      </c>
      <c r="AA45" s="1866"/>
    </row>
    <row r="46" spans="1:100" ht="19.5" customHeight="1" x14ac:dyDescent="0.25">
      <c r="A46" s="2016"/>
      <c r="B46" s="2016"/>
      <c r="C46" s="2015"/>
      <c r="D46" s="2015"/>
      <c r="E46" s="2015"/>
      <c r="F46" s="1876" t="s">
        <v>72</v>
      </c>
      <c r="G46" s="1877"/>
      <c r="H46" s="1876" t="s">
        <v>411</v>
      </c>
      <c r="I46" s="1877"/>
      <c r="J46" s="1876" t="s">
        <v>412</v>
      </c>
      <c r="K46" s="1877"/>
      <c r="L46" s="1876" t="s">
        <v>586</v>
      </c>
      <c r="M46" s="1877"/>
      <c r="N46" s="1881" t="s">
        <v>587</v>
      </c>
      <c r="O46" s="1881"/>
      <c r="P46" s="1876" t="s">
        <v>588</v>
      </c>
      <c r="Q46" s="1881"/>
      <c r="R46" s="1876" t="s">
        <v>589</v>
      </c>
      <c r="S46" s="1877"/>
      <c r="T46" s="1876" t="s">
        <v>590</v>
      </c>
      <c r="U46" s="1883"/>
      <c r="V46" s="1867"/>
      <c r="W46" s="1868"/>
      <c r="X46" s="1867"/>
      <c r="Y46" s="1868"/>
      <c r="Z46" s="1867"/>
      <c r="AA46" s="1868"/>
    </row>
    <row r="47" spans="1:100" ht="21" x14ac:dyDescent="0.25">
      <c r="A47" s="2016"/>
      <c r="B47" s="2016"/>
      <c r="C47" s="1458" t="s">
        <v>414</v>
      </c>
      <c r="D47" s="1510" t="s">
        <v>91</v>
      </c>
      <c r="E47" s="1194" t="s">
        <v>231</v>
      </c>
      <c r="F47" s="1213" t="s">
        <v>415</v>
      </c>
      <c r="G47" s="871" t="s">
        <v>231</v>
      </c>
      <c r="H47" s="1213" t="s">
        <v>415</v>
      </c>
      <c r="I47" s="871" t="s">
        <v>231</v>
      </c>
      <c r="J47" s="1213" t="s">
        <v>415</v>
      </c>
      <c r="K47" s="871" t="s">
        <v>231</v>
      </c>
      <c r="L47" s="1220" t="s">
        <v>91</v>
      </c>
      <c r="M47" s="1191" t="s">
        <v>231</v>
      </c>
      <c r="N47" s="1220" t="s">
        <v>91</v>
      </c>
      <c r="O47" s="1191" t="s">
        <v>231</v>
      </c>
      <c r="P47" s="1220" t="s">
        <v>91</v>
      </c>
      <c r="Q47" s="1191" t="s">
        <v>231</v>
      </c>
      <c r="R47" s="1220" t="s">
        <v>91</v>
      </c>
      <c r="S47" s="1191" t="s">
        <v>231</v>
      </c>
      <c r="T47" s="1220" t="s">
        <v>91</v>
      </c>
      <c r="U47" s="106" t="s">
        <v>231</v>
      </c>
      <c r="V47" s="1380" t="s">
        <v>91</v>
      </c>
      <c r="W47" s="1400" t="s">
        <v>231</v>
      </c>
      <c r="X47" s="1380" t="s">
        <v>91</v>
      </c>
      <c r="Y47" s="1400" t="s">
        <v>231</v>
      </c>
      <c r="Z47" s="1380" t="s">
        <v>91</v>
      </c>
      <c r="AA47" s="1400" t="s">
        <v>231</v>
      </c>
    </row>
    <row r="48" spans="1:100" ht="15" customHeight="1" x14ac:dyDescent="0.25">
      <c r="A48" s="2028" t="s">
        <v>609</v>
      </c>
      <c r="B48" s="2029"/>
      <c r="C48" s="1501">
        <f>SUM(D48:E48)</f>
        <v>2</v>
      </c>
      <c r="D48" s="1505">
        <f>+F48+H48+J48+L48+N48+P48+R48+T48</f>
        <v>1</v>
      </c>
      <c r="E48" s="1193">
        <f>+G48+I48+K48+M48+O48+Q48+S48+U48</f>
        <v>1</v>
      </c>
      <c r="F48" s="1221">
        <v>0</v>
      </c>
      <c r="G48" s="1195">
        <v>0</v>
      </c>
      <c r="H48" s="1221">
        <v>0</v>
      </c>
      <c r="I48" s="1195">
        <v>1</v>
      </c>
      <c r="J48" s="1221">
        <v>1</v>
      </c>
      <c r="K48" s="1195">
        <v>0</v>
      </c>
      <c r="L48" s="1221">
        <v>0</v>
      </c>
      <c r="M48" s="1195">
        <v>0</v>
      </c>
      <c r="N48" s="1221">
        <v>0</v>
      </c>
      <c r="O48" s="1195">
        <v>0</v>
      </c>
      <c r="P48" s="1221">
        <v>0</v>
      </c>
      <c r="Q48" s="1195">
        <v>0</v>
      </c>
      <c r="R48" s="1221">
        <v>0</v>
      </c>
      <c r="S48" s="1195">
        <v>0</v>
      </c>
      <c r="T48" s="1221">
        <v>0</v>
      </c>
      <c r="U48" s="733">
        <v>0</v>
      </c>
      <c r="V48" s="1512">
        <v>0</v>
      </c>
      <c r="W48" s="1195">
        <v>0</v>
      </c>
      <c r="X48" s="1221">
        <v>0</v>
      </c>
      <c r="Y48" s="1195">
        <v>0</v>
      </c>
      <c r="Z48" s="1221">
        <v>0</v>
      </c>
      <c r="AA48" s="1195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8">
        <f>IF($C$48&lt;=$C$15,0,1)</f>
        <v>0</v>
      </c>
      <c r="CO48" s="1038">
        <f>IF(AND(D48&gt;0,OR(V48="")),1,IF(V48&gt;D48,1,0))</f>
        <v>0</v>
      </c>
      <c r="CP48" s="1038">
        <f>IF(AND(E48&gt;0,OR(W48="")),1,IF(W48&gt;E48,1,0))</f>
        <v>0</v>
      </c>
      <c r="CQ48" s="1038">
        <f>IF(AND($D48&gt;0,OR(X48="")),1,IF(X48&gt;$D48,1,0))</f>
        <v>0</v>
      </c>
      <c r="CR48" s="1038">
        <f>IF(AND($E48&gt;0,OR(Y48="")),1,IF(Y48&gt;$E48,1,0))</f>
        <v>0</v>
      </c>
      <c r="CS48" s="1038">
        <f>IF(AND($D48&gt;0,OR(Z48="")),1,IF(Z48&gt;$D48,1,0))</f>
        <v>0</v>
      </c>
      <c r="CT48" s="1038">
        <f>IF(AND($E48&gt;0,OR(AA48="")),1,IF(AA48&gt;$E48,1,0))</f>
        <v>0</v>
      </c>
    </row>
    <row r="49" spans="1:98" s="1095" customFormat="1" ht="17.100000000000001" customHeight="1" x14ac:dyDescent="0.2">
      <c r="A49" s="2030" t="s">
        <v>610</v>
      </c>
      <c r="B49" s="2030"/>
      <c r="C49" s="2030"/>
      <c r="D49" s="2030"/>
      <c r="E49" s="2030"/>
      <c r="F49" s="2030"/>
      <c r="G49" s="2030"/>
      <c r="H49" s="2030"/>
      <c r="I49" s="2030"/>
      <c r="AB49" s="1334"/>
      <c r="AC49" s="1094"/>
      <c r="AD49" s="1094"/>
      <c r="AE49" s="1094"/>
      <c r="AF49" s="1094"/>
      <c r="AG49" s="1094"/>
      <c r="AH49" s="1094"/>
      <c r="AI49" s="1094"/>
      <c r="AJ49" s="1094"/>
      <c r="AK49" s="1094"/>
      <c r="AL49" s="1094"/>
      <c r="AM49" s="1094"/>
      <c r="AN49" s="1094"/>
      <c r="AO49" s="1094"/>
      <c r="AP49" s="1094"/>
      <c r="AQ49" s="1094"/>
      <c r="AR49" s="1094"/>
      <c r="AS49" s="1094"/>
      <c r="AT49" s="1094"/>
      <c r="AU49" s="1094"/>
      <c r="AV49" s="1094"/>
      <c r="AW49" s="1094"/>
      <c r="AX49" s="1094"/>
      <c r="AY49" s="1094"/>
    </row>
    <row r="50" spans="1:98" ht="25.5" customHeight="1" x14ac:dyDescent="0.25">
      <c r="A50" s="1655" t="s">
        <v>611</v>
      </c>
      <c r="B50" s="2033" t="s">
        <v>612</v>
      </c>
      <c r="C50" s="2015" t="s">
        <v>54</v>
      </c>
      <c r="D50" s="2015"/>
      <c r="E50" s="2015"/>
      <c r="F50" s="2019" t="s">
        <v>381</v>
      </c>
      <c r="G50" s="2020"/>
      <c r="H50" s="2020"/>
      <c r="I50" s="2020"/>
      <c r="J50" s="2020"/>
      <c r="K50" s="2020"/>
      <c r="L50" s="2020"/>
      <c r="M50" s="2020"/>
      <c r="N50" s="2020"/>
      <c r="O50" s="2020"/>
      <c r="P50" s="2020"/>
      <c r="Q50" s="2020"/>
      <c r="R50" s="2020"/>
      <c r="S50" s="2020"/>
      <c r="T50" s="2020"/>
      <c r="U50" s="2021"/>
      <c r="V50" s="1869" t="s">
        <v>56</v>
      </c>
      <c r="W50" s="1866"/>
      <c r="X50" s="1869" t="s">
        <v>113</v>
      </c>
      <c r="Y50" s="1866"/>
      <c r="Z50" s="1869" t="s">
        <v>584</v>
      </c>
      <c r="AA50" s="1866"/>
    </row>
    <row r="51" spans="1:98" ht="15.75" customHeight="1" x14ac:dyDescent="0.25">
      <c r="A51" s="1930"/>
      <c r="B51" s="2034"/>
      <c r="C51" s="2015"/>
      <c r="D51" s="2015"/>
      <c r="E51" s="2015"/>
      <c r="F51" s="1881" t="s">
        <v>72</v>
      </c>
      <c r="G51" s="1877"/>
      <c r="H51" s="1876" t="s">
        <v>411</v>
      </c>
      <c r="I51" s="1877"/>
      <c r="J51" s="1876" t="s">
        <v>412</v>
      </c>
      <c r="K51" s="1877"/>
      <c r="L51" s="1876" t="s">
        <v>586</v>
      </c>
      <c r="M51" s="1877"/>
      <c r="N51" s="1881" t="s">
        <v>587</v>
      </c>
      <c r="O51" s="1881"/>
      <c r="P51" s="1876" t="s">
        <v>588</v>
      </c>
      <c r="Q51" s="1881"/>
      <c r="R51" s="1876" t="s">
        <v>589</v>
      </c>
      <c r="S51" s="1877"/>
      <c r="T51" s="1876" t="s">
        <v>590</v>
      </c>
      <c r="U51" s="1883"/>
      <c r="V51" s="1867"/>
      <c r="W51" s="1868"/>
      <c r="X51" s="1867"/>
      <c r="Y51" s="1868"/>
      <c r="Z51" s="1867"/>
      <c r="AA51" s="1868"/>
    </row>
    <row r="52" spans="1:98" ht="24.75" customHeight="1" x14ac:dyDescent="0.25">
      <c r="A52" s="1656"/>
      <c r="B52" s="2035"/>
      <c r="C52" s="1458" t="s">
        <v>414</v>
      </c>
      <c r="D52" s="1510" t="s">
        <v>91</v>
      </c>
      <c r="E52" s="1194" t="s">
        <v>231</v>
      </c>
      <c r="F52" s="1213" t="s">
        <v>415</v>
      </c>
      <c r="G52" s="871" t="s">
        <v>231</v>
      </c>
      <c r="H52" s="1213" t="s">
        <v>415</v>
      </c>
      <c r="I52" s="871" t="s">
        <v>231</v>
      </c>
      <c r="J52" s="1213" t="s">
        <v>415</v>
      </c>
      <c r="K52" s="871" t="s">
        <v>231</v>
      </c>
      <c r="L52" s="1220" t="s">
        <v>91</v>
      </c>
      <c r="M52" s="1191" t="s">
        <v>231</v>
      </c>
      <c r="N52" s="1220" t="s">
        <v>91</v>
      </c>
      <c r="O52" s="1191" t="s">
        <v>231</v>
      </c>
      <c r="P52" s="1220" t="s">
        <v>91</v>
      </c>
      <c r="Q52" s="1191" t="s">
        <v>231</v>
      </c>
      <c r="R52" s="1220" t="s">
        <v>91</v>
      </c>
      <c r="S52" s="1191" t="s">
        <v>231</v>
      </c>
      <c r="T52" s="1220" t="s">
        <v>91</v>
      </c>
      <c r="U52" s="106" t="s">
        <v>231</v>
      </c>
      <c r="V52" s="1380" t="s">
        <v>91</v>
      </c>
      <c r="W52" s="1400" t="s">
        <v>231</v>
      </c>
      <c r="X52" s="1380" t="s">
        <v>91</v>
      </c>
      <c r="Y52" s="1400" t="s">
        <v>231</v>
      </c>
      <c r="Z52" s="1380" t="s">
        <v>91</v>
      </c>
      <c r="AA52" s="1400" t="s">
        <v>231</v>
      </c>
    </row>
    <row r="53" spans="1:98" ht="15" customHeight="1" x14ac:dyDescent="0.25">
      <c r="A53" s="1655" t="s">
        <v>613</v>
      </c>
      <c r="B53" s="740" t="s">
        <v>131</v>
      </c>
      <c r="C53" s="1513">
        <f>SUM(D53:E53)</f>
        <v>382</v>
      </c>
      <c r="D53" s="1514">
        <f>+F53+H53+J53+L53+N53+P53+R53+T53</f>
        <v>165</v>
      </c>
      <c r="E53" s="1515">
        <f>+G53+I53+K53+M53+O53+Q53+S53+U53</f>
        <v>217</v>
      </c>
      <c r="F53" s="504">
        <v>73</v>
      </c>
      <c r="G53" s="505">
        <v>113</v>
      </c>
      <c r="H53" s="504">
        <v>49</v>
      </c>
      <c r="I53" s="505">
        <v>61</v>
      </c>
      <c r="J53" s="504">
        <v>25</v>
      </c>
      <c r="K53" s="505">
        <v>31</v>
      </c>
      <c r="L53" s="504">
        <v>11</v>
      </c>
      <c r="M53" s="505">
        <v>9</v>
      </c>
      <c r="N53" s="504">
        <v>4</v>
      </c>
      <c r="O53" s="505">
        <v>1</v>
      </c>
      <c r="P53" s="504">
        <v>3</v>
      </c>
      <c r="Q53" s="505">
        <v>2</v>
      </c>
      <c r="R53" s="504">
        <v>0</v>
      </c>
      <c r="S53" s="505">
        <v>0</v>
      </c>
      <c r="T53" s="504">
        <v>0</v>
      </c>
      <c r="U53" s="508">
        <v>0</v>
      </c>
      <c r="V53" s="516">
        <v>28</v>
      </c>
      <c r="W53" s="505">
        <v>30</v>
      </c>
      <c r="X53" s="504">
        <v>1</v>
      </c>
      <c r="Y53" s="505">
        <v>11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8">
        <f t="shared" ref="CN53:CN57" si="35">IF($C$48&lt;=$C$15,0,1)</f>
        <v>0</v>
      </c>
      <c r="CO53" s="1038">
        <f t="shared" ref="CO53:CO57" si="36">IF(AND(D53&gt;0,OR(V53="")),1,IF(V53&gt;D53,1,0))</f>
        <v>0</v>
      </c>
      <c r="CP53" s="1038">
        <f t="shared" ref="CP53:CP57" si="37">IF(AND(E53&gt;0,OR(W53="")),1,IF(W53&gt;E53,1,0))</f>
        <v>0</v>
      </c>
      <c r="CQ53" s="1038">
        <f t="shared" ref="CQ53:CQ57" si="38">IF(AND($D53&gt;0,OR(X53="")),1,IF(X53&gt;$D53,1,0))</f>
        <v>0</v>
      </c>
      <c r="CR53" s="1038">
        <f>IF(AND($E53&gt;0,OR(Y53="")),1,IF(Y53&gt;$E53,1,0))</f>
        <v>0</v>
      </c>
      <c r="CS53" s="1038">
        <f t="shared" ref="CS53:CS57" si="39">IF(AND($D53&gt;0,OR(Z53="")),1,IF(Z53&gt;$D53,1,0))</f>
        <v>0</v>
      </c>
      <c r="CT53" s="1038">
        <f t="shared" ref="CT53:CT57" si="40">IF(AND($E53&gt;0,OR(AA53="")),1,IF(AA53&gt;$E53,1,0))</f>
        <v>0</v>
      </c>
    </row>
    <row r="54" spans="1:98" ht="15" customHeight="1" x14ac:dyDescent="0.25">
      <c r="A54" s="1930"/>
      <c r="B54" s="741" t="s">
        <v>286</v>
      </c>
      <c r="C54" s="1146">
        <f>SUM(D54:E54)</f>
        <v>172</v>
      </c>
      <c r="D54" s="519">
        <f>+F54+H54+J54+L54+N54+P54+R54+T54</f>
        <v>61</v>
      </c>
      <c r="E54" s="520">
        <f t="shared" ref="E54:E57" si="41">+G54+I54+K54+M54+O54+Q54+S54+U54</f>
        <v>111</v>
      </c>
      <c r="F54" s="510">
        <v>16</v>
      </c>
      <c r="G54" s="511">
        <v>22</v>
      </c>
      <c r="H54" s="510">
        <v>15</v>
      </c>
      <c r="I54" s="511">
        <v>40</v>
      </c>
      <c r="J54" s="510">
        <v>18</v>
      </c>
      <c r="K54" s="511">
        <v>21</v>
      </c>
      <c r="L54" s="510">
        <v>5</v>
      </c>
      <c r="M54" s="511">
        <v>20</v>
      </c>
      <c r="N54" s="510">
        <v>5</v>
      </c>
      <c r="O54" s="511">
        <v>6</v>
      </c>
      <c r="P54" s="510">
        <v>2</v>
      </c>
      <c r="Q54" s="511">
        <v>1</v>
      </c>
      <c r="R54" s="510">
        <v>0</v>
      </c>
      <c r="S54" s="511">
        <v>1</v>
      </c>
      <c r="T54" s="510">
        <v>0</v>
      </c>
      <c r="U54" s="514">
        <v>0</v>
      </c>
      <c r="V54" s="517">
        <v>16</v>
      </c>
      <c r="W54" s="511">
        <v>25</v>
      </c>
      <c r="X54" s="510">
        <v>1</v>
      </c>
      <c r="Y54" s="511">
        <v>1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8">
        <f t="shared" si="35"/>
        <v>0</v>
      </c>
      <c r="CO54" s="1038">
        <f t="shared" si="36"/>
        <v>0</v>
      </c>
      <c r="CP54" s="1038">
        <f t="shared" si="37"/>
        <v>0</v>
      </c>
      <c r="CQ54" s="1038">
        <f t="shared" si="38"/>
        <v>0</v>
      </c>
      <c r="CR54" s="1038">
        <f t="shared" ref="CR54:CR57" si="49">IF(AND($E54&gt;0,OR(Y54="")),1,IF(Y54&gt;$E54,1,0))</f>
        <v>0</v>
      </c>
      <c r="CS54" s="1038">
        <f t="shared" si="39"/>
        <v>0</v>
      </c>
      <c r="CT54" s="1038">
        <f t="shared" si="40"/>
        <v>0</v>
      </c>
    </row>
    <row r="55" spans="1:98" ht="15" customHeight="1" x14ac:dyDescent="0.25">
      <c r="A55" s="1656"/>
      <c r="B55" s="739" t="s">
        <v>614</v>
      </c>
      <c r="C55" s="1152">
        <f>SUM(D55:E55)</f>
        <v>127</v>
      </c>
      <c r="D55" s="521">
        <f>+F55+H55+J55+L55+N55+P55+R55+T55</f>
        <v>37</v>
      </c>
      <c r="E55" s="522">
        <f t="shared" si="41"/>
        <v>90</v>
      </c>
      <c r="F55" s="493">
        <v>7</v>
      </c>
      <c r="G55" s="494">
        <v>20</v>
      </c>
      <c r="H55" s="493">
        <v>9</v>
      </c>
      <c r="I55" s="494">
        <v>11</v>
      </c>
      <c r="J55" s="493">
        <v>5</v>
      </c>
      <c r="K55" s="494">
        <v>11</v>
      </c>
      <c r="L55" s="493">
        <v>10</v>
      </c>
      <c r="M55" s="494">
        <v>19</v>
      </c>
      <c r="N55" s="493">
        <v>4</v>
      </c>
      <c r="O55" s="494">
        <v>19</v>
      </c>
      <c r="P55" s="493">
        <v>1</v>
      </c>
      <c r="Q55" s="494">
        <v>9</v>
      </c>
      <c r="R55" s="493">
        <v>1</v>
      </c>
      <c r="S55" s="494">
        <v>1</v>
      </c>
      <c r="T55" s="493">
        <v>0</v>
      </c>
      <c r="U55" s="497">
        <v>0</v>
      </c>
      <c r="V55" s="498">
        <v>14</v>
      </c>
      <c r="W55" s="494">
        <v>22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8">
        <f>IF(SUM($C53:$C55)&gt;$C15,1,0)</f>
        <v>0</v>
      </c>
      <c r="CN55" s="1038">
        <f t="shared" si="35"/>
        <v>0</v>
      </c>
      <c r="CO55" s="1038">
        <f t="shared" si="36"/>
        <v>0</v>
      </c>
      <c r="CP55" s="1038">
        <f t="shared" si="37"/>
        <v>0</v>
      </c>
      <c r="CQ55" s="1038">
        <f t="shared" si="38"/>
        <v>0</v>
      </c>
      <c r="CR55" s="1038">
        <f t="shared" si="49"/>
        <v>0</v>
      </c>
      <c r="CS55" s="1038">
        <f t="shared" si="39"/>
        <v>0</v>
      </c>
      <c r="CT55" s="1038">
        <f t="shared" si="40"/>
        <v>0</v>
      </c>
    </row>
    <row r="56" spans="1:98" ht="15" customHeight="1" x14ac:dyDescent="0.25">
      <c r="A56" s="1655" t="s">
        <v>615</v>
      </c>
      <c r="B56" s="740" t="s">
        <v>616</v>
      </c>
      <c r="C56" s="1156">
        <f>SUM(D56:E56)</f>
        <v>329</v>
      </c>
      <c r="D56" s="1154">
        <f>+F56+H56+J56+L56+N56+P56+R56+T56</f>
        <v>136</v>
      </c>
      <c r="E56" s="523">
        <f t="shared" si="41"/>
        <v>193</v>
      </c>
      <c r="F56" s="524">
        <v>62</v>
      </c>
      <c r="G56" s="525">
        <v>98</v>
      </c>
      <c r="H56" s="524">
        <v>37</v>
      </c>
      <c r="I56" s="525">
        <v>54</v>
      </c>
      <c r="J56" s="524">
        <v>22</v>
      </c>
      <c r="K56" s="525">
        <v>26</v>
      </c>
      <c r="L56" s="524">
        <v>10</v>
      </c>
      <c r="M56" s="525">
        <v>10</v>
      </c>
      <c r="N56" s="524">
        <v>3</v>
      </c>
      <c r="O56" s="525">
        <v>3</v>
      </c>
      <c r="P56" s="524">
        <v>2</v>
      </c>
      <c r="Q56" s="525">
        <v>1</v>
      </c>
      <c r="R56" s="524">
        <v>0</v>
      </c>
      <c r="S56" s="525">
        <v>1</v>
      </c>
      <c r="T56" s="524">
        <v>0</v>
      </c>
      <c r="U56" s="737">
        <v>0</v>
      </c>
      <c r="V56" s="736">
        <v>28</v>
      </c>
      <c r="W56" s="525">
        <v>30</v>
      </c>
      <c r="X56" s="524">
        <v>1</v>
      </c>
      <c r="Y56" s="525">
        <v>11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8">
        <f t="shared" si="35"/>
        <v>0</v>
      </c>
      <c r="CO56" s="1038">
        <f t="shared" si="36"/>
        <v>0</v>
      </c>
      <c r="CP56" s="1038">
        <f t="shared" si="37"/>
        <v>0</v>
      </c>
      <c r="CQ56" s="1038">
        <f t="shared" si="38"/>
        <v>0</v>
      </c>
      <c r="CR56" s="1038">
        <f t="shared" si="49"/>
        <v>0</v>
      </c>
      <c r="CS56" s="1038">
        <f t="shared" si="39"/>
        <v>0</v>
      </c>
      <c r="CT56" s="1038">
        <f t="shared" si="40"/>
        <v>0</v>
      </c>
    </row>
    <row r="57" spans="1:98" ht="15" customHeight="1" x14ac:dyDescent="0.25">
      <c r="A57" s="1656"/>
      <c r="B57" s="739" t="s">
        <v>617</v>
      </c>
      <c r="C57" s="1157">
        <f>SUM(D57:E57)</f>
        <v>549</v>
      </c>
      <c r="D57" s="1155">
        <f>+F57+H57+J57+L57+N57+P57+R57+T57</f>
        <v>206</v>
      </c>
      <c r="E57" s="526">
        <f t="shared" si="41"/>
        <v>343</v>
      </c>
      <c r="F57" s="493">
        <v>53</v>
      </c>
      <c r="G57" s="494">
        <v>101</v>
      </c>
      <c r="H57" s="493">
        <v>61</v>
      </c>
      <c r="I57" s="494">
        <v>82</v>
      </c>
      <c r="J57" s="493">
        <v>47</v>
      </c>
      <c r="K57" s="494">
        <v>58</v>
      </c>
      <c r="L57" s="493">
        <v>23</v>
      </c>
      <c r="M57" s="494">
        <v>52</v>
      </c>
      <c r="N57" s="493">
        <v>15</v>
      </c>
      <c r="O57" s="494">
        <v>33</v>
      </c>
      <c r="P57" s="493">
        <v>6</v>
      </c>
      <c r="Q57" s="494">
        <v>15</v>
      </c>
      <c r="R57" s="493">
        <v>1</v>
      </c>
      <c r="S57" s="494">
        <v>2</v>
      </c>
      <c r="T57" s="493">
        <v>0</v>
      </c>
      <c r="U57" s="497">
        <v>0</v>
      </c>
      <c r="V57" s="498">
        <v>30</v>
      </c>
      <c r="W57" s="494">
        <v>47</v>
      </c>
      <c r="X57" s="493">
        <v>1</v>
      </c>
      <c r="Y57" s="494">
        <v>1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8">
        <f t="shared" si="35"/>
        <v>0</v>
      </c>
      <c r="CO57" s="1038">
        <f t="shared" si="36"/>
        <v>0</v>
      </c>
      <c r="CP57" s="1038">
        <f t="shared" si="37"/>
        <v>0</v>
      </c>
      <c r="CQ57" s="1038">
        <f t="shared" si="38"/>
        <v>0</v>
      </c>
      <c r="CR57" s="1038">
        <f t="shared" si="49"/>
        <v>0</v>
      </c>
      <c r="CS57" s="1038">
        <f t="shared" si="39"/>
        <v>0</v>
      </c>
      <c r="CT57" s="1038">
        <f t="shared" si="40"/>
        <v>0</v>
      </c>
    </row>
    <row r="59" spans="1:98" ht="12.75" customHeight="1" x14ac:dyDescent="0.25"/>
    <row r="81" spans="1:51" ht="14.45" hidden="1" customHeight="1" x14ac:dyDescent="0.15">
      <c r="A81" s="1486">
        <f>SUM(C12:C14,C16:C19, C26:C28,C34:C37,C43:C43,C48:C48,C53:C57)</f>
        <v>4170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86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56" zoomScale="80" zoomScaleNormal="80" workbookViewId="0">
      <selection activeCell="A69" sqref="A69:XFD69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7" t="s">
        <v>618</v>
      </c>
      <c r="B7" s="2117"/>
      <c r="C7" s="2117"/>
      <c r="D7" s="2117"/>
      <c r="E7" s="2117"/>
      <c r="F7" s="2117"/>
      <c r="G7" s="2117"/>
      <c r="H7" s="2117"/>
      <c r="I7" s="2117"/>
      <c r="J7" s="2117"/>
      <c r="K7" s="2117"/>
      <c r="L7" s="2117"/>
      <c r="M7" s="2117"/>
      <c r="N7" s="2117"/>
      <c r="O7" s="2117"/>
      <c r="P7" s="2117"/>
      <c r="Q7" s="2117"/>
      <c r="R7" s="2117"/>
      <c r="S7" s="2117"/>
      <c r="T7" s="2117"/>
      <c r="U7" s="2117"/>
    </row>
    <row r="8" spans="1:126" ht="17.100000000000001" customHeight="1" x14ac:dyDescent="0.25">
      <c r="A8" s="1063" t="s">
        <v>619</v>
      </c>
      <c r="B8" s="1064"/>
      <c r="C8" s="1064"/>
      <c r="D8" s="1064"/>
      <c r="E8" s="1064"/>
      <c r="F8" s="1064"/>
      <c r="G8" s="106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7" t="s">
        <v>620</v>
      </c>
      <c r="B9" s="1987"/>
      <c r="C9" s="1987"/>
      <c r="D9" s="1987"/>
      <c r="E9" s="1987"/>
      <c r="F9" s="1987"/>
      <c r="G9" s="1987"/>
      <c r="H9" s="2118"/>
      <c r="I9" s="2118"/>
      <c r="J9" s="2118"/>
      <c r="K9" s="2118"/>
      <c r="L9" s="2118"/>
      <c r="M9" s="2118"/>
      <c r="N9" s="2118"/>
      <c r="O9" s="2118"/>
      <c r="P9" s="1701"/>
      <c r="Q9" s="1701"/>
      <c r="R9" s="1701"/>
      <c r="S9" s="1701"/>
      <c r="T9" s="1701"/>
      <c r="U9" s="1701"/>
      <c r="V9" s="1701"/>
      <c r="W9" s="1701"/>
      <c r="X9" s="1701"/>
      <c r="Y9" s="1701"/>
      <c r="Z9" s="1701"/>
      <c r="AA9" s="1701"/>
      <c r="AB9" s="1701"/>
      <c r="AC9" s="1701"/>
      <c r="AD9" s="1701"/>
      <c r="AE9" s="1701"/>
      <c r="AF9" s="1701"/>
      <c r="AG9" s="1701"/>
      <c r="AH9" s="1701"/>
      <c r="AI9" s="1701"/>
      <c r="AJ9" s="1701"/>
      <c r="AK9" s="1701"/>
      <c r="AL9" s="1701"/>
      <c r="AM9" s="1701"/>
    </row>
    <row r="10" spans="1:126" ht="15" customHeight="1" x14ac:dyDescent="0.25">
      <c r="A10" s="1925" t="s">
        <v>450</v>
      </c>
      <c r="B10" s="1929"/>
      <c r="C10" s="1937" t="s">
        <v>621</v>
      </c>
      <c r="D10" s="1937"/>
      <c r="E10" s="1937"/>
      <c r="F10" s="2123" t="s">
        <v>381</v>
      </c>
      <c r="G10" s="1937"/>
      <c r="H10" s="1937"/>
      <c r="I10" s="1937"/>
      <c r="J10" s="1937"/>
      <c r="K10" s="1937"/>
      <c r="L10" s="1937"/>
      <c r="M10" s="1937"/>
      <c r="N10" s="1937"/>
      <c r="O10" s="1937"/>
      <c r="P10" s="1937"/>
      <c r="Q10" s="1937"/>
      <c r="R10" s="1937"/>
      <c r="S10" s="1937"/>
      <c r="T10" s="1937"/>
      <c r="U10" s="1937"/>
      <c r="V10" s="1937"/>
      <c r="W10" s="1937"/>
      <c r="X10" s="1937"/>
      <c r="Y10" s="1937"/>
      <c r="Z10" s="1937"/>
      <c r="AA10" s="1937"/>
      <c r="AB10" s="1937"/>
      <c r="AC10" s="1937"/>
      <c r="AD10" s="1937"/>
      <c r="AE10" s="1937"/>
      <c r="AF10" s="1937"/>
      <c r="AG10" s="1937"/>
      <c r="AH10" s="1937"/>
      <c r="AI10" s="1937"/>
      <c r="AJ10" s="1937"/>
      <c r="AK10" s="1937"/>
      <c r="AL10" s="1937"/>
      <c r="AM10" s="1873"/>
      <c r="AN10" s="2127" t="s">
        <v>622</v>
      </c>
      <c r="AO10" s="2133" t="s">
        <v>623</v>
      </c>
      <c r="AP10" s="1700" t="s">
        <v>56</v>
      </c>
      <c r="AQ10" s="1653"/>
      <c r="AR10" s="1700" t="s">
        <v>57</v>
      </c>
      <c r="AS10" s="1653"/>
      <c r="AT10" s="2133" t="s">
        <v>624</v>
      </c>
      <c r="AU10" s="2133" t="s">
        <v>383</v>
      </c>
      <c r="AV10" s="2128" t="s">
        <v>625</v>
      </c>
      <c r="AW10" s="2131" t="s">
        <v>626</v>
      </c>
      <c r="AX10" s="2128"/>
      <c r="DM10" s="107"/>
      <c r="DP10" s="604"/>
      <c r="DQ10" s="604"/>
    </row>
    <row r="11" spans="1:126" s="35" customFormat="1" ht="15" customHeight="1" x14ac:dyDescent="0.25">
      <c r="A11" s="2119"/>
      <c r="B11" s="2120"/>
      <c r="C11" s="1937"/>
      <c r="D11" s="1937"/>
      <c r="E11" s="1937"/>
      <c r="F11" s="1874" t="s">
        <v>409</v>
      </c>
      <c r="G11" s="1873"/>
      <c r="H11" s="1937" t="s">
        <v>410</v>
      </c>
      <c r="I11" s="1873"/>
      <c r="J11" s="1648" t="s">
        <v>321</v>
      </c>
      <c r="K11" s="1650"/>
      <c r="L11" s="1648" t="s">
        <v>62</v>
      </c>
      <c r="M11" s="1650"/>
      <c r="N11" s="1648" t="s">
        <v>63</v>
      </c>
      <c r="O11" s="1650"/>
      <c r="P11" s="1648" t="s">
        <v>64</v>
      </c>
      <c r="Q11" s="1650"/>
      <c r="R11" s="1648" t="s">
        <v>65</v>
      </c>
      <c r="S11" s="1650"/>
      <c r="T11" s="1648" t="s">
        <v>66</v>
      </c>
      <c r="U11" s="1650"/>
      <c r="V11" s="1648" t="s">
        <v>67</v>
      </c>
      <c r="W11" s="1650"/>
      <c r="X11" s="1648" t="s">
        <v>68</v>
      </c>
      <c r="Y11" s="1650"/>
      <c r="Z11" s="1648" t="s">
        <v>69</v>
      </c>
      <c r="AA11" s="1650"/>
      <c r="AB11" s="1648" t="s">
        <v>70</v>
      </c>
      <c r="AC11" s="1650"/>
      <c r="AD11" s="1648" t="s">
        <v>71</v>
      </c>
      <c r="AE11" s="1650"/>
      <c r="AF11" s="1876" t="s">
        <v>72</v>
      </c>
      <c r="AG11" s="1877"/>
      <c r="AH11" s="1876" t="s">
        <v>411</v>
      </c>
      <c r="AI11" s="1877"/>
      <c r="AJ11" s="1876" t="s">
        <v>412</v>
      </c>
      <c r="AK11" s="1877"/>
      <c r="AL11" s="2124" t="s">
        <v>413</v>
      </c>
      <c r="AM11" s="2125"/>
      <c r="AN11" s="2136"/>
      <c r="AO11" s="2134"/>
      <c r="AP11" s="1701"/>
      <c r="AQ11" s="1654"/>
      <c r="AR11" s="1701"/>
      <c r="AS11" s="1654"/>
      <c r="AT11" s="2134"/>
      <c r="AU11" s="2134"/>
      <c r="AV11" s="2137"/>
      <c r="AW11" s="2132"/>
      <c r="AX11" s="2130"/>
      <c r="AY11" s="107"/>
      <c r="AZ11" s="107"/>
      <c r="BA11" s="107"/>
      <c r="BB11" s="107"/>
      <c r="CA11" s="1655" t="s">
        <v>622</v>
      </c>
      <c r="CB11" s="1655" t="s">
        <v>627</v>
      </c>
      <c r="CC11" s="1648" t="s">
        <v>628</v>
      </c>
      <c r="CD11" s="1650"/>
      <c r="CE11" s="1648" t="s">
        <v>629</v>
      </c>
      <c r="CF11" s="1650"/>
      <c r="CG11" s="1655" t="s">
        <v>630</v>
      </c>
      <c r="CH11" s="1655" t="s">
        <v>631</v>
      </c>
      <c r="CI11" s="1942" t="s">
        <v>625</v>
      </c>
      <c r="CJ11" s="1648" t="s">
        <v>632</v>
      </c>
      <c r="CK11" s="1650"/>
      <c r="CL11" s="107"/>
      <c r="CM11" s="184"/>
      <c r="CN11" s="1655" t="s">
        <v>622</v>
      </c>
      <c r="CO11" s="1655" t="s">
        <v>627</v>
      </c>
      <c r="CP11" s="1648" t="s">
        <v>628</v>
      </c>
      <c r="CQ11" s="1650"/>
      <c r="CR11" s="1648" t="s">
        <v>629</v>
      </c>
      <c r="CS11" s="1650"/>
      <c r="CT11" s="1655" t="s">
        <v>630</v>
      </c>
      <c r="CU11" s="1655" t="s">
        <v>631</v>
      </c>
      <c r="CV11" s="1655" t="s">
        <v>625</v>
      </c>
      <c r="CW11" s="1648" t="s">
        <v>633</v>
      </c>
      <c r="CX11" s="1650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92"/>
      <c r="DV11" s="604"/>
    </row>
    <row r="12" spans="1:126" s="35" customFormat="1" ht="25.5" customHeight="1" x14ac:dyDescent="0.25">
      <c r="A12" s="2121"/>
      <c r="B12" s="2122"/>
      <c r="C12" s="1498" t="s">
        <v>230</v>
      </c>
      <c r="D12" s="1380" t="s">
        <v>91</v>
      </c>
      <c r="E12" s="984" t="s">
        <v>231</v>
      </c>
      <c r="F12" s="1212" t="s">
        <v>91</v>
      </c>
      <c r="G12" s="984" t="s">
        <v>231</v>
      </c>
      <c r="H12" s="1212" t="s">
        <v>91</v>
      </c>
      <c r="I12" s="984" t="s">
        <v>231</v>
      </c>
      <c r="J12" s="1212" t="s">
        <v>91</v>
      </c>
      <c r="K12" s="984" t="s">
        <v>231</v>
      </c>
      <c r="L12" s="1212" t="s">
        <v>91</v>
      </c>
      <c r="M12" s="984" t="s">
        <v>231</v>
      </c>
      <c r="N12" s="1212" t="s">
        <v>91</v>
      </c>
      <c r="O12" s="984" t="s">
        <v>231</v>
      </c>
      <c r="P12" s="1212" t="s">
        <v>91</v>
      </c>
      <c r="Q12" s="984" t="s">
        <v>231</v>
      </c>
      <c r="R12" s="1212" t="s">
        <v>91</v>
      </c>
      <c r="S12" s="984" t="s">
        <v>231</v>
      </c>
      <c r="T12" s="1212" t="s">
        <v>91</v>
      </c>
      <c r="U12" s="984" t="s">
        <v>231</v>
      </c>
      <c r="V12" s="1212" t="s">
        <v>91</v>
      </c>
      <c r="W12" s="984" t="s">
        <v>231</v>
      </c>
      <c r="X12" s="1212" t="s">
        <v>91</v>
      </c>
      <c r="Y12" s="984" t="s">
        <v>231</v>
      </c>
      <c r="Z12" s="1212" t="s">
        <v>91</v>
      </c>
      <c r="AA12" s="984" t="s">
        <v>231</v>
      </c>
      <c r="AB12" s="1212" t="s">
        <v>91</v>
      </c>
      <c r="AC12" s="984" t="s">
        <v>231</v>
      </c>
      <c r="AD12" s="1212" t="s">
        <v>91</v>
      </c>
      <c r="AE12" s="984" t="s">
        <v>231</v>
      </c>
      <c r="AF12" s="1213" t="s">
        <v>415</v>
      </c>
      <c r="AG12" s="871" t="s">
        <v>231</v>
      </c>
      <c r="AH12" s="1213" t="s">
        <v>415</v>
      </c>
      <c r="AI12" s="871" t="s">
        <v>231</v>
      </c>
      <c r="AJ12" s="1213" t="s">
        <v>415</v>
      </c>
      <c r="AK12" s="871" t="s">
        <v>231</v>
      </c>
      <c r="AL12" s="1220" t="s">
        <v>91</v>
      </c>
      <c r="AM12" s="108" t="s">
        <v>231</v>
      </c>
      <c r="AN12" s="2129"/>
      <c r="AO12" s="2135"/>
      <c r="AP12" s="1380" t="s">
        <v>91</v>
      </c>
      <c r="AQ12" s="1400" t="s">
        <v>231</v>
      </c>
      <c r="AR12" s="1380" t="s">
        <v>91</v>
      </c>
      <c r="AS12" s="1400" t="s">
        <v>231</v>
      </c>
      <c r="AT12" s="2135"/>
      <c r="AU12" s="2135"/>
      <c r="AV12" s="2130"/>
      <c r="AW12" s="765" t="s">
        <v>634</v>
      </c>
      <c r="AX12" s="765" t="s">
        <v>635</v>
      </c>
      <c r="AY12" s="107"/>
      <c r="AZ12" s="107"/>
      <c r="BA12" s="107"/>
      <c r="BB12" s="107"/>
      <c r="CA12" s="1656"/>
      <c r="CB12" s="1656"/>
      <c r="CC12" s="1482" t="s">
        <v>91</v>
      </c>
      <c r="CD12" s="1482" t="s">
        <v>231</v>
      </c>
      <c r="CE12" s="1482" t="s">
        <v>91</v>
      </c>
      <c r="CF12" s="1482" t="s">
        <v>231</v>
      </c>
      <c r="CG12" s="1656"/>
      <c r="CH12" s="1656"/>
      <c r="CI12" s="1944"/>
      <c r="CJ12" s="1482" t="s">
        <v>634</v>
      </c>
      <c r="CK12" s="1482" t="s">
        <v>636</v>
      </c>
      <c r="CL12" s="107"/>
      <c r="CM12" s="37"/>
      <c r="CN12" s="1656"/>
      <c r="CO12" s="1656"/>
      <c r="CP12" s="1482" t="s">
        <v>91</v>
      </c>
      <c r="CQ12" s="1482" t="s">
        <v>231</v>
      </c>
      <c r="CR12" s="1482" t="s">
        <v>91</v>
      </c>
      <c r="CS12" s="1482" t="s">
        <v>231</v>
      </c>
      <c r="CT12" s="1656"/>
      <c r="CU12" s="1656"/>
      <c r="CV12" s="1656"/>
      <c r="CW12" s="1482" t="s">
        <v>634</v>
      </c>
      <c r="CX12" s="1482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92"/>
      <c r="DV12" s="604"/>
    </row>
    <row r="13" spans="1:126" s="35" customFormat="1" ht="15" customHeight="1" x14ac:dyDescent="0.25">
      <c r="A13" s="2066" t="s">
        <v>637</v>
      </c>
      <c r="B13" s="2076"/>
      <c r="C13" s="1489">
        <f>SUM(D13:E13)</f>
        <v>920</v>
      </c>
      <c r="D13" s="1490">
        <f>+F13+H13+J13+L13+N13+P13+R13+T13+V13+X13+Z13+AB13+AD13+AF13+AH13+AJ13+AL13</f>
        <v>284</v>
      </c>
      <c r="E13" s="458">
        <f>+G13+I13+K13+M13+O13+Q13+S13+U13+W13+Y13+AA13+AC13+AE13+AG13+AI13+AK13+AM13</f>
        <v>636</v>
      </c>
      <c r="F13" s="1222">
        <v>6</v>
      </c>
      <c r="G13" s="527">
        <v>3</v>
      </c>
      <c r="H13" s="1222">
        <v>35</v>
      </c>
      <c r="I13" s="1029">
        <v>12</v>
      </c>
      <c r="J13" s="1516">
        <v>40</v>
      </c>
      <c r="K13" s="527">
        <v>43</v>
      </c>
      <c r="L13" s="1222">
        <v>35</v>
      </c>
      <c r="M13" s="1029">
        <v>72</v>
      </c>
      <c r="N13" s="1222">
        <v>19</v>
      </c>
      <c r="O13" s="1029">
        <v>46</v>
      </c>
      <c r="P13" s="1222">
        <v>17</v>
      </c>
      <c r="Q13" s="1029">
        <v>64</v>
      </c>
      <c r="R13" s="1222">
        <v>20</v>
      </c>
      <c r="S13" s="1029">
        <v>59</v>
      </c>
      <c r="T13" s="1222">
        <v>16</v>
      </c>
      <c r="U13" s="1029">
        <v>54</v>
      </c>
      <c r="V13" s="1222">
        <v>17</v>
      </c>
      <c r="W13" s="1029">
        <v>36</v>
      </c>
      <c r="X13" s="1516">
        <v>14</v>
      </c>
      <c r="Y13" s="527">
        <v>37</v>
      </c>
      <c r="Z13" s="1222">
        <v>17</v>
      </c>
      <c r="AA13" s="1029">
        <v>47</v>
      </c>
      <c r="AB13" s="1222">
        <v>15</v>
      </c>
      <c r="AC13" s="1029">
        <v>47</v>
      </c>
      <c r="AD13" s="1222">
        <v>6</v>
      </c>
      <c r="AE13" s="1029">
        <v>37</v>
      </c>
      <c r="AF13" s="1222">
        <v>9</v>
      </c>
      <c r="AG13" s="1029">
        <v>38</v>
      </c>
      <c r="AH13" s="1222">
        <v>7</v>
      </c>
      <c r="AI13" s="1029">
        <v>17</v>
      </c>
      <c r="AJ13" s="1222">
        <v>6</v>
      </c>
      <c r="AK13" s="1029">
        <v>9</v>
      </c>
      <c r="AL13" s="1516">
        <v>5</v>
      </c>
      <c r="AM13" s="527">
        <v>15</v>
      </c>
      <c r="AN13" s="657">
        <v>1</v>
      </c>
      <c r="AO13" s="1517">
        <v>40</v>
      </c>
      <c r="AP13" s="1516">
        <v>38</v>
      </c>
      <c r="AQ13" s="1029">
        <v>108</v>
      </c>
      <c r="AR13" s="1516">
        <v>9</v>
      </c>
      <c r="AS13" s="1029">
        <v>10</v>
      </c>
      <c r="AT13" s="1518">
        <v>5</v>
      </c>
      <c r="AU13" s="1518">
        <v>36</v>
      </c>
      <c r="AV13" s="1518">
        <v>0</v>
      </c>
      <c r="AW13" s="1518">
        <v>3</v>
      </c>
      <c r="AX13" s="1518">
        <v>0</v>
      </c>
      <c r="AY13" s="104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8">
        <f>IF(AND($E13&gt;0,OR(AN13="")),1,IF(AN13&gt;$E13,1,0))</f>
        <v>0</v>
      </c>
      <c r="CO13" s="1038">
        <f>IF(AND($E13&gt;0,OR(AO13="")),1,IF(AO13&gt;$E13,1,0))</f>
        <v>0</v>
      </c>
      <c r="CP13" s="1038">
        <f>IF(AND($D13&gt;0,OR(AP13="")),1,IF(AP13&gt;$D13,1,0))</f>
        <v>0</v>
      </c>
      <c r="CQ13" s="1038">
        <f>IF(AND($E13&gt;0,OR(AQ13="")),1,IF(AQ13&gt;$E13,1,0))</f>
        <v>0</v>
      </c>
      <c r="CR13" s="1038">
        <f>IF(AND($D13&gt;0,OR(AR13="")),1,IF(AR13&gt;$D13,1,0))</f>
        <v>0</v>
      </c>
      <c r="CS13" s="1038">
        <f>IF(AND($E13&gt;0,OR(AS13="")),1,IF(AS13&gt;$E13,1,0))</f>
        <v>0</v>
      </c>
      <c r="CT13" s="1038">
        <f>IF(AND($C13&gt;0,OR(AT13="")),1,IF(AT13&gt;$C13,1,0))</f>
        <v>0</v>
      </c>
      <c r="CU13" s="1038">
        <f>IF(AND($C13&gt;0,OR(AU13="")),1,IF(AU13&gt;$C13,1,0))</f>
        <v>0</v>
      </c>
      <c r="CV13" s="1038">
        <f>IF(AND($C13&gt;0,OR(AV13="")),1,IF(AV13&gt;$C13,1,0))</f>
        <v>0</v>
      </c>
      <c r="CW13" s="1038">
        <f>IF(AND(E13&gt;0,OR(AW13="")),1,IF(AW13&gt;$E13,1,0))</f>
        <v>0</v>
      </c>
      <c r="CX13" s="103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077" t="s">
        <v>638</v>
      </c>
      <c r="B14" s="2078"/>
      <c r="C14" s="1519"/>
      <c r="D14" s="1520"/>
      <c r="E14" s="1520"/>
      <c r="F14" s="1520"/>
      <c r="G14" s="1520"/>
      <c r="H14" s="1520"/>
      <c r="I14" s="1520"/>
      <c r="J14" s="1520"/>
      <c r="K14" s="1520"/>
      <c r="L14" s="1520"/>
      <c r="M14" s="1520"/>
      <c r="N14" s="1520"/>
      <c r="O14" s="1520"/>
      <c r="P14" s="1520"/>
      <c r="Q14" s="1520"/>
      <c r="R14" s="1520"/>
      <c r="S14" s="1520"/>
      <c r="T14" s="1520"/>
      <c r="U14" s="1520"/>
      <c r="V14" s="1520"/>
      <c r="W14" s="1520"/>
      <c r="X14" s="1520"/>
      <c r="Y14" s="1520"/>
      <c r="Z14" s="1520"/>
      <c r="AA14" s="1520"/>
      <c r="AB14" s="1520"/>
      <c r="AC14" s="1520"/>
      <c r="AD14" s="1520"/>
      <c r="AE14" s="1520"/>
      <c r="AF14" s="1520"/>
      <c r="AG14" s="1520"/>
      <c r="AH14" s="1520"/>
      <c r="AI14" s="1520"/>
      <c r="AJ14" s="1520"/>
      <c r="AK14" s="1520"/>
      <c r="AL14" s="1520"/>
      <c r="AM14" s="1520"/>
      <c r="AN14" s="1520"/>
      <c r="AO14" s="1520"/>
      <c r="AP14" s="1520"/>
      <c r="AQ14" s="1520"/>
      <c r="AR14" s="1520"/>
      <c r="AS14" s="1520"/>
      <c r="AT14" s="1520"/>
      <c r="AU14" s="1520"/>
      <c r="AV14" s="1520"/>
      <c r="AW14" s="1520"/>
      <c r="AX14" s="1521"/>
      <c r="AY14" s="1047"/>
      <c r="AZ14" s="109"/>
      <c r="BA14" s="109"/>
      <c r="BB14" s="107"/>
      <c r="CA14" s="1077"/>
      <c r="CB14" s="1077"/>
      <c r="CC14" s="1077"/>
      <c r="CD14" s="1077"/>
      <c r="CE14" s="1077"/>
      <c r="CF14" s="1077"/>
      <c r="CG14" s="1077"/>
      <c r="CH14" s="1077"/>
      <c r="CI14" s="1078"/>
      <c r="CJ14" s="1077"/>
      <c r="CK14" s="1077"/>
      <c r="CL14" s="107"/>
      <c r="CM14" s="107"/>
      <c r="CN14" s="1077"/>
      <c r="CO14" s="1077"/>
      <c r="CP14" s="1077"/>
      <c r="CQ14" s="1077"/>
      <c r="CR14" s="1077"/>
      <c r="CS14" s="1077"/>
      <c r="CT14" s="1077"/>
      <c r="CU14" s="1077"/>
      <c r="CV14" s="1077"/>
      <c r="CW14" s="1077"/>
      <c r="CX14" s="1077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59" t="s">
        <v>639</v>
      </c>
      <c r="B15" s="1270" t="s">
        <v>640</v>
      </c>
      <c r="C15" s="1133">
        <f t="shared" ref="C15:C18" si="0">SUM(D15:E15)</f>
        <v>8</v>
      </c>
      <c r="D15" s="386">
        <f t="shared" ref="D15:D18" si="1">+F15+H15+J15+L15+N15+P15+R15+T15+V15+X15+Z15+AB15+AD15+AF15+AH15+AJ15+AL15</f>
        <v>1</v>
      </c>
      <c r="E15" s="529">
        <f t="shared" ref="E15:E18" si="2">+G15+I15+K15+M15+O15+Q15+S15+U15+W15+Y15+AA15+AC15+AE15+AG15+AI15+AK15+AM15</f>
        <v>7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1</v>
      </c>
      <c r="L15" s="393">
        <v>1</v>
      </c>
      <c r="M15" s="394">
        <v>1</v>
      </c>
      <c r="N15" s="393">
        <v>0</v>
      </c>
      <c r="O15" s="394">
        <v>0</v>
      </c>
      <c r="P15" s="393">
        <v>0</v>
      </c>
      <c r="Q15" s="394">
        <v>2</v>
      </c>
      <c r="R15" s="393">
        <v>0</v>
      </c>
      <c r="S15" s="394">
        <v>2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1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8">
        <v>0</v>
      </c>
      <c r="AO15" s="647">
        <v>1</v>
      </c>
      <c r="AP15" s="460">
        <v>0</v>
      </c>
      <c r="AQ15" s="394">
        <v>1</v>
      </c>
      <c r="AR15" s="460">
        <v>0</v>
      </c>
      <c r="AS15" s="394">
        <v>0</v>
      </c>
      <c r="AT15" s="459">
        <v>0</v>
      </c>
      <c r="AU15" s="459">
        <v>1</v>
      </c>
      <c r="AV15" s="459">
        <v>0</v>
      </c>
      <c r="AW15" s="459">
        <v>0</v>
      </c>
      <c r="AX15" s="459">
        <v>0</v>
      </c>
      <c r="AY15" s="104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8">
        <f t="shared" ref="CN15:CN27" si="13">IF(AND($E15&gt;0,OR(AN15="")),1,IF(AN15&gt;$E15,1,0))</f>
        <v>0</v>
      </c>
      <c r="CO15" s="1038">
        <f t="shared" ref="CO15:CO34" si="14">IF(AND($E15&gt;0,OR(AO15="")),1,IF(AO15&gt;$E15,1,0))</f>
        <v>0</v>
      </c>
      <c r="CP15" s="1038">
        <f t="shared" ref="CP15:CP27" si="15">IF(AND($D15&gt;0,OR(AP15="")),1,IF(AP15&gt;$D15,1,0))</f>
        <v>0</v>
      </c>
      <c r="CQ15" s="1038">
        <f t="shared" ref="CQ15:CQ34" si="16">IF(AND($E15&gt;0,OR(AQ15="")),1,IF(AQ15&gt;$E15,1,0))</f>
        <v>0</v>
      </c>
      <c r="CR15" s="1038">
        <f t="shared" ref="CR15:CR27" si="17">IF(AND($D15&gt;0,OR(AR15="")),1,IF(AR15&gt;$D15,1,0))</f>
        <v>0</v>
      </c>
      <c r="CS15" s="1038">
        <f t="shared" ref="CS15:CS34" si="18">IF(AND($E15&gt;0,OR(AS15="")),1,IF(AS15&gt;$E15,1,0))</f>
        <v>0</v>
      </c>
      <c r="CT15" s="1038">
        <f t="shared" ref="CT15:CT34" si="19">IF(AND($C15&gt;0,OR(AT15="")),1,IF(AT15&gt;$C15,1,0))</f>
        <v>0</v>
      </c>
      <c r="CU15" s="1038">
        <f t="shared" ref="CU15:CU34" si="20">IF(AND($C15&gt;0,OR(AU15="")),1,IF(AU15&gt;$C15,1,0))</f>
        <v>0</v>
      </c>
      <c r="CV15" s="1038">
        <f t="shared" ref="CV15:CV34" si="21">IF(AND($C15&gt;0,OR(AV15="")),1,IF(AV15&gt;$C15,1,0))</f>
        <v>0</v>
      </c>
      <c r="CW15" s="1038">
        <f t="shared" ref="CW15:CW27" si="22">IF(AND(E15&gt;0,OR(AW15="")),1,IF(AW15&gt;$E15,1,0))</f>
        <v>0</v>
      </c>
      <c r="CX15" s="103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060"/>
      <c r="B16" s="1271" t="s">
        <v>641</v>
      </c>
      <c r="C16" s="1134">
        <f t="shared" si="0"/>
        <v>6</v>
      </c>
      <c r="D16" s="390">
        <f t="shared" si="1"/>
        <v>4</v>
      </c>
      <c r="E16" s="385">
        <f t="shared" si="2"/>
        <v>2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1</v>
      </c>
      <c r="M16" s="416">
        <v>0</v>
      </c>
      <c r="N16" s="415">
        <v>0</v>
      </c>
      <c r="O16" s="416">
        <v>0</v>
      </c>
      <c r="P16" s="415">
        <v>1</v>
      </c>
      <c r="Q16" s="416">
        <v>1</v>
      </c>
      <c r="R16" s="415">
        <v>1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1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1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1</v>
      </c>
      <c r="AP16" s="466">
        <v>1</v>
      </c>
      <c r="AQ16" s="416">
        <v>0</v>
      </c>
      <c r="AR16" s="466">
        <v>0</v>
      </c>
      <c r="AS16" s="416">
        <v>0</v>
      </c>
      <c r="AT16" s="430">
        <v>0</v>
      </c>
      <c r="AU16" s="430">
        <v>1</v>
      </c>
      <c r="AV16" s="430">
        <v>0</v>
      </c>
      <c r="AW16" s="430">
        <v>0</v>
      </c>
      <c r="AX16" s="430">
        <v>0</v>
      </c>
      <c r="AY16" s="104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8">
        <f t="shared" si="13"/>
        <v>0</v>
      </c>
      <c r="CO16" s="1038">
        <f t="shared" si="14"/>
        <v>0</v>
      </c>
      <c r="CP16" s="1038">
        <f t="shared" si="15"/>
        <v>0</v>
      </c>
      <c r="CQ16" s="1038">
        <f t="shared" si="16"/>
        <v>0</v>
      </c>
      <c r="CR16" s="1038">
        <f t="shared" si="17"/>
        <v>0</v>
      </c>
      <c r="CS16" s="1038">
        <f t="shared" si="18"/>
        <v>0</v>
      </c>
      <c r="CT16" s="1038">
        <f t="shared" si="19"/>
        <v>0</v>
      </c>
      <c r="CU16" s="1038">
        <f t="shared" si="20"/>
        <v>0</v>
      </c>
      <c r="CV16" s="1038">
        <f t="shared" si="21"/>
        <v>0</v>
      </c>
      <c r="CW16" s="1038">
        <f t="shared" si="22"/>
        <v>0</v>
      </c>
      <c r="CX16" s="103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59" t="s">
        <v>642</v>
      </c>
      <c r="B17" s="1270" t="s">
        <v>643</v>
      </c>
      <c r="C17" s="1133">
        <f t="shared" si="0"/>
        <v>2</v>
      </c>
      <c r="D17" s="386">
        <f t="shared" si="1"/>
        <v>0</v>
      </c>
      <c r="E17" s="529">
        <f t="shared" si="2"/>
        <v>2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1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1</v>
      </c>
      <c r="T17" s="393">
        <v>0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8">
        <v>0</v>
      </c>
      <c r="AO17" s="647">
        <v>0</v>
      </c>
      <c r="AP17" s="460">
        <v>0</v>
      </c>
      <c r="AQ17" s="394">
        <v>1</v>
      </c>
      <c r="AR17" s="460">
        <v>0</v>
      </c>
      <c r="AS17" s="394">
        <v>0</v>
      </c>
      <c r="AT17" s="459">
        <v>0</v>
      </c>
      <c r="AU17" s="459">
        <v>1</v>
      </c>
      <c r="AV17" s="459">
        <v>0</v>
      </c>
      <c r="AW17" s="459">
        <v>0</v>
      </c>
      <c r="AX17" s="459">
        <v>0</v>
      </c>
      <c r="AY17" s="104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8">
        <f t="shared" si="13"/>
        <v>0</v>
      </c>
      <c r="CO17" s="1038">
        <f t="shared" si="14"/>
        <v>0</v>
      </c>
      <c r="CP17" s="1038">
        <f t="shared" si="15"/>
        <v>0</v>
      </c>
      <c r="CQ17" s="1038">
        <f t="shared" si="16"/>
        <v>0</v>
      </c>
      <c r="CR17" s="1038">
        <f t="shared" si="17"/>
        <v>0</v>
      </c>
      <c r="CS17" s="1038">
        <f t="shared" si="18"/>
        <v>0</v>
      </c>
      <c r="CT17" s="1038">
        <f t="shared" si="19"/>
        <v>0</v>
      </c>
      <c r="CU17" s="1038">
        <f t="shared" si="20"/>
        <v>0</v>
      </c>
      <c r="CV17" s="1038">
        <f t="shared" si="21"/>
        <v>0</v>
      </c>
      <c r="CW17" s="1038">
        <f t="shared" si="22"/>
        <v>0</v>
      </c>
      <c r="CX17" s="103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79"/>
      <c r="B18" s="1272" t="s">
        <v>641</v>
      </c>
      <c r="C18" s="1134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8">
        <f t="shared" si="13"/>
        <v>0</v>
      </c>
      <c r="CO18" s="1038">
        <f t="shared" si="14"/>
        <v>0</v>
      </c>
      <c r="CP18" s="1038">
        <f t="shared" si="15"/>
        <v>0</v>
      </c>
      <c r="CQ18" s="1038">
        <f t="shared" si="16"/>
        <v>0</v>
      </c>
      <c r="CR18" s="1038">
        <f t="shared" si="17"/>
        <v>0</v>
      </c>
      <c r="CS18" s="1038">
        <f t="shared" si="18"/>
        <v>0</v>
      </c>
      <c r="CT18" s="1038">
        <f t="shared" si="19"/>
        <v>0</v>
      </c>
      <c r="CU18" s="1038">
        <f t="shared" si="20"/>
        <v>0</v>
      </c>
      <c r="CV18" s="1038">
        <f t="shared" si="21"/>
        <v>0</v>
      </c>
      <c r="CW18" s="1038">
        <f t="shared" si="22"/>
        <v>0</v>
      </c>
      <c r="CX18" s="103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59" t="s">
        <v>644</v>
      </c>
      <c r="B19" s="1270" t="s">
        <v>640</v>
      </c>
      <c r="C19" s="1133">
        <f t="shared" ref="C19:C24" si="26">SUM(D19:E19)</f>
        <v>8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8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0</v>
      </c>
      <c r="L19" s="393">
        <v>0</v>
      </c>
      <c r="M19" s="394">
        <v>0</v>
      </c>
      <c r="N19" s="393">
        <v>0</v>
      </c>
      <c r="O19" s="394">
        <v>0</v>
      </c>
      <c r="P19" s="393">
        <v>0</v>
      </c>
      <c r="Q19" s="394">
        <v>3</v>
      </c>
      <c r="R19" s="393">
        <v>0</v>
      </c>
      <c r="S19" s="394">
        <v>1</v>
      </c>
      <c r="T19" s="393">
        <v>0</v>
      </c>
      <c r="U19" s="394">
        <v>1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2</v>
      </c>
      <c r="AF19" s="393">
        <v>0</v>
      </c>
      <c r="AG19" s="394">
        <v>0</v>
      </c>
      <c r="AH19" s="393">
        <v>0</v>
      </c>
      <c r="AI19" s="394">
        <v>1</v>
      </c>
      <c r="AJ19" s="393">
        <v>0</v>
      </c>
      <c r="AK19" s="394">
        <v>0</v>
      </c>
      <c r="AL19" s="393">
        <v>0</v>
      </c>
      <c r="AM19" s="404">
        <v>0</v>
      </c>
      <c r="AN19" s="658">
        <v>0</v>
      </c>
      <c r="AO19" s="647">
        <v>2</v>
      </c>
      <c r="AP19" s="460">
        <v>0</v>
      </c>
      <c r="AQ19" s="394">
        <v>2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8">
        <f t="shared" si="13"/>
        <v>0</v>
      </c>
      <c r="CO19" s="1038">
        <f t="shared" si="14"/>
        <v>0</v>
      </c>
      <c r="CP19" s="1038">
        <f t="shared" si="15"/>
        <v>0</v>
      </c>
      <c r="CQ19" s="1038">
        <f t="shared" si="16"/>
        <v>0</v>
      </c>
      <c r="CR19" s="1038">
        <f t="shared" si="17"/>
        <v>0</v>
      </c>
      <c r="CS19" s="1038">
        <f t="shared" si="18"/>
        <v>0</v>
      </c>
      <c r="CT19" s="1038">
        <f t="shared" si="19"/>
        <v>0</v>
      </c>
      <c r="CU19" s="1038">
        <f t="shared" si="20"/>
        <v>0</v>
      </c>
      <c r="CV19" s="1038">
        <f t="shared" si="21"/>
        <v>0</v>
      </c>
      <c r="CW19" s="1038">
        <f t="shared" si="22"/>
        <v>0</v>
      </c>
      <c r="CX19" s="103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79"/>
      <c r="B20" s="1272" t="s">
        <v>641</v>
      </c>
      <c r="C20" s="1134">
        <f t="shared" si="26"/>
        <v>4</v>
      </c>
      <c r="D20" s="390">
        <f t="shared" ref="D20:D27" si="28">+F20+H20+J20+L20+N20+P20+R20+T20+V20+X20+Z20+AB20+AD20+AF20+AH20+AJ20+AL20</f>
        <v>3</v>
      </c>
      <c r="E20" s="530">
        <f t="shared" si="27"/>
        <v>1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1</v>
      </c>
      <c r="P20" s="402">
        <v>0</v>
      </c>
      <c r="Q20" s="403">
        <v>0</v>
      </c>
      <c r="R20" s="402">
        <v>0</v>
      </c>
      <c r="S20" s="403">
        <v>0</v>
      </c>
      <c r="T20" s="402">
        <v>1</v>
      </c>
      <c r="U20" s="403">
        <v>0</v>
      </c>
      <c r="V20" s="402">
        <v>2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59">
        <v>0</v>
      </c>
      <c r="AO20" s="650">
        <v>1</v>
      </c>
      <c r="AP20" s="462">
        <v>0</v>
      </c>
      <c r="AQ20" s="403">
        <v>0</v>
      </c>
      <c r="AR20" s="462">
        <v>0</v>
      </c>
      <c r="AS20" s="403">
        <v>0</v>
      </c>
      <c r="AT20" s="440">
        <v>1</v>
      </c>
      <c r="AU20" s="440">
        <v>0</v>
      </c>
      <c r="AV20" s="440">
        <v>0</v>
      </c>
      <c r="AW20" s="440">
        <v>0</v>
      </c>
      <c r="AX20" s="440">
        <v>0</v>
      </c>
      <c r="AY20" s="104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8">
        <f t="shared" si="13"/>
        <v>0</v>
      </c>
      <c r="CO20" s="1038">
        <f t="shared" si="14"/>
        <v>0</v>
      </c>
      <c r="CP20" s="1038">
        <f t="shared" si="15"/>
        <v>0</v>
      </c>
      <c r="CQ20" s="1038">
        <f t="shared" si="16"/>
        <v>0</v>
      </c>
      <c r="CR20" s="1038">
        <f t="shared" si="17"/>
        <v>0</v>
      </c>
      <c r="CS20" s="1038">
        <f t="shared" si="18"/>
        <v>0</v>
      </c>
      <c r="CT20" s="1038">
        <f t="shared" si="19"/>
        <v>0</v>
      </c>
      <c r="CU20" s="1038">
        <f t="shared" si="20"/>
        <v>0</v>
      </c>
      <c r="CV20" s="1038">
        <f t="shared" si="21"/>
        <v>0</v>
      </c>
      <c r="CW20" s="1038">
        <f t="shared" si="22"/>
        <v>0</v>
      </c>
      <c r="CX20" s="103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063" t="s">
        <v>645</v>
      </c>
      <c r="B21" s="2063"/>
      <c r="C21" s="1135">
        <f t="shared" si="26"/>
        <v>13</v>
      </c>
      <c r="D21" s="538">
        <f t="shared" si="28"/>
        <v>2</v>
      </c>
      <c r="E21" s="539">
        <f t="shared" si="27"/>
        <v>11</v>
      </c>
      <c r="F21" s="411">
        <v>0</v>
      </c>
      <c r="G21" s="412">
        <v>0</v>
      </c>
      <c r="H21" s="411">
        <v>0</v>
      </c>
      <c r="I21" s="412">
        <v>1</v>
      </c>
      <c r="J21" s="411">
        <v>2</v>
      </c>
      <c r="K21" s="412">
        <v>1</v>
      </c>
      <c r="L21" s="411">
        <v>0</v>
      </c>
      <c r="M21" s="412">
        <v>5</v>
      </c>
      <c r="N21" s="411">
        <v>0</v>
      </c>
      <c r="O21" s="412">
        <v>0</v>
      </c>
      <c r="P21" s="411">
        <v>0</v>
      </c>
      <c r="Q21" s="412">
        <v>2</v>
      </c>
      <c r="R21" s="411">
        <v>0</v>
      </c>
      <c r="S21" s="412">
        <v>1</v>
      </c>
      <c r="T21" s="411">
        <v>0</v>
      </c>
      <c r="U21" s="412">
        <v>0</v>
      </c>
      <c r="V21" s="411">
        <v>0</v>
      </c>
      <c r="W21" s="412">
        <v>0</v>
      </c>
      <c r="X21" s="411">
        <v>0</v>
      </c>
      <c r="Y21" s="412">
        <v>1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0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60">
        <v>0</v>
      </c>
      <c r="AO21" s="662">
        <v>1</v>
      </c>
      <c r="AP21" s="461">
        <v>1</v>
      </c>
      <c r="AQ21" s="412">
        <v>3</v>
      </c>
      <c r="AR21" s="461">
        <v>1</v>
      </c>
      <c r="AS21" s="412">
        <v>0</v>
      </c>
      <c r="AT21" s="540">
        <v>0</v>
      </c>
      <c r="AU21" s="540">
        <v>3</v>
      </c>
      <c r="AV21" s="540">
        <v>0</v>
      </c>
      <c r="AW21" s="540">
        <v>0</v>
      </c>
      <c r="AX21" s="540">
        <v>0</v>
      </c>
      <c r="AY21" s="104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8">
        <f t="shared" si="13"/>
        <v>0</v>
      </c>
      <c r="CO21" s="1038">
        <f t="shared" si="14"/>
        <v>0</v>
      </c>
      <c r="CP21" s="1038">
        <f t="shared" si="15"/>
        <v>0</v>
      </c>
      <c r="CQ21" s="1038">
        <f t="shared" si="16"/>
        <v>0</v>
      </c>
      <c r="CR21" s="1038">
        <f t="shared" si="17"/>
        <v>0</v>
      </c>
      <c r="CS21" s="1038">
        <f t="shared" si="18"/>
        <v>0</v>
      </c>
      <c r="CT21" s="1038">
        <f t="shared" si="19"/>
        <v>0</v>
      </c>
      <c r="CU21" s="1038">
        <f t="shared" si="20"/>
        <v>0</v>
      </c>
      <c r="CV21" s="1038">
        <f t="shared" si="21"/>
        <v>0</v>
      </c>
      <c r="CW21" s="1038">
        <f t="shared" si="22"/>
        <v>0</v>
      </c>
      <c r="CX21" s="103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080" t="s">
        <v>646</v>
      </c>
      <c r="B22" s="1270" t="s">
        <v>647</v>
      </c>
      <c r="C22" s="1136">
        <f t="shared" si="26"/>
        <v>9</v>
      </c>
      <c r="D22" s="391">
        <f>+H22+J22+L22+N22+P22+R22+T22+V22+X22+Z22+AB22+AD22+AF22+AH22+AJ22+AL22</f>
        <v>2</v>
      </c>
      <c r="E22" s="537">
        <f>+I22+K22+M22+O22+Q22+S22+U22+W22+Y22+AA22+AC22+AE22+AG22+AI22+AK22+AM22</f>
        <v>7</v>
      </c>
      <c r="F22" s="1057"/>
      <c r="G22" s="432"/>
      <c r="H22" s="393">
        <v>0</v>
      </c>
      <c r="I22" s="394">
        <v>0</v>
      </c>
      <c r="J22" s="393">
        <v>0</v>
      </c>
      <c r="K22" s="394">
        <v>0</v>
      </c>
      <c r="L22" s="393">
        <v>0</v>
      </c>
      <c r="M22" s="394">
        <v>3</v>
      </c>
      <c r="N22" s="393">
        <v>0</v>
      </c>
      <c r="O22" s="394">
        <v>1</v>
      </c>
      <c r="P22" s="393">
        <v>1</v>
      </c>
      <c r="Q22" s="394">
        <v>1</v>
      </c>
      <c r="R22" s="393">
        <v>1</v>
      </c>
      <c r="S22" s="394">
        <v>1</v>
      </c>
      <c r="T22" s="393">
        <v>0</v>
      </c>
      <c r="U22" s="394">
        <v>0</v>
      </c>
      <c r="V22" s="393">
        <v>0</v>
      </c>
      <c r="W22" s="394">
        <v>0</v>
      </c>
      <c r="X22" s="393">
        <v>0</v>
      </c>
      <c r="Y22" s="394">
        <v>0</v>
      </c>
      <c r="Z22" s="393">
        <v>0</v>
      </c>
      <c r="AA22" s="394">
        <v>0</v>
      </c>
      <c r="AB22" s="393">
        <v>0</v>
      </c>
      <c r="AC22" s="394">
        <v>0</v>
      </c>
      <c r="AD22" s="393">
        <v>0</v>
      </c>
      <c r="AE22" s="394">
        <v>1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8">
        <v>0</v>
      </c>
      <c r="AO22" s="647">
        <v>1</v>
      </c>
      <c r="AP22" s="460">
        <v>0</v>
      </c>
      <c r="AQ22" s="394">
        <v>2</v>
      </c>
      <c r="AR22" s="460">
        <v>0</v>
      </c>
      <c r="AS22" s="394">
        <v>0</v>
      </c>
      <c r="AT22" s="459">
        <v>0</v>
      </c>
      <c r="AU22" s="459">
        <v>1</v>
      </c>
      <c r="AV22" s="459">
        <v>0</v>
      </c>
      <c r="AW22" s="459">
        <v>0</v>
      </c>
      <c r="AX22" s="459">
        <v>0</v>
      </c>
      <c r="AY22" s="104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8">
        <f t="shared" si="13"/>
        <v>0</v>
      </c>
      <c r="CO22" s="1038">
        <f t="shared" si="14"/>
        <v>0</v>
      </c>
      <c r="CP22" s="1038">
        <f t="shared" si="15"/>
        <v>0</v>
      </c>
      <c r="CQ22" s="1038">
        <f t="shared" si="16"/>
        <v>0</v>
      </c>
      <c r="CR22" s="1038">
        <f t="shared" si="17"/>
        <v>0</v>
      </c>
      <c r="CS22" s="1038">
        <f t="shared" si="18"/>
        <v>0</v>
      </c>
      <c r="CT22" s="1038">
        <f t="shared" si="19"/>
        <v>0</v>
      </c>
      <c r="CU22" s="1038">
        <f t="shared" si="20"/>
        <v>0</v>
      </c>
      <c r="CV22" s="1038">
        <f t="shared" si="21"/>
        <v>0</v>
      </c>
      <c r="CW22" s="1038">
        <f t="shared" si="22"/>
        <v>0</v>
      </c>
      <c r="CX22" s="103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081"/>
      <c r="B23" s="1272" t="s">
        <v>648</v>
      </c>
      <c r="C23" s="1135">
        <f t="shared" si="26"/>
        <v>13</v>
      </c>
      <c r="D23" s="538">
        <f>+H23+J23+L23+N23+P23+R23+T23+V23+X23+Z23+AB23+AD23+AF23+AH23+AJ23+AL23</f>
        <v>4</v>
      </c>
      <c r="E23" s="539">
        <f>+I23+K23+M23+O23+Q23+S23+U23+W23+Y23+AA23+AC23+AE23+AG23+AI23+AK23+AM23</f>
        <v>9</v>
      </c>
      <c r="F23" s="567"/>
      <c r="G23" s="568"/>
      <c r="H23" s="411">
        <v>0</v>
      </c>
      <c r="I23" s="412">
        <v>0</v>
      </c>
      <c r="J23" s="411">
        <v>1</v>
      </c>
      <c r="K23" s="412">
        <v>0</v>
      </c>
      <c r="L23" s="411">
        <v>1</v>
      </c>
      <c r="M23" s="412">
        <v>3</v>
      </c>
      <c r="N23" s="411">
        <v>0</v>
      </c>
      <c r="O23" s="412">
        <v>0</v>
      </c>
      <c r="P23" s="411">
        <v>1</v>
      </c>
      <c r="Q23" s="412">
        <v>3</v>
      </c>
      <c r="R23" s="411">
        <v>0</v>
      </c>
      <c r="S23" s="412">
        <v>2</v>
      </c>
      <c r="T23" s="411">
        <v>1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1</v>
      </c>
      <c r="AN23" s="660">
        <v>0</v>
      </c>
      <c r="AO23" s="662">
        <v>1</v>
      </c>
      <c r="AP23" s="461">
        <v>0</v>
      </c>
      <c r="AQ23" s="412">
        <v>4</v>
      </c>
      <c r="AR23" s="461">
        <v>0</v>
      </c>
      <c r="AS23" s="412">
        <v>0</v>
      </c>
      <c r="AT23" s="540">
        <v>1</v>
      </c>
      <c r="AU23" s="540">
        <v>2</v>
      </c>
      <c r="AV23" s="540">
        <v>0</v>
      </c>
      <c r="AW23" s="540">
        <v>0</v>
      </c>
      <c r="AX23" s="540">
        <v>0</v>
      </c>
      <c r="AY23" s="104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8">
        <f t="shared" si="13"/>
        <v>0</v>
      </c>
      <c r="CO23" s="1038">
        <f t="shared" si="14"/>
        <v>0</v>
      </c>
      <c r="CP23" s="1038">
        <f t="shared" si="15"/>
        <v>0</v>
      </c>
      <c r="CQ23" s="1038">
        <f t="shared" si="16"/>
        <v>0</v>
      </c>
      <c r="CR23" s="1038">
        <f t="shared" si="17"/>
        <v>0</v>
      </c>
      <c r="CS23" s="1038">
        <f t="shared" si="18"/>
        <v>0</v>
      </c>
      <c r="CT23" s="1038">
        <f t="shared" si="19"/>
        <v>0</v>
      </c>
      <c r="CU23" s="1038">
        <f t="shared" si="20"/>
        <v>0</v>
      </c>
      <c r="CV23" s="1038">
        <f t="shared" si="21"/>
        <v>0</v>
      </c>
      <c r="CW23" s="1038">
        <f t="shared" si="22"/>
        <v>0</v>
      </c>
      <c r="CX23" s="103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077" t="s">
        <v>649</v>
      </c>
      <c r="B24" s="2092"/>
      <c r="C24" s="1489">
        <f t="shared" si="26"/>
        <v>920</v>
      </c>
      <c r="D24" s="1490">
        <f>+F24+H24+J24+L24+N24+P24+R24+T24+V24+X24+Z24+AB24+AD24+AF24+AH24+AJ24+AL24</f>
        <v>284</v>
      </c>
      <c r="E24" s="458">
        <f t="shared" si="27"/>
        <v>636</v>
      </c>
      <c r="F24" s="1222">
        <v>6</v>
      </c>
      <c r="G24" s="1029">
        <v>3</v>
      </c>
      <c r="H24" s="1222">
        <v>35</v>
      </c>
      <c r="I24" s="1029">
        <v>12</v>
      </c>
      <c r="J24" s="1222">
        <v>40</v>
      </c>
      <c r="K24" s="1029">
        <v>43</v>
      </c>
      <c r="L24" s="1222">
        <v>35</v>
      </c>
      <c r="M24" s="1029">
        <v>72</v>
      </c>
      <c r="N24" s="1222">
        <v>19</v>
      </c>
      <c r="O24" s="1029">
        <v>46</v>
      </c>
      <c r="P24" s="1222">
        <v>17</v>
      </c>
      <c r="Q24" s="1029">
        <v>64</v>
      </c>
      <c r="R24" s="1222">
        <v>20</v>
      </c>
      <c r="S24" s="1029">
        <v>59</v>
      </c>
      <c r="T24" s="1222">
        <v>16</v>
      </c>
      <c r="U24" s="1029">
        <v>54</v>
      </c>
      <c r="V24" s="1222">
        <v>17</v>
      </c>
      <c r="W24" s="1029">
        <v>36</v>
      </c>
      <c r="X24" s="1222">
        <v>14</v>
      </c>
      <c r="Y24" s="1029">
        <v>37</v>
      </c>
      <c r="Z24" s="1222">
        <v>17</v>
      </c>
      <c r="AA24" s="1029">
        <v>47</v>
      </c>
      <c r="AB24" s="1222">
        <v>15</v>
      </c>
      <c r="AC24" s="1029">
        <v>47</v>
      </c>
      <c r="AD24" s="1222">
        <v>6</v>
      </c>
      <c r="AE24" s="1029">
        <v>37</v>
      </c>
      <c r="AF24" s="1222">
        <v>9</v>
      </c>
      <c r="AG24" s="1029">
        <v>38</v>
      </c>
      <c r="AH24" s="1222">
        <v>7</v>
      </c>
      <c r="AI24" s="1029">
        <v>17</v>
      </c>
      <c r="AJ24" s="1222">
        <v>6</v>
      </c>
      <c r="AK24" s="1029">
        <v>9</v>
      </c>
      <c r="AL24" s="1222">
        <v>5</v>
      </c>
      <c r="AM24" s="528">
        <v>15</v>
      </c>
      <c r="AN24" s="657">
        <v>1</v>
      </c>
      <c r="AO24" s="1517">
        <v>40</v>
      </c>
      <c r="AP24" s="1516">
        <v>38</v>
      </c>
      <c r="AQ24" s="1029">
        <v>108</v>
      </c>
      <c r="AR24" s="1516">
        <v>9</v>
      </c>
      <c r="AS24" s="1029">
        <v>10</v>
      </c>
      <c r="AT24" s="1518">
        <v>5</v>
      </c>
      <c r="AU24" s="1518">
        <v>34</v>
      </c>
      <c r="AV24" s="1518">
        <v>0</v>
      </c>
      <c r="AW24" s="1518">
        <v>3</v>
      </c>
      <c r="AX24" s="1518">
        <v>0</v>
      </c>
      <c r="AY24" s="104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8">
        <f t="shared" si="13"/>
        <v>0</v>
      </c>
      <c r="CO24" s="1038">
        <f t="shared" si="14"/>
        <v>0</v>
      </c>
      <c r="CP24" s="1038">
        <f t="shared" si="15"/>
        <v>0</v>
      </c>
      <c r="CQ24" s="1038">
        <f t="shared" si="16"/>
        <v>0</v>
      </c>
      <c r="CR24" s="1038">
        <f t="shared" si="17"/>
        <v>0</v>
      </c>
      <c r="CS24" s="1038">
        <f t="shared" si="18"/>
        <v>0</v>
      </c>
      <c r="CT24" s="1038">
        <f t="shared" si="19"/>
        <v>0</v>
      </c>
      <c r="CU24" s="1038">
        <f t="shared" si="20"/>
        <v>0</v>
      </c>
      <c r="CV24" s="1038">
        <f t="shared" si="21"/>
        <v>0</v>
      </c>
      <c r="CW24" s="1038">
        <f t="shared" si="22"/>
        <v>0</v>
      </c>
      <c r="CX24" s="103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086" t="s">
        <v>650</v>
      </c>
      <c r="B25" s="1270" t="s">
        <v>651</v>
      </c>
      <c r="C25" s="1133">
        <f t="shared" ref="C25:C51" si="29">SUM(D25:E25)</f>
        <v>119</v>
      </c>
      <c r="D25" s="386">
        <f t="shared" si="28"/>
        <v>27</v>
      </c>
      <c r="E25" s="529">
        <f t="shared" si="27"/>
        <v>92</v>
      </c>
      <c r="F25" s="415">
        <v>0</v>
      </c>
      <c r="G25" s="416">
        <v>0</v>
      </c>
      <c r="H25" s="415">
        <v>2</v>
      </c>
      <c r="I25" s="416">
        <v>0</v>
      </c>
      <c r="J25" s="415">
        <v>4</v>
      </c>
      <c r="K25" s="416">
        <v>6</v>
      </c>
      <c r="L25" s="415">
        <v>4</v>
      </c>
      <c r="M25" s="416">
        <v>10</v>
      </c>
      <c r="N25" s="415">
        <v>4</v>
      </c>
      <c r="O25" s="416">
        <v>4</v>
      </c>
      <c r="P25" s="415">
        <v>1</v>
      </c>
      <c r="Q25" s="416">
        <v>8</v>
      </c>
      <c r="R25" s="415">
        <v>2</v>
      </c>
      <c r="S25" s="416">
        <v>9</v>
      </c>
      <c r="T25" s="415">
        <v>0</v>
      </c>
      <c r="U25" s="416">
        <v>7</v>
      </c>
      <c r="V25" s="415">
        <v>0</v>
      </c>
      <c r="W25" s="416">
        <v>4</v>
      </c>
      <c r="X25" s="415">
        <v>2</v>
      </c>
      <c r="Y25" s="416">
        <v>6</v>
      </c>
      <c r="Z25" s="415">
        <v>3</v>
      </c>
      <c r="AA25" s="416">
        <v>9</v>
      </c>
      <c r="AB25" s="415">
        <v>1</v>
      </c>
      <c r="AC25" s="416">
        <v>11</v>
      </c>
      <c r="AD25" s="415">
        <v>0</v>
      </c>
      <c r="AE25" s="416">
        <v>6</v>
      </c>
      <c r="AF25" s="415">
        <v>1</v>
      </c>
      <c r="AG25" s="416">
        <v>7</v>
      </c>
      <c r="AH25" s="415">
        <v>2</v>
      </c>
      <c r="AI25" s="416">
        <v>1</v>
      </c>
      <c r="AJ25" s="415">
        <v>1</v>
      </c>
      <c r="AK25" s="416">
        <v>3</v>
      </c>
      <c r="AL25" s="415">
        <v>0</v>
      </c>
      <c r="AM25" s="417">
        <v>1</v>
      </c>
      <c r="AN25" s="546">
        <v>0</v>
      </c>
      <c r="AO25" s="653">
        <v>6</v>
      </c>
      <c r="AP25" s="466">
        <v>1</v>
      </c>
      <c r="AQ25" s="416">
        <v>11</v>
      </c>
      <c r="AR25" s="466">
        <v>1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8">
        <f t="shared" si="13"/>
        <v>0</v>
      </c>
      <c r="CO25" s="1038">
        <f t="shared" si="14"/>
        <v>0</v>
      </c>
      <c r="CP25" s="1038">
        <f t="shared" si="15"/>
        <v>0</v>
      </c>
      <c r="CQ25" s="1038">
        <f t="shared" si="16"/>
        <v>0</v>
      </c>
      <c r="CR25" s="1038">
        <f t="shared" si="17"/>
        <v>0</v>
      </c>
      <c r="CS25" s="1038">
        <f t="shared" si="18"/>
        <v>0</v>
      </c>
      <c r="CT25" s="1038">
        <f t="shared" si="19"/>
        <v>0</v>
      </c>
      <c r="CU25" s="1038">
        <f t="shared" si="20"/>
        <v>0</v>
      </c>
      <c r="CV25" s="1038">
        <f t="shared" si="21"/>
        <v>0</v>
      </c>
      <c r="CW25" s="1038">
        <f t="shared" si="22"/>
        <v>0</v>
      </c>
      <c r="CX25" s="103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087"/>
      <c r="B26" s="1274" t="s">
        <v>652</v>
      </c>
      <c r="C26" s="1133">
        <f t="shared" si="29"/>
        <v>339</v>
      </c>
      <c r="D26" s="386">
        <f t="shared" si="28"/>
        <v>69</v>
      </c>
      <c r="E26" s="529">
        <f t="shared" si="27"/>
        <v>270</v>
      </c>
      <c r="F26" s="397">
        <v>0</v>
      </c>
      <c r="G26" s="398">
        <v>0</v>
      </c>
      <c r="H26" s="397">
        <v>0</v>
      </c>
      <c r="I26" s="398">
        <v>0</v>
      </c>
      <c r="J26" s="397">
        <v>5</v>
      </c>
      <c r="K26" s="398">
        <v>6</v>
      </c>
      <c r="L26" s="397">
        <v>11</v>
      </c>
      <c r="M26" s="398">
        <v>27</v>
      </c>
      <c r="N26" s="397">
        <v>6</v>
      </c>
      <c r="O26" s="398">
        <v>13</v>
      </c>
      <c r="P26" s="397">
        <v>4</v>
      </c>
      <c r="Q26" s="398">
        <v>25</v>
      </c>
      <c r="R26" s="397">
        <v>5</v>
      </c>
      <c r="S26" s="398">
        <v>28</v>
      </c>
      <c r="T26" s="397">
        <v>5</v>
      </c>
      <c r="U26" s="398">
        <v>28</v>
      </c>
      <c r="V26" s="397">
        <v>6</v>
      </c>
      <c r="W26" s="398">
        <v>19</v>
      </c>
      <c r="X26" s="397">
        <v>3</v>
      </c>
      <c r="Y26" s="398">
        <v>20</v>
      </c>
      <c r="Z26" s="397">
        <v>3</v>
      </c>
      <c r="AA26" s="398">
        <v>29</v>
      </c>
      <c r="AB26" s="397">
        <v>3</v>
      </c>
      <c r="AC26" s="398">
        <v>22</v>
      </c>
      <c r="AD26" s="397">
        <v>6</v>
      </c>
      <c r="AE26" s="398">
        <v>18</v>
      </c>
      <c r="AF26" s="397">
        <v>3</v>
      </c>
      <c r="AG26" s="398">
        <v>19</v>
      </c>
      <c r="AH26" s="397">
        <v>2</v>
      </c>
      <c r="AI26" s="398">
        <v>9</v>
      </c>
      <c r="AJ26" s="397">
        <v>4</v>
      </c>
      <c r="AK26" s="398">
        <v>3</v>
      </c>
      <c r="AL26" s="397">
        <v>3</v>
      </c>
      <c r="AM26" s="405">
        <v>4</v>
      </c>
      <c r="AN26" s="547">
        <v>0</v>
      </c>
      <c r="AO26" s="648">
        <v>17</v>
      </c>
      <c r="AP26" s="463">
        <v>12</v>
      </c>
      <c r="AQ26" s="398">
        <v>45</v>
      </c>
      <c r="AR26" s="463">
        <v>0</v>
      </c>
      <c r="AS26" s="398">
        <v>3</v>
      </c>
      <c r="AT26" s="531">
        <v>1</v>
      </c>
      <c r="AU26" s="531">
        <v>8</v>
      </c>
      <c r="AV26" s="531">
        <v>0</v>
      </c>
      <c r="AW26" s="531">
        <v>0</v>
      </c>
      <c r="AX26" s="531">
        <v>0</v>
      </c>
      <c r="AY26" s="104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8">
        <f t="shared" si="13"/>
        <v>0</v>
      </c>
      <c r="CO26" s="1038">
        <f t="shared" si="14"/>
        <v>0</v>
      </c>
      <c r="CP26" s="1038">
        <f t="shared" si="15"/>
        <v>0</v>
      </c>
      <c r="CQ26" s="1038">
        <f t="shared" si="16"/>
        <v>0</v>
      </c>
      <c r="CR26" s="1038">
        <f t="shared" si="17"/>
        <v>0</v>
      </c>
      <c r="CS26" s="1038">
        <f t="shared" si="18"/>
        <v>0</v>
      </c>
      <c r="CT26" s="1038">
        <f t="shared" si="19"/>
        <v>0</v>
      </c>
      <c r="CU26" s="1038">
        <f t="shared" si="20"/>
        <v>0</v>
      </c>
      <c r="CV26" s="1038">
        <f t="shared" si="21"/>
        <v>0</v>
      </c>
      <c r="CW26" s="1038">
        <f t="shared" si="22"/>
        <v>0</v>
      </c>
      <c r="CX26" s="103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087"/>
      <c r="B27" s="1274" t="s">
        <v>653</v>
      </c>
      <c r="C27" s="1133">
        <f t="shared" si="29"/>
        <v>60</v>
      </c>
      <c r="D27" s="386">
        <f t="shared" si="28"/>
        <v>12</v>
      </c>
      <c r="E27" s="529">
        <f t="shared" si="27"/>
        <v>48</v>
      </c>
      <c r="F27" s="397">
        <v>0</v>
      </c>
      <c r="G27" s="398">
        <v>0</v>
      </c>
      <c r="H27" s="397">
        <v>0</v>
      </c>
      <c r="I27" s="398">
        <v>0</v>
      </c>
      <c r="J27" s="397">
        <v>2</v>
      </c>
      <c r="K27" s="398">
        <v>4</v>
      </c>
      <c r="L27" s="397">
        <v>3</v>
      </c>
      <c r="M27" s="398">
        <v>8</v>
      </c>
      <c r="N27" s="397">
        <v>0</v>
      </c>
      <c r="O27" s="398">
        <v>8</v>
      </c>
      <c r="P27" s="397">
        <v>0</v>
      </c>
      <c r="Q27" s="398">
        <v>3</v>
      </c>
      <c r="R27" s="397">
        <v>1</v>
      </c>
      <c r="S27" s="398">
        <v>4</v>
      </c>
      <c r="T27" s="397">
        <v>2</v>
      </c>
      <c r="U27" s="398">
        <v>4</v>
      </c>
      <c r="V27" s="397">
        <v>0</v>
      </c>
      <c r="W27" s="398">
        <v>4</v>
      </c>
      <c r="X27" s="397">
        <v>2</v>
      </c>
      <c r="Y27" s="398">
        <v>3</v>
      </c>
      <c r="Z27" s="397">
        <v>0</v>
      </c>
      <c r="AA27" s="398">
        <v>4</v>
      </c>
      <c r="AB27" s="397">
        <v>0</v>
      </c>
      <c r="AC27" s="398">
        <v>2</v>
      </c>
      <c r="AD27" s="397">
        <v>0</v>
      </c>
      <c r="AE27" s="398">
        <v>0</v>
      </c>
      <c r="AF27" s="397">
        <v>1</v>
      </c>
      <c r="AG27" s="398">
        <v>3</v>
      </c>
      <c r="AH27" s="397">
        <v>1</v>
      </c>
      <c r="AI27" s="398">
        <v>1</v>
      </c>
      <c r="AJ27" s="397">
        <v>0</v>
      </c>
      <c r="AK27" s="398">
        <v>0</v>
      </c>
      <c r="AL27" s="397">
        <v>0</v>
      </c>
      <c r="AM27" s="405">
        <v>0</v>
      </c>
      <c r="AN27" s="547">
        <v>0</v>
      </c>
      <c r="AO27" s="648">
        <v>5</v>
      </c>
      <c r="AP27" s="463">
        <v>1</v>
      </c>
      <c r="AQ27" s="398">
        <v>10</v>
      </c>
      <c r="AR27" s="463">
        <v>1</v>
      </c>
      <c r="AS27" s="398">
        <v>3</v>
      </c>
      <c r="AT27" s="531">
        <v>1</v>
      </c>
      <c r="AU27" s="531">
        <v>6</v>
      </c>
      <c r="AV27" s="531">
        <v>0</v>
      </c>
      <c r="AW27" s="531">
        <v>2</v>
      </c>
      <c r="AX27" s="531">
        <v>0</v>
      </c>
      <c r="AY27" s="104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8">
        <f t="shared" si="13"/>
        <v>0</v>
      </c>
      <c r="CO27" s="1038">
        <f t="shared" si="14"/>
        <v>0</v>
      </c>
      <c r="CP27" s="1038">
        <f t="shared" si="15"/>
        <v>0</v>
      </c>
      <c r="CQ27" s="1038">
        <f t="shared" si="16"/>
        <v>0</v>
      </c>
      <c r="CR27" s="1038">
        <f t="shared" si="17"/>
        <v>0</v>
      </c>
      <c r="CS27" s="1038">
        <f t="shared" si="18"/>
        <v>0</v>
      </c>
      <c r="CT27" s="1038">
        <f t="shared" si="19"/>
        <v>0</v>
      </c>
      <c r="CU27" s="1038">
        <f t="shared" si="20"/>
        <v>0</v>
      </c>
      <c r="CV27" s="1038">
        <f t="shared" si="21"/>
        <v>0</v>
      </c>
      <c r="CW27" s="1038">
        <f t="shared" si="22"/>
        <v>0</v>
      </c>
      <c r="CX27" s="103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087"/>
      <c r="B28" s="1274" t="s">
        <v>654</v>
      </c>
      <c r="C28" s="1133">
        <f t="shared" si="29"/>
        <v>9</v>
      </c>
      <c r="D28" s="532"/>
      <c r="E28" s="533">
        <f>K28+M28+O28+Q28+S28+U28+W28+Y28+AA28+AC28</f>
        <v>9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1</v>
      </c>
      <c r="P28" s="434"/>
      <c r="Q28" s="398">
        <v>5</v>
      </c>
      <c r="R28" s="434"/>
      <c r="S28" s="398">
        <v>2</v>
      </c>
      <c r="T28" s="434"/>
      <c r="U28" s="398">
        <v>1</v>
      </c>
      <c r="V28" s="434"/>
      <c r="W28" s="398">
        <v>0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3"/>
      <c r="AO28" s="648">
        <v>5</v>
      </c>
      <c r="AP28" s="532"/>
      <c r="AQ28" s="398">
        <v>3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7" t="str">
        <f t="shared" si="3"/>
        <v/>
      </c>
      <c r="AZ28" s="112"/>
      <c r="BA28" s="112"/>
      <c r="CA28" s="1077"/>
      <c r="CB28" s="191" t="str">
        <f t="shared" si="5"/>
        <v/>
      </c>
      <c r="CC28" s="107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7"/>
      <c r="CL28" s="107"/>
      <c r="CM28" s="107"/>
      <c r="CN28" s="1077"/>
      <c r="CO28" s="1038">
        <f t="shared" si="14"/>
        <v>0</v>
      </c>
      <c r="CP28" s="1077"/>
      <c r="CQ28" s="1038">
        <f t="shared" si="16"/>
        <v>0</v>
      </c>
      <c r="CR28" s="1077"/>
      <c r="CS28" s="1038">
        <f t="shared" si="18"/>
        <v>0</v>
      </c>
      <c r="CT28" s="1038">
        <f t="shared" si="19"/>
        <v>0</v>
      </c>
      <c r="CU28" s="1038">
        <f t="shared" si="20"/>
        <v>0</v>
      </c>
      <c r="CV28" s="1038">
        <f t="shared" si="21"/>
        <v>0</v>
      </c>
      <c r="CW28" s="1038">
        <f>IF(AND(E28&gt;0,OR(AW28="")),1,IF(AW28&gt;$E28,1,0))</f>
        <v>0</v>
      </c>
      <c r="CX28" s="107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088"/>
      <c r="B29" s="1273" t="s">
        <v>655</v>
      </c>
      <c r="C29" s="1137">
        <f t="shared" si="29"/>
        <v>6</v>
      </c>
      <c r="D29" s="400">
        <f t="shared" ref="D29:E36" si="31">+F29+H29+J29+L29+N29+P29+R29+T29+V29+X29+Z29+AB29+AD29+AF29+AH29+AJ29+AL29</f>
        <v>1</v>
      </c>
      <c r="E29" s="535">
        <f t="shared" si="31"/>
        <v>5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2</v>
      </c>
      <c r="P29" s="406">
        <v>0</v>
      </c>
      <c r="Q29" s="407">
        <v>0</v>
      </c>
      <c r="R29" s="406">
        <v>1</v>
      </c>
      <c r="S29" s="407">
        <v>0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1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0</v>
      </c>
      <c r="AF29" s="406">
        <v>0</v>
      </c>
      <c r="AG29" s="407">
        <v>1</v>
      </c>
      <c r="AH29" s="406">
        <v>0</v>
      </c>
      <c r="AI29" s="407">
        <v>1</v>
      </c>
      <c r="AJ29" s="406">
        <v>0</v>
      </c>
      <c r="AK29" s="407">
        <v>0</v>
      </c>
      <c r="AL29" s="406">
        <v>0</v>
      </c>
      <c r="AM29" s="408">
        <v>0</v>
      </c>
      <c r="AN29" s="661">
        <v>0</v>
      </c>
      <c r="AO29" s="651">
        <v>0</v>
      </c>
      <c r="AP29" s="656">
        <v>0</v>
      </c>
      <c r="AQ29" s="407">
        <v>2</v>
      </c>
      <c r="AR29" s="656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8">
        <f t="shared" ref="CN29:CN43" si="39">IF(AND($E29&gt;0,OR(AN29="")),1,IF(AN29&gt;$E29,1,0))</f>
        <v>0</v>
      </c>
      <c r="CO29" s="1038">
        <f t="shared" si="14"/>
        <v>0</v>
      </c>
      <c r="CP29" s="1038">
        <f t="shared" ref="CP29:CP35" si="40">IF(AND($D29&gt;0,OR(AP29="")),1,IF(AP29&gt;$D29,1,0))</f>
        <v>0</v>
      </c>
      <c r="CQ29" s="1038">
        <f t="shared" si="16"/>
        <v>0</v>
      </c>
      <c r="CR29" s="1038">
        <f t="shared" ref="CR29:CR34" si="41">IF(AND($D29&gt;0,OR(AR29="")),1,IF(AR29&gt;$D29,1,0))</f>
        <v>0</v>
      </c>
      <c r="CS29" s="1038">
        <f t="shared" si="18"/>
        <v>0</v>
      </c>
      <c r="CT29" s="1038">
        <f t="shared" si="19"/>
        <v>0</v>
      </c>
      <c r="CU29" s="1038">
        <f t="shared" si="20"/>
        <v>0</v>
      </c>
      <c r="CV29" s="1038">
        <f t="shared" si="21"/>
        <v>0</v>
      </c>
      <c r="CW29" s="1038">
        <f t="shared" ref="CW29:CW58" si="42">IF(AND(E29&gt;0,OR(AW29="")),1,IF(AW29&gt;$E29,1,0))</f>
        <v>0</v>
      </c>
      <c r="CX29" s="103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086" t="s">
        <v>656</v>
      </c>
      <c r="B30" s="1270" t="s">
        <v>657</v>
      </c>
      <c r="C30" s="1136">
        <f t="shared" si="29"/>
        <v>21</v>
      </c>
      <c r="D30" s="391">
        <f t="shared" si="31"/>
        <v>19</v>
      </c>
      <c r="E30" s="537">
        <f t="shared" si="31"/>
        <v>2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1</v>
      </c>
      <c r="M30" s="394">
        <v>0</v>
      </c>
      <c r="N30" s="393">
        <v>0</v>
      </c>
      <c r="O30" s="394">
        <v>0</v>
      </c>
      <c r="P30" s="393">
        <v>1</v>
      </c>
      <c r="Q30" s="394">
        <v>1</v>
      </c>
      <c r="R30" s="393">
        <v>2</v>
      </c>
      <c r="S30" s="394">
        <v>0</v>
      </c>
      <c r="T30" s="393">
        <v>2</v>
      </c>
      <c r="U30" s="394">
        <v>0</v>
      </c>
      <c r="V30" s="393">
        <v>2</v>
      </c>
      <c r="W30" s="394">
        <v>0</v>
      </c>
      <c r="X30" s="393">
        <v>0</v>
      </c>
      <c r="Y30" s="394">
        <v>0</v>
      </c>
      <c r="Z30" s="393">
        <v>4</v>
      </c>
      <c r="AA30" s="394">
        <v>1</v>
      </c>
      <c r="AB30" s="393">
        <v>4</v>
      </c>
      <c r="AC30" s="394">
        <v>0</v>
      </c>
      <c r="AD30" s="393">
        <v>0</v>
      </c>
      <c r="AE30" s="394">
        <v>0</v>
      </c>
      <c r="AF30" s="393">
        <v>2</v>
      </c>
      <c r="AG30" s="394">
        <v>0</v>
      </c>
      <c r="AH30" s="393">
        <v>1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8">
        <v>0</v>
      </c>
      <c r="AO30" s="647">
        <v>0</v>
      </c>
      <c r="AP30" s="460">
        <v>0</v>
      </c>
      <c r="AQ30" s="394">
        <v>0</v>
      </c>
      <c r="AR30" s="460">
        <v>0</v>
      </c>
      <c r="AS30" s="394">
        <v>0</v>
      </c>
      <c r="AT30" s="459">
        <v>1</v>
      </c>
      <c r="AU30" s="459">
        <v>0</v>
      </c>
      <c r="AV30" s="459">
        <v>0</v>
      </c>
      <c r="AW30" s="459">
        <v>0</v>
      </c>
      <c r="AX30" s="459">
        <v>0</v>
      </c>
      <c r="AY30" s="104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8">
        <f t="shared" si="39"/>
        <v>0</v>
      </c>
      <c r="CO30" s="1038">
        <f t="shared" si="14"/>
        <v>0</v>
      </c>
      <c r="CP30" s="1038">
        <f t="shared" si="40"/>
        <v>0</v>
      </c>
      <c r="CQ30" s="1038">
        <f t="shared" si="16"/>
        <v>0</v>
      </c>
      <c r="CR30" s="1038">
        <f t="shared" si="41"/>
        <v>0</v>
      </c>
      <c r="CS30" s="1038">
        <f t="shared" si="18"/>
        <v>0</v>
      </c>
      <c r="CT30" s="1038">
        <f t="shared" si="19"/>
        <v>0</v>
      </c>
      <c r="CU30" s="1038">
        <f t="shared" si="20"/>
        <v>0</v>
      </c>
      <c r="CV30" s="1038">
        <f t="shared" si="21"/>
        <v>0</v>
      </c>
      <c r="CW30" s="1038">
        <f t="shared" si="42"/>
        <v>0</v>
      </c>
      <c r="CX30" s="103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087"/>
      <c r="B31" s="1274" t="s">
        <v>658</v>
      </c>
      <c r="C31" s="1138">
        <f t="shared" si="29"/>
        <v>8</v>
      </c>
      <c r="D31" s="396">
        <f t="shared" si="31"/>
        <v>8</v>
      </c>
      <c r="E31" s="533">
        <f t="shared" si="31"/>
        <v>0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0</v>
      </c>
      <c r="P31" s="397">
        <v>0</v>
      </c>
      <c r="Q31" s="398">
        <v>0</v>
      </c>
      <c r="R31" s="397">
        <v>0</v>
      </c>
      <c r="S31" s="398">
        <v>0</v>
      </c>
      <c r="T31" s="397">
        <v>2</v>
      </c>
      <c r="U31" s="398">
        <v>0</v>
      </c>
      <c r="V31" s="397">
        <v>2</v>
      </c>
      <c r="W31" s="398">
        <v>0</v>
      </c>
      <c r="X31" s="397">
        <v>1</v>
      </c>
      <c r="Y31" s="398">
        <v>0</v>
      </c>
      <c r="Z31" s="397">
        <v>0</v>
      </c>
      <c r="AA31" s="398">
        <v>0</v>
      </c>
      <c r="AB31" s="397">
        <v>2</v>
      </c>
      <c r="AC31" s="398">
        <v>0</v>
      </c>
      <c r="AD31" s="397">
        <v>0</v>
      </c>
      <c r="AE31" s="398">
        <v>0</v>
      </c>
      <c r="AF31" s="397">
        <v>1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0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8">
        <f t="shared" si="39"/>
        <v>0</v>
      </c>
      <c r="CO31" s="1038">
        <f t="shared" si="14"/>
        <v>0</v>
      </c>
      <c r="CP31" s="1038">
        <f t="shared" si="40"/>
        <v>0</v>
      </c>
      <c r="CQ31" s="1038">
        <f t="shared" si="16"/>
        <v>0</v>
      </c>
      <c r="CR31" s="1038">
        <f t="shared" si="41"/>
        <v>0</v>
      </c>
      <c r="CS31" s="1038">
        <f t="shared" si="18"/>
        <v>0</v>
      </c>
      <c r="CT31" s="1038">
        <f t="shared" si="19"/>
        <v>0</v>
      </c>
      <c r="CU31" s="1038">
        <f t="shared" si="20"/>
        <v>0</v>
      </c>
      <c r="CV31" s="1038">
        <f t="shared" si="21"/>
        <v>0</v>
      </c>
      <c r="CW31" s="1038">
        <f t="shared" si="42"/>
        <v>0</v>
      </c>
      <c r="CX31" s="103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087"/>
      <c r="B32" s="1274" t="s">
        <v>659</v>
      </c>
      <c r="C32" s="1137">
        <f t="shared" si="29"/>
        <v>18</v>
      </c>
      <c r="D32" s="400">
        <f t="shared" si="31"/>
        <v>15</v>
      </c>
      <c r="E32" s="535">
        <f t="shared" si="31"/>
        <v>3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2</v>
      </c>
      <c r="M32" s="407">
        <v>1</v>
      </c>
      <c r="N32" s="406">
        <v>1</v>
      </c>
      <c r="O32" s="407">
        <v>2</v>
      </c>
      <c r="P32" s="406">
        <v>0</v>
      </c>
      <c r="Q32" s="407">
        <v>0</v>
      </c>
      <c r="R32" s="406">
        <v>3</v>
      </c>
      <c r="S32" s="407">
        <v>0</v>
      </c>
      <c r="T32" s="406">
        <v>4</v>
      </c>
      <c r="U32" s="407">
        <v>0</v>
      </c>
      <c r="V32" s="406">
        <v>3</v>
      </c>
      <c r="W32" s="407">
        <v>0</v>
      </c>
      <c r="X32" s="406">
        <v>0</v>
      </c>
      <c r="Y32" s="407">
        <v>0</v>
      </c>
      <c r="Z32" s="406">
        <v>1</v>
      </c>
      <c r="AA32" s="407">
        <v>0</v>
      </c>
      <c r="AB32" s="406">
        <v>1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1">
        <v>0</v>
      </c>
      <c r="AO32" s="651">
        <v>1</v>
      </c>
      <c r="AP32" s="656">
        <v>1</v>
      </c>
      <c r="AQ32" s="407">
        <v>1</v>
      </c>
      <c r="AR32" s="656">
        <v>0</v>
      </c>
      <c r="AS32" s="407">
        <v>0</v>
      </c>
      <c r="AT32" s="536">
        <v>2</v>
      </c>
      <c r="AU32" s="536">
        <v>1</v>
      </c>
      <c r="AV32" s="536">
        <v>0</v>
      </c>
      <c r="AW32" s="536">
        <v>0</v>
      </c>
      <c r="AX32" s="536">
        <v>0</v>
      </c>
      <c r="AY32" s="104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8">
        <f t="shared" si="39"/>
        <v>0</v>
      </c>
      <c r="CO32" s="1038">
        <f t="shared" si="14"/>
        <v>0</v>
      </c>
      <c r="CP32" s="1038">
        <f t="shared" si="40"/>
        <v>0</v>
      </c>
      <c r="CQ32" s="1038">
        <f t="shared" si="16"/>
        <v>0</v>
      </c>
      <c r="CR32" s="1038">
        <f t="shared" si="41"/>
        <v>0</v>
      </c>
      <c r="CS32" s="1038">
        <f t="shared" si="18"/>
        <v>0</v>
      </c>
      <c r="CT32" s="1038">
        <f t="shared" si="19"/>
        <v>0</v>
      </c>
      <c r="CU32" s="1038">
        <f t="shared" si="20"/>
        <v>0</v>
      </c>
      <c r="CV32" s="1038">
        <f t="shared" si="21"/>
        <v>0</v>
      </c>
      <c r="CW32" s="1038">
        <f t="shared" si="42"/>
        <v>0</v>
      </c>
      <c r="CX32" s="103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087"/>
      <c r="B33" s="1274" t="s">
        <v>660</v>
      </c>
      <c r="C33" s="1137">
        <f t="shared" si="29"/>
        <v>17</v>
      </c>
      <c r="D33" s="400">
        <f t="shared" si="31"/>
        <v>13</v>
      </c>
      <c r="E33" s="535">
        <f t="shared" si="31"/>
        <v>4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1</v>
      </c>
      <c r="O33" s="407">
        <v>1</v>
      </c>
      <c r="P33" s="406">
        <v>0</v>
      </c>
      <c r="Q33" s="407">
        <v>0</v>
      </c>
      <c r="R33" s="406">
        <v>3</v>
      </c>
      <c r="S33" s="407">
        <v>2</v>
      </c>
      <c r="T33" s="406">
        <v>6</v>
      </c>
      <c r="U33" s="407">
        <v>0</v>
      </c>
      <c r="V33" s="406">
        <v>2</v>
      </c>
      <c r="W33" s="407">
        <v>1</v>
      </c>
      <c r="X33" s="406">
        <v>0</v>
      </c>
      <c r="Y33" s="407">
        <v>0</v>
      </c>
      <c r="Z33" s="406">
        <v>0</v>
      </c>
      <c r="AA33" s="407">
        <v>0</v>
      </c>
      <c r="AB33" s="406">
        <v>1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1">
        <v>0</v>
      </c>
      <c r="AO33" s="651">
        <v>1</v>
      </c>
      <c r="AP33" s="656">
        <v>0</v>
      </c>
      <c r="AQ33" s="407">
        <v>0</v>
      </c>
      <c r="AR33" s="656">
        <v>0</v>
      </c>
      <c r="AS33" s="407">
        <v>0</v>
      </c>
      <c r="AT33" s="536">
        <v>1</v>
      </c>
      <c r="AU33" s="536">
        <v>0</v>
      </c>
      <c r="AV33" s="536">
        <v>0</v>
      </c>
      <c r="AW33" s="536">
        <v>0</v>
      </c>
      <c r="AX33" s="536">
        <v>0</v>
      </c>
      <c r="AY33" s="104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8">
        <f t="shared" si="39"/>
        <v>0</v>
      </c>
      <c r="CO33" s="1038">
        <f t="shared" si="14"/>
        <v>0</v>
      </c>
      <c r="CP33" s="1038">
        <f t="shared" si="40"/>
        <v>0</v>
      </c>
      <c r="CQ33" s="1038">
        <f t="shared" si="16"/>
        <v>0</v>
      </c>
      <c r="CR33" s="1038">
        <f t="shared" si="41"/>
        <v>0</v>
      </c>
      <c r="CS33" s="1038">
        <f t="shared" si="18"/>
        <v>0</v>
      </c>
      <c r="CT33" s="1038">
        <f t="shared" si="19"/>
        <v>0</v>
      </c>
      <c r="CU33" s="1038">
        <f t="shared" si="20"/>
        <v>0</v>
      </c>
      <c r="CV33" s="1038">
        <f t="shared" si="21"/>
        <v>0</v>
      </c>
      <c r="CW33" s="1038">
        <f t="shared" si="42"/>
        <v>0</v>
      </c>
      <c r="CX33" s="103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088"/>
      <c r="B34" s="1273" t="s">
        <v>661</v>
      </c>
      <c r="C34" s="1134">
        <f t="shared" si="29"/>
        <v>22</v>
      </c>
      <c r="D34" s="390">
        <f t="shared" si="31"/>
        <v>20</v>
      </c>
      <c r="E34" s="530">
        <f t="shared" si="31"/>
        <v>2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1</v>
      </c>
      <c r="M34" s="403">
        <v>0</v>
      </c>
      <c r="N34" s="402">
        <v>2</v>
      </c>
      <c r="O34" s="403">
        <v>1</v>
      </c>
      <c r="P34" s="402">
        <v>2</v>
      </c>
      <c r="Q34" s="403">
        <v>0</v>
      </c>
      <c r="R34" s="402">
        <v>3</v>
      </c>
      <c r="S34" s="403">
        <v>1</v>
      </c>
      <c r="T34" s="402">
        <v>3</v>
      </c>
      <c r="U34" s="403">
        <v>0</v>
      </c>
      <c r="V34" s="402">
        <v>6</v>
      </c>
      <c r="W34" s="403">
        <v>0</v>
      </c>
      <c r="X34" s="402">
        <v>0</v>
      </c>
      <c r="Y34" s="403">
        <v>0</v>
      </c>
      <c r="Z34" s="402">
        <v>1</v>
      </c>
      <c r="AA34" s="403">
        <v>0</v>
      </c>
      <c r="AB34" s="402">
        <v>2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59">
        <v>0</v>
      </c>
      <c r="AO34" s="650">
        <v>1</v>
      </c>
      <c r="AP34" s="462">
        <v>1</v>
      </c>
      <c r="AQ34" s="403">
        <v>0</v>
      </c>
      <c r="AR34" s="462">
        <v>0</v>
      </c>
      <c r="AS34" s="403">
        <v>0</v>
      </c>
      <c r="AT34" s="440">
        <v>2</v>
      </c>
      <c r="AU34" s="440">
        <v>0</v>
      </c>
      <c r="AV34" s="440">
        <v>0</v>
      </c>
      <c r="AW34" s="440">
        <v>0</v>
      </c>
      <c r="AX34" s="440">
        <v>0</v>
      </c>
      <c r="AY34" s="104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8">
        <f t="shared" si="39"/>
        <v>0</v>
      </c>
      <c r="CO34" s="1038">
        <f t="shared" si="14"/>
        <v>0</v>
      </c>
      <c r="CP34" s="1038">
        <f t="shared" si="40"/>
        <v>0</v>
      </c>
      <c r="CQ34" s="1038">
        <f t="shared" si="16"/>
        <v>0</v>
      </c>
      <c r="CR34" s="1038">
        <f t="shared" si="41"/>
        <v>0</v>
      </c>
      <c r="CS34" s="1038">
        <f t="shared" si="18"/>
        <v>0</v>
      </c>
      <c r="CT34" s="1038">
        <f t="shared" si="19"/>
        <v>0</v>
      </c>
      <c r="CU34" s="1038">
        <f t="shared" si="20"/>
        <v>0</v>
      </c>
      <c r="CV34" s="1038">
        <f t="shared" si="21"/>
        <v>0</v>
      </c>
      <c r="CW34" s="1038">
        <f t="shared" si="42"/>
        <v>0</v>
      </c>
      <c r="CX34" s="103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086" t="s">
        <v>662</v>
      </c>
      <c r="B35" s="1270" t="s">
        <v>663</v>
      </c>
      <c r="C35" s="1136">
        <f t="shared" si="29"/>
        <v>24</v>
      </c>
      <c r="D35" s="391">
        <f t="shared" si="31"/>
        <v>22</v>
      </c>
      <c r="E35" s="537">
        <f t="shared" si="31"/>
        <v>2</v>
      </c>
      <c r="F35" s="393">
        <v>1</v>
      </c>
      <c r="G35" s="394">
        <v>0</v>
      </c>
      <c r="H35" s="393">
        <v>12</v>
      </c>
      <c r="I35" s="394">
        <v>0</v>
      </c>
      <c r="J35" s="393">
        <v>6</v>
      </c>
      <c r="K35" s="394">
        <v>1</v>
      </c>
      <c r="L35" s="393">
        <v>3</v>
      </c>
      <c r="M35" s="394">
        <v>0</v>
      </c>
      <c r="N35" s="393">
        <v>0</v>
      </c>
      <c r="O35" s="394">
        <v>1</v>
      </c>
      <c r="P35" s="393">
        <v>0</v>
      </c>
      <c r="Q35" s="394">
        <v>0</v>
      </c>
      <c r="R35" s="393">
        <v>0</v>
      </c>
      <c r="S35" s="394">
        <v>0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8">
        <v>0</v>
      </c>
      <c r="AO35" s="854"/>
      <c r="AP35" s="460">
        <v>3</v>
      </c>
      <c r="AQ35" s="394">
        <v>0</v>
      </c>
      <c r="AR35" s="460">
        <v>2</v>
      </c>
      <c r="AS35" s="394">
        <v>0</v>
      </c>
      <c r="AT35" s="459">
        <v>0</v>
      </c>
      <c r="AU35" s="459">
        <v>3</v>
      </c>
      <c r="AV35" s="459">
        <v>0</v>
      </c>
      <c r="AW35" s="459">
        <v>0</v>
      </c>
      <c r="AX35" s="459">
        <v>0</v>
      </c>
      <c r="AY35" s="1047" t="str">
        <f t="shared" si="3"/>
        <v/>
      </c>
      <c r="AZ35" s="112"/>
      <c r="BA35" s="112"/>
      <c r="CA35" s="191" t="str">
        <f t="shared" si="32"/>
        <v/>
      </c>
      <c r="CB35" s="107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8">
        <f t="shared" si="39"/>
        <v>0</v>
      </c>
      <c r="CO35" s="1077"/>
      <c r="CP35" s="1038">
        <f t="shared" si="40"/>
        <v>0</v>
      </c>
      <c r="CQ35" s="1038">
        <f t="shared" ref="CQ35:CQ38" si="51">IF(AND($E35&gt;0,OR(AQ35="")),1,IF(AQ35&gt;$E35,1,0))</f>
        <v>0</v>
      </c>
      <c r="CR35" s="1038">
        <f t="shared" ref="CR35:CR38" si="52">IF(AND($D35&gt;0,OR(AR35="")),1,IF(AR35&gt;$D35,1,0))</f>
        <v>0</v>
      </c>
      <c r="CS35" s="1038">
        <f t="shared" ref="CS35:CS38" si="53">IF(AND($E35&gt;0,OR(AS35="")),1,IF(AS35&gt;$E35,1,0))</f>
        <v>0</v>
      </c>
      <c r="CT35" s="1038">
        <f t="shared" ref="CT35:CT38" si="54">IF(AND($C35&gt;0,OR(AT35="")),1,IF(AT35&gt;$C35,1,0))</f>
        <v>0</v>
      </c>
      <c r="CU35" s="1038">
        <f t="shared" ref="CU35:CU38" si="55">IF(AND($C35&gt;0,OR(AU35="")),1,IF(AU35&gt;$C35,1,0))</f>
        <v>0</v>
      </c>
      <c r="CV35" s="1038">
        <f t="shared" ref="CV35:CV38" si="56">IF(AND($C35&gt;0,OR(AV35="")),1,IF(AV35&gt;$C35,1,0))</f>
        <v>0</v>
      </c>
      <c r="CW35" s="1038">
        <f t="shared" si="42"/>
        <v>0</v>
      </c>
      <c r="CX35" s="103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087"/>
      <c r="B36" s="1274" t="s">
        <v>664</v>
      </c>
      <c r="C36" s="1138">
        <f t="shared" si="29"/>
        <v>2</v>
      </c>
      <c r="D36" s="396">
        <f t="shared" si="31"/>
        <v>1</v>
      </c>
      <c r="E36" s="533">
        <f t="shared" si="31"/>
        <v>1</v>
      </c>
      <c r="F36" s="397">
        <v>1</v>
      </c>
      <c r="G36" s="398">
        <v>0</v>
      </c>
      <c r="H36" s="397">
        <v>0</v>
      </c>
      <c r="I36" s="398">
        <v>0</v>
      </c>
      <c r="J36" s="397">
        <v>0</v>
      </c>
      <c r="K36" s="398">
        <v>0</v>
      </c>
      <c r="L36" s="397">
        <v>0</v>
      </c>
      <c r="M36" s="398">
        <v>0</v>
      </c>
      <c r="N36" s="397">
        <v>0</v>
      </c>
      <c r="O36" s="463">
        <v>1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6"/>
      <c r="AP36" s="463">
        <v>0</v>
      </c>
      <c r="AQ36" s="398">
        <v>0</v>
      </c>
      <c r="AR36" s="463">
        <v>0</v>
      </c>
      <c r="AS36" s="398">
        <v>0</v>
      </c>
      <c r="AT36" s="531">
        <v>1</v>
      </c>
      <c r="AU36" s="531">
        <v>0</v>
      </c>
      <c r="AV36" s="531">
        <v>0</v>
      </c>
      <c r="AW36" s="531">
        <v>0</v>
      </c>
      <c r="AX36" s="531">
        <v>0</v>
      </c>
      <c r="AY36" s="1047" t="str">
        <f t="shared" si="3"/>
        <v/>
      </c>
      <c r="AZ36" s="112"/>
      <c r="BA36" s="112"/>
      <c r="CA36" s="191" t="str">
        <f t="shared" si="32"/>
        <v/>
      </c>
      <c r="CB36" s="107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8">
        <f t="shared" si="39"/>
        <v>0</v>
      </c>
      <c r="CO36" s="1077"/>
      <c r="CP36" s="1038">
        <f t="shared" ref="CP36:CP38" si="57">IF(AND($D36&gt;0,OR(AP36="")),1,IF(AP36&gt;$D36,1,0))</f>
        <v>0</v>
      </c>
      <c r="CQ36" s="1038">
        <f t="shared" si="51"/>
        <v>0</v>
      </c>
      <c r="CR36" s="1038">
        <f t="shared" si="52"/>
        <v>0</v>
      </c>
      <c r="CS36" s="1038">
        <f t="shared" si="53"/>
        <v>0</v>
      </c>
      <c r="CT36" s="1038">
        <f t="shared" si="54"/>
        <v>0</v>
      </c>
      <c r="CU36" s="1038">
        <f t="shared" si="55"/>
        <v>0</v>
      </c>
      <c r="CV36" s="1038">
        <f t="shared" si="56"/>
        <v>0</v>
      </c>
      <c r="CW36" s="1038">
        <f t="shared" si="42"/>
        <v>0</v>
      </c>
      <c r="CX36" s="103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087"/>
      <c r="B37" s="1274" t="s">
        <v>665</v>
      </c>
      <c r="C37" s="1133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6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7" t="str">
        <f t="shared" si="3"/>
        <v/>
      </c>
      <c r="AZ37" s="112"/>
      <c r="BA37" s="112"/>
      <c r="CA37" s="191" t="str">
        <f t="shared" si="32"/>
        <v/>
      </c>
      <c r="CB37" s="107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8">
        <f t="shared" si="39"/>
        <v>0</v>
      </c>
      <c r="CO37" s="1077"/>
      <c r="CP37" s="1038">
        <f t="shared" si="57"/>
        <v>0</v>
      </c>
      <c r="CQ37" s="1038">
        <f t="shared" si="51"/>
        <v>0</v>
      </c>
      <c r="CR37" s="1038">
        <f t="shared" si="52"/>
        <v>0</v>
      </c>
      <c r="CS37" s="1038">
        <f t="shared" si="53"/>
        <v>0</v>
      </c>
      <c r="CT37" s="1038">
        <f t="shared" si="54"/>
        <v>0</v>
      </c>
      <c r="CU37" s="1038">
        <f t="shared" si="55"/>
        <v>0</v>
      </c>
      <c r="CV37" s="1038">
        <f t="shared" si="56"/>
        <v>0</v>
      </c>
      <c r="CW37" s="1038">
        <f t="shared" si="42"/>
        <v>0</v>
      </c>
      <c r="CX37" s="103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088"/>
      <c r="B38" s="1273" t="s">
        <v>666</v>
      </c>
      <c r="C38" s="1134">
        <f t="shared" si="29"/>
        <v>9</v>
      </c>
      <c r="D38" s="390">
        <f>+F38+H38+J38+L38+N38</f>
        <v>5</v>
      </c>
      <c r="E38" s="530">
        <f>+G38+I38+K38+M38+O38</f>
        <v>4</v>
      </c>
      <c r="F38" s="402">
        <v>0</v>
      </c>
      <c r="G38" s="403">
        <v>0</v>
      </c>
      <c r="H38" s="402">
        <v>1</v>
      </c>
      <c r="I38" s="403">
        <v>1</v>
      </c>
      <c r="J38" s="402">
        <v>3</v>
      </c>
      <c r="K38" s="403">
        <v>2</v>
      </c>
      <c r="L38" s="402">
        <v>1</v>
      </c>
      <c r="M38" s="403">
        <v>0</v>
      </c>
      <c r="N38" s="402">
        <v>0</v>
      </c>
      <c r="O38" s="403">
        <v>1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5"/>
      <c r="AN38" s="659">
        <v>0</v>
      </c>
      <c r="AO38" s="847"/>
      <c r="AP38" s="462">
        <v>0</v>
      </c>
      <c r="AQ38" s="403">
        <v>0</v>
      </c>
      <c r="AR38" s="462">
        <v>2</v>
      </c>
      <c r="AS38" s="403">
        <v>0</v>
      </c>
      <c r="AT38" s="440">
        <v>1</v>
      </c>
      <c r="AU38" s="440">
        <v>1</v>
      </c>
      <c r="AV38" s="440">
        <v>0</v>
      </c>
      <c r="AW38" s="440">
        <v>0</v>
      </c>
      <c r="AX38" s="440">
        <v>0</v>
      </c>
      <c r="AY38" s="1047" t="str">
        <f t="shared" si="3"/>
        <v/>
      </c>
      <c r="AZ38" s="112"/>
      <c r="BA38" s="112"/>
      <c r="CA38" s="191" t="str">
        <f t="shared" si="32"/>
        <v/>
      </c>
      <c r="CB38" s="107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8">
        <f t="shared" si="39"/>
        <v>0</v>
      </c>
      <c r="CO38" s="1077"/>
      <c r="CP38" s="1038">
        <f t="shared" si="57"/>
        <v>0</v>
      </c>
      <c r="CQ38" s="1038">
        <f t="shared" si="51"/>
        <v>0</v>
      </c>
      <c r="CR38" s="1038">
        <f t="shared" si="52"/>
        <v>0</v>
      </c>
      <c r="CS38" s="1038">
        <f t="shared" si="53"/>
        <v>0</v>
      </c>
      <c r="CT38" s="1038">
        <f t="shared" si="54"/>
        <v>0</v>
      </c>
      <c r="CU38" s="1038">
        <f t="shared" si="55"/>
        <v>0</v>
      </c>
      <c r="CV38" s="1038">
        <f t="shared" si="56"/>
        <v>0</v>
      </c>
      <c r="CW38" s="1038">
        <f t="shared" si="42"/>
        <v>0</v>
      </c>
      <c r="CX38" s="103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086" t="s">
        <v>667</v>
      </c>
      <c r="B39" s="1270" t="s">
        <v>668</v>
      </c>
      <c r="C39" s="705">
        <f t="shared" si="29"/>
        <v>22</v>
      </c>
      <c r="D39" s="1058">
        <f t="shared" ref="D39:E43" si="58">SUM(F39+H39+J39+L39+N39+P39+R39+T39+V39+X39+Z39+AB39+AD39+AF39+AH39+AJ39+AL39)</f>
        <v>4</v>
      </c>
      <c r="E39" s="581">
        <f>SUM(G39+I39+K39+M39+O39+Q39+S39+U39+W39+Y39+AA39+AC39+AE39+AG39+AI39+AK39+AM39)</f>
        <v>18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2</v>
      </c>
      <c r="L39" s="397">
        <v>0</v>
      </c>
      <c r="M39" s="398">
        <v>4</v>
      </c>
      <c r="N39" s="393">
        <v>0</v>
      </c>
      <c r="O39" s="463">
        <v>1</v>
      </c>
      <c r="P39" s="397">
        <v>0</v>
      </c>
      <c r="Q39" s="463">
        <v>1</v>
      </c>
      <c r="R39" s="397">
        <v>1</v>
      </c>
      <c r="S39" s="463">
        <v>1</v>
      </c>
      <c r="T39" s="397">
        <v>0</v>
      </c>
      <c r="U39" s="463">
        <v>1</v>
      </c>
      <c r="V39" s="397">
        <v>0</v>
      </c>
      <c r="W39" s="463">
        <v>0</v>
      </c>
      <c r="X39" s="397">
        <v>1</v>
      </c>
      <c r="Y39" s="463">
        <v>4</v>
      </c>
      <c r="Z39" s="397">
        <v>0</v>
      </c>
      <c r="AA39" s="463">
        <v>1</v>
      </c>
      <c r="AB39" s="397">
        <v>1</v>
      </c>
      <c r="AC39" s="463">
        <v>0</v>
      </c>
      <c r="AD39" s="397">
        <v>1</v>
      </c>
      <c r="AE39" s="463">
        <v>1</v>
      </c>
      <c r="AF39" s="397">
        <v>0</v>
      </c>
      <c r="AG39" s="463">
        <v>2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8">
        <v>0</v>
      </c>
      <c r="AO39" s="647">
        <v>1</v>
      </c>
      <c r="AP39" s="463">
        <v>1</v>
      </c>
      <c r="AQ39" s="531">
        <v>4</v>
      </c>
      <c r="AR39" s="463">
        <v>0</v>
      </c>
      <c r="AS39" s="398">
        <v>0</v>
      </c>
      <c r="AT39" s="459">
        <v>1</v>
      </c>
      <c r="AU39" s="459">
        <v>2</v>
      </c>
      <c r="AV39" s="394">
        <v>0</v>
      </c>
      <c r="AW39" s="394">
        <v>0</v>
      </c>
      <c r="AX39" s="394">
        <v>0</v>
      </c>
      <c r="AY39" s="104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8">
        <f t="shared" si="39"/>
        <v>0</v>
      </c>
      <c r="CO39" s="1038">
        <f t="shared" ref="CO39:CO43" si="60">IF(AND($E39&gt;0,OR(AO39="")),1,IF(AO39&gt;$E39,1,0))</f>
        <v>0</v>
      </c>
      <c r="CP39" s="1038">
        <f>IF(AND($D39&gt;0,OR(AP39="")),1,IF(AP39&gt;$D39,1,0))</f>
        <v>0</v>
      </c>
      <c r="CQ39" s="1038">
        <f>IF(AND($E39&gt;0,OR(AQ39="")),1,IF(AQ39&gt;$E39,1,0))</f>
        <v>0</v>
      </c>
      <c r="CR39" s="1038">
        <f>IF(AND($D39&gt;0,OR(AR39="")),1,IF(AR39&gt;$D39,1,0))</f>
        <v>0</v>
      </c>
      <c r="CS39" s="1038">
        <f>IF(AND($E39&gt;0,OR(AS39="")),1,IF(AS39&gt;$E39,1,0))</f>
        <v>0</v>
      </c>
      <c r="CT39" s="1038">
        <f t="shared" ref="CT39:CV40" si="61">IF(AND($C39&gt;0,OR(AT39="")),1,IF(AT39&gt;$C39,1,0))</f>
        <v>0</v>
      </c>
      <c r="CU39" s="1038">
        <f t="shared" si="61"/>
        <v>0</v>
      </c>
      <c r="CV39" s="1038">
        <f t="shared" si="61"/>
        <v>0</v>
      </c>
      <c r="CW39" s="1038">
        <f t="shared" si="42"/>
        <v>0</v>
      </c>
      <c r="CX39" s="103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087"/>
      <c r="B40" s="1274" t="s">
        <v>669</v>
      </c>
      <c r="C40" s="705">
        <f t="shared" si="29"/>
        <v>21</v>
      </c>
      <c r="D40" s="1058">
        <f t="shared" si="58"/>
        <v>3</v>
      </c>
      <c r="E40" s="581">
        <f>SUM(G40+I40+K40+M40+O40+Q40+S40+U40+W40+Y40+AA40+AC40+AE40+AG40+AI40+AK40+AM40)</f>
        <v>18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1</v>
      </c>
      <c r="N40" s="397">
        <v>1</v>
      </c>
      <c r="O40" s="463">
        <v>2</v>
      </c>
      <c r="P40" s="397">
        <v>1</v>
      </c>
      <c r="Q40" s="463">
        <v>5</v>
      </c>
      <c r="R40" s="397">
        <v>0</v>
      </c>
      <c r="S40" s="463">
        <v>3</v>
      </c>
      <c r="T40" s="397">
        <v>0</v>
      </c>
      <c r="U40" s="463">
        <v>2</v>
      </c>
      <c r="V40" s="397">
        <v>1</v>
      </c>
      <c r="W40" s="463">
        <v>1</v>
      </c>
      <c r="X40" s="397">
        <v>0</v>
      </c>
      <c r="Y40" s="463">
        <v>3</v>
      </c>
      <c r="Z40" s="397">
        <v>0</v>
      </c>
      <c r="AA40" s="463">
        <v>0</v>
      </c>
      <c r="AB40" s="397">
        <v>0</v>
      </c>
      <c r="AC40" s="463">
        <v>0</v>
      </c>
      <c r="AD40" s="397">
        <v>0</v>
      </c>
      <c r="AE40" s="463">
        <v>0</v>
      </c>
      <c r="AF40" s="397">
        <v>0</v>
      </c>
      <c r="AG40" s="463">
        <v>0</v>
      </c>
      <c r="AH40" s="397">
        <v>0</v>
      </c>
      <c r="AI40" s="463">
        <v>1</v>
      </c>
      <c r="AJ40" s="397">
        <v>0</v>
      </c>
      <c r="AK40" s="463">
        <v>0</v>
      </c>
      <c r="AL40" s="397">
        <v>0</v>
      </c>
      <c r="AM40" s="405">
        <v>0</v>
      </c>
      <c r="AN40" s="547">
        <v>0</v>
      </c>
      <c r="AO40" s="648">
        <v>3</v>
      </c>
      <c r="AP40" s="463">
        <v>1</v>
      </c>
      <c r="AQ40" s="531">
        <v>1</v>
      </c>
      <c r="AR40" s="463">
        <v>0</v>
      </c>
      <c r="AS40" s="398">
        <v>1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4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8">
        <f t="shared" si="39"/>
        <v>0</v>
      </c>
      <c r="CO40" s="1038">
        <f t="shared" si="60"/>
        <v>0</v>
      </c>
      <c r="CP40" s="1038">
        <f>IF(AND($D40&gt;0,OR(AP40="")),1,IF(AP40&gt;$D40,1,0))</f>
        <v>0</v>
      </c>
      <c r="CQ40" s="1038">
        <f>IF(AND($E40&gt;0,OR(AQ40="")),1,IF(AQ40&gt;$E40,1,0))</f>
        <v>0</v>
      </c>
      <c r="CR40" s="1038">
        <f>IF(AND($D40&gt;0,OR(AR40="")),1,IF(AR40&gt;$D40,1,0))</f>
        <v>0</v>
      </c>
      <c r="CS40" s="1038">
        <f>IF(AND($E40&gt;0,OR(AS40="")),1,IF(AS40&gt;$E40,1,0))</f>
        <v>0</v>
      </c>
      <c r="CT40" s="1038">
        <f t="shared" si="61"/>
        <v>0</v>
      </c>
      <c r="CU40" s="1038">
        <f t="shared" si="61"/>
        <v>0</v>
      </c>
      <c r="CV40" s="1038">
        <f t="shared" si="61"/>
        <v>0</v>
      </c>
      <c r="CW40" s="1038">
        <f t="shared" si="42"/>
        <v>0</v>
      </c>
      <c r="CX40" s="103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087"/>
      <c r="B41" s="1274" t="s">
        <v>670</v>
      </c>
      <c r="C41" s="706">
        <f t="shared" si="29"/>
        <v>5</v>
      </c>
      <c r="D41" s="1059">
        <f>SUM(F41+H41+J41+L41+N41+P41+R41+T41+V41+X41+Z41+AB41+AD41+AF41+AH41+AJ41+AL41)</f>
        <v>1</v>
      </c>
      <c r="E41" s="582">
        <f t="shared" si="58"/>
        <v>4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2</v>
      </c>
      <c r="N41" s="397">
        <v>0</v>
      </c>
      <c r="O41" s="463">
        <v>2</v>
      </c>
      <c r="P41" s="397">
        <v>0</v>
      </c>
      <c r="Q41" s="463">
        <v>0</v>
      </c>
      <c r="R41" s="397">
        <v>0</v>
      </c>
      <c r="S41" s="463">
        <v>0</v>
      </c>
      <c r="T41" s="397">
        <v>1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2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1</v>
      </c>
      <c r="AX41" s="398">
        <v>0</v>
      </c>
      <c r="AY41" s="104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8">
        <f t="shared" si="39"/>
        <v>0</v>
      </c>
      <c r="CO41" s="1038">
        <f t="shared" si="60"/>
        <v>0</v>
      </c>
      <c r="CP41" s="1038">
        <f t="shared" ref="CP41:CP58" si="73">IF(AND($D41&gt;0,OR(AP41="")),1,IF(AP41&gt;$D41,1,0))</f>
        <v>0</v>
      </c>
      <c r="CQ41" s="1038">
        <f t="shared" ref="CQ41:CQ58" si="74">IF(AND($E41&gt;0,OR(AQ41="")),1,IF(AQ41&gt;$E41,1,0))</f>
        <v>0</v>
      </c>
      <c r="CR41" s="1038">
        <f t="shared" ref="CR41:CR58" si="75">IF(AND($D41&gt;0,OR(AR41="")),1,IF(AR41&gt;$D41,1,0))</f>
        <v>0</v>
      </c>
      <c r="CS41" s="1038">
        <f t="shared" ref="CS41:CS58" si="76">IF(AND($E41&gt;0,OR(AS41="")),1,IF(AS41&gt;$E41,1,0))</f>
        <v>0</v>
      </c>
      <c r="CT41" s="1038">
        <f t="shared" ref="CT41:CT58" si="77">IF(AND($C41&gt;0,OR(AT41="")),1,IF(AT41&gt;$C41,1,0))</f>
        <v>0</v>
      </c>
      <c r="CU41" s="1038">
        <f t="shared" ref="CU41:CU58" si="78">IF(AND($C41&gt;0,OR(AU41="")),1,IF(AU41&gt;$C41,1,0))</f>
        <v>0</v>
      </c>
      <c r="CV41" s="1038">
        <f t="shared" ref="CV41:CV58" si="79">IF(AND($C41&gt;0,OR(AV41="")),1,IF(AV41&gt;$C41,1,0))</f>
        <v>0</v>
      </c>
      <c r="CW41" s="1038">
        <f t="shared" si="42"/>
        <v>0</v>
      </c>
      <c r="CX41" s="103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087"/>
      <c r="B42" s="1274" t="s">
        <v>671</v>
      </c>
      <c r="C42" s="705">
        <f t="shared" si="29"/>
        <v>64</v>
      </c>
      <c r="D42" s="1058">
        <f t="shared" si="58"/>
        <v>18</v>
      </c>
      <c r="E42" s="581">
        <f t="shared" si="58"/>
        <v>46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1</v>
      </c>
      <c r="M42" s="398">
        <v>4</v>
      </c>
      <c r="N42" s="397">
        <v>4</v>
      </c>
      <c r="O42" s="463">
        <v>1</v>
      </c>
      <c r="P42" s="397">
        <v>3</v>
      </c>
      <c r="Q42" s="463">
        <v>8</v>
      </c>
      <c r="R42" s="397">
        <v>1</v>
      </c>
      <c r="S42" s="463">
        <v>5</v>
      </c>
      <c r="T42" s="397">
        <v>1</v>
      </c>
      <c r="U42" s="463">
        <v>7</v>
      </c>
      <c r="V42" s="397">
        <v>1</v>
      </c>
      <c r="W42" s="463">
        <v>3</v>
      </c>
      <c r="X42" s="397">
        <v>2</v>
      </c>
      <c r="Y42" s="463">
        <v>0</v>
      </c>
      <c r="Z42" s="397">
        <v>0</v>
      </c>
      <c r="AA42" s="463">
        <v>4</v>
      </c>
      <c r="AB42" s="397">
        <v>2</v>
      </c>
      <c r="AC42" s="463">
        <v>4</v>
      </c>
      <c r="AD42" s="397">
        <v>1</v>
      </c>
      <c r="AE42" s="463">
        <v>6</v>
      </c>
      <c r="AF42" s="397">
        <v>0</v>
      </c>
      <c r="AG42" s="463">
        <v>2</v>
      </c>
      <c r="AH42" s="397">
        <v>1</v>
      </c>
      <c r="AI42" s="463">
        <v>0</v>
      </c>
      <c r="AJ42" s="397">
        <v>1</v>
      </c>
      <c r="AK42" s="463">
        <v>0</v>
      </c>
      <c r="AL42" s="397">
        <v>0</v>
      </c>
      <c r="AM42" s="405">
        <v>2</v>
      </c>
      <c r="AN42" s="547">
        <v>0</v>
      </c>
      <c r="AO42" s="648">
        <v>2</v>
      </c>
      <c r="AP42" s="463">
        <v>0</v>
      </c>
      <c r="AQ42" s="531">
        <v>8</v>
      </c>
      <c r="AR42" s="463">
        <v>1</v>
      </c>
      <c r="AS42" s="398">
        <v>0</v>
      </c>
      <c r="AT42" s="531">
        <v>0</v>
      </c>
      <c r="AU42" s="531">
        <v>2</v>
      </c>
      <c r="AV42" s="398">
        <v>0</v>
      </c>
      <c r="AW42" s="398">
        <v>0</v>
      </c>
      <c r="AX42" s="398">
        <v>0</v>
      </c>
      <c r="AY42" s="104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8">
        <f t="shared" si="39"/>
        <v>0</v>
      </c>
      <c r="CO42" s="1038">
        <f t="shared" si="60"/>
        <v>0</v>
      </c>
      <c r="CP42" s="1038">
        <f t="shared" si="73"/>
        <v>0</v>
      </c>
      <c r="CQ42" s="1038">
        <f t="shared" si="74"/>
        <v>0</v>
      </c>
      <c r="CR42" s="1038">
        <f t="shared" si="75"/>
        <v>0</v>
      </c>
      <c r="CS42" s="1038">
        <f t="shared" si="76"/>
        <v>0</v>
      </c>
      <c r="CT42" s="1038">
        <f t="shared" si="77"/>
        <v>0</v>
      </c>
      <c r="CU42" s="1038">
        <f t="shared" si="78"/>
        <v>0</v>
      </c>
      <c r="CV42" s="1038">
        <f t="shared" si="79"/>
        <v>0</v>
      </c>
      <c r="CW42" s="1038">
        <f t="shared" si="42"/>
        <v>0</v>
      </c>
      <c r="CX42" s="103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088"/>
      <c r="B43" s="1273" t="s">
        <v>672</v>
      </c>
      <c r="C43" s="1315">
        <f t="shared" si="29"/>
        <v>143</v>
      </c>
      <c r="D43" s="1060">
        <f t="shared" si="58"/>
        <v>40</v>
      </c>
      <c r="E43" s="583">
        <f t="shared" si="58"/>
        <v>103</v>
      </c>
      <c r="F43" s="397">
        <v>0</v>
      </c>
      <c r="G43" s="398">
        <v>0</v>
      </c>
      <c r="H43" s="397">
        <v>3</v>
      </c>
      <c r="I43" s="398">
        <v>2</v>
      </c>
      <c r="J43" s="397">
        <v>6</v>
      </c>
      <c r="K43" s="398">
        <v>10</v>
      </c>
      <c r="L43" s="397">
        <v>7</v>
      </c>
      <c r="M43" s="398">
        <v>11</v>
      </c>
      <c r="N43" s="402">
        <v>3</v>
      </c>
      <c r="O43" s="463">
        <v>10</v>
      </c>
      <c r="P43" s="397">
        <v>2</v>
      </c>
      <c r="Q43" s="463">
        <v>8</v>
      </c>
      <c r="R43" s="397">
        <v>3</v>
      </c>
      <c r="S43" s="463">
        <v>7</v>
      </c>
      <c r="T43" s="397">
        <v>3</v>
      </c>
      <c r="U43" s="463">
        <v>6</v>
      </c>
      <c r="V43" s="397">
        <v>1</v>
      </c>
      <c r="W43" s="463">
        <v>8</v>
      </c>
      <c r="X43" s="397">
        <v>3</v>
      </c>
      <c r="Y43" s="463">
        <v>4</v>
      </c>
      <c r="Z43" s="397">
        <v>4</v>
      </c>
      <c r="AA43" s="463">
        <v>8</v>
      </c>
      <c r="AB43" s="397">
        <v>5</v>
      </c>
      <c r="AC43" s="463">
        <v>10</v>
      </c>
      <c r="AD43" s="397">
        <v>0</v>
      </c>
      <c r="AE43" s="463">
        <v>4</v>
      </c>
      <c r="AF43" s="397">
        <v>0</v>
      </c>
      <c r="AG43" s="463">
        <v>4</v>
      </c>
      <c r="AH43" s="397">
        <v>0</v>
      </c>
      <c r="AI43" s="463">
        <v>5</v>
      </c>
      <c r="AJ43" s="397">
        <v>0</v>
      </c>
      <c r="AK43" s="463">
        <v>2</v>
      </c>
      <c r="AL43" s="397">
        <v>0</v>
      </c>
      <c r="AM43" s="429">
        <v>4</v>
      </c>
      <c r="AN43" s="659">
        <v>0</v>
      </c>
      <c r="AO43" s="650">
        <v>5</v>
      </c>
      <c r="AP43" s="462">
        <v>8</v>
      </c>
      <c r="AQ43" s="403">
        <v>16</v>
      </c>
      <c r="AR43" s="462">
        <v>0</v>
      </c>
      <c r="AS43" s="403">
        <v>2</v>
      </c>
      <c r="AT43" s="440">
        <v>2</v>
      </c>
      <c r="AU43" s="440">
        <v>3</v>
      </c>
      <c r="AV43" s="403">
        <v>0</v>
      </c>
      <c r="AW43" s="403">
        <v>0</v>
      </c>
      <c r="AX43" s="403">
        <v>0</v>
      </c>
      <c r="AY43" s="104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8">
        <f t="shared" si="39"/>
        <v>0</v>
      </c>
      <c r="CO43" s="1038">
        <f t="shared" si="60"/>
        <v>0</v>
      </c>
      <c r="CP43" s="1038">
        <f t="shared" si="73"/>
        <v>0</v>
      </c>
      <c r="CQ43" s="1038">
        <f t="shared" si="74"/>
        <v>0</v>
      </c>
      <c r="CR43" s="1038">
        <f t="shared" si="75"/>
        <v>0</v>
      </c>
      <c r="CS43" s="1038">
        <f t="shared" si="76"/>
        <v>0</v>
      </c>
      <c r="CT43" s="1038">
        <f t="shared" si="77"/>
        <v>0</v>
      </c>
      <c r="CU43" s="1038">
        <f t="shared" si="78"/>
        <v>0</v>
      </c>
      <c r="CV43" s="1038">
        <f t="shared" si="79"/>
        <v>0</v>
      </c>
      <c r="CW43" s="1038">
        <f t="shared" si="42"/>
        <v>0</v>
      </c>
      <c r="CX43" s="103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086" t="s">
        <v>673</v>
      </c>
      <c r="B44" s="1270" t="s">
        <v>286</v>
      </c>
      <c r="C44" s="1136">
        <f t="shared" si="29"/>
        <v>1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1</v>
      </c>
      <c r="F44" s="1030"/>
      <c r="G44" s="1031"/>
      <c r="H44" s="1030"/>
      <c r="I44" s="1031"/>
      <c r="J44" s="1030"/>
      <c r="K44" s="1031"/>
      <c r="L44" s="1030"/>
      <c r="M44" s="1031"/>
      <c r="N44" s="1030"/>
      <c r="O44" s="1031"/>
      <c r="P44" s="1030"/>
      <c r="Q44" s="1031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0</v>
      </c>
      <c r="AJ44" s="393">
        <v>0</v>
      </c>
      <c r="AK44" s="394">
        <v>1</v>
      </c>
      <c r="AL44" s="393">
        <v>0</v>
      </c>
      <c r="AM44" s="404">
        <v>0</v>
      </c>
      <c r="AN44" s="856"/>
      <c r="AO44" s="857"/>
      <c r="AP44" s="393">
        <v>0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7" t="str">
        <f t="shared" si="3"/>
        <v/>
      </c>
      <c r="AZ44" s="112"/>
      <c r="BA44" s="112"/>
      <c r="CA44" s="1077"/>
      <c r="CB44" s="107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7"/>
      <c r="CH44" s="107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7"/>
      <c r="CO44" s="1077"/>
      <c r="CP44" s="1038">
        <f t="shared" si="73"/>
        <v>0</v>
      </c>
      <c r="CQ44" s="1038">
        <f t="shared" si="74"/>
        <v>0</v>
      </c>
      <c r="CR44" s="1038">
        <f t="shared" si="75"/>
        <v>0</v>
      </c>
      <c r="CS44" s="1038">
        <f t="shared" si="76"/>
        <v>0</v>
      </c>
      <c r="CT44" s="1077"/>
      <c r="CU44" s="1077"/>
      <c r="CV44" s="1038">
        <f t="shared" si="79"/>
        <v>0</v>
      </c>
      <c r="CW44" s="1038">
        <f t="shared" si="42"/>
        <v>0</v>
      </c>
      <c r="CX44" s="103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087"/>
      <c r="B45" s="1274" t="s">
        <v>287</v>
      </c>
      <c r="C45" s="1133">
        <f t="shared" si="29"/>
        <v>6</v>
      </c>
      <c r="D45" s="386">
        <f t="shared" si="80"/>
        <v>4</v>
      </c>
      <c r="E45" s="529">
        <f t="shared" si="81"/>
        <v>2</v>
      </c>
      <c r="F45" s="1032"/>
      <c r="G45" s="1033"/>
      <c r="H45" s="1032"/>
      <c r="I45" s="1033"/>
      <c r="J45" s="1032"/>
      <c r="K45" s="1033"/>
      <c r="L45" s="1032"/>
      <c r="M45" s="1033"/>
      <c r="N45" s="1032"/>
      <c r="O45" s="1033"/>
      <c r="P45" s="1032"/>
      <c r="Q45" s="1033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1</v>
      </c>
      <c r="AC45" s="416">
        <v>0</v>
      </c>
      <c r="AD45" s="415">
        <v>0</v>
      </c>
      <c r="AE45" s="416">
        <v>1</v>
      </c>
      <c r="AF45" s="415">
        <v>0</v>
      </c>
      <c r="AG45" s="416">
        <v>1</v>
      </c>
      <c r="AH45" s="415">
        <v>1</v>
      </c>
      <c r="AI45" s="416">
        <v>0</v>
      </c>
      <c r="AJ45" s="415">
        <v>0</v>
      </c>
      <c r="AK45" s="416">
        <v>0</v>
      </c>
      <c r="AL45" s="415">
        <v>2</v>
      </c>
      <c r="AM45" s="417">
        <v>0</v>
      </c>
      <c r="AN45" s="858"/>
      <c r="AO45" s="850"/>
      <c r="AP45" s="397">
        <v>2</v>
      </c>
      <c r="AQ45" s="531">
        <v>1</v>
      </c>
      <c r="AR45" s="1027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7" t="str">
        <f t="shared" si="3"/>
        <v/>
      </c>
      <c r="AZ45" s="112"/>
      <c r="BA45" s="112"/>
      <c r="CA45" s="1077"/>
      <c r="CB45" s="107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7"/>
      <c r="CH45" s="107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7"/>
      <c r="CO45" s="1077"/>
      <c r="CP45" s="1038">
        <f t="shared" si="73"/>
        <v>0</v>
      </c>
      <c r="CQ45" s="1038">
        <f t="shared" si="74"/>
        <v>0</v>
      </c>
      <c r="CR45" s="1038">
        <f t="shared" si="75"/>
        <v>0</v>
      </c>
      <c r="CS45" s="1038">
        <f t="shared" si="76"/>
        <v>0</v>
      </c>
      <c r="CT45" s="1077"/>
      <c r="CU45" s="1077"/>
      <c r="CV45" s="1038">
        <f t="shared" si="79"/>
        <v>0</v>
      </c>
      <c r="CW45" s="1038">
        <f t="shared" si="42"/>
        <v>0</v>
      </c>
      <c r="CX45" s="103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088"/>
      <c r="B46" s="1273" t="s">
        <v>674</v>
      </c>
      <c r="C46" s="1135">
        <f t="shared" si="29"/>
        <v>1</v>
      </c>
      <c r="D46" s="538">
        <f t="shared" si="80"/>
        <v>0</v>
      </c>
      <c r="E46" s="539">
        <f t="shared" si="81"/>
        <v>1</v>
      </c>
      <c r="F46" s="1034"/>
      <c r="G46" s="1035"/>
      <c r="H46" s="1034"/>
      <c r="I46" s="1035"/>
      <c r="J46" s="1034"/>
      <c r="K46" s="1035"/>
      <c r="L46" s="1034"/>
      <c r="M46" s="1035"/>
      <c r="N46" s="1034"/>
      <c r="O46" s="1035"/>
      <c r="P46" s="1034"/>
      <c r="Q46" s="1035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1</v>
      </c>
      <c r="AN46" s="859"/>
      <c r="AO46" s="860"/>
      <c r="AP46" s="402">
        <v>0</v>
      </c>
      <c r="AQ46" s="440">
        <v>0</v>
      </c>
      <c r="AR46" s="1028">
        <v>0</v>
      </c>
      <c r="AS46" s="403">
        <v>0</v>
      </c>
      <c r="AT46" s="567"/>
      <c r="AU46" s="567"/>
      <c r="AV46" s="411">
        <v>0</v>
      </c>
      <c r="AW46" s="411">
        <v>0</v>
      </c>
      <c r="AX46" s="662">
        <v>0</v>
      </c>
      <c r="AY46" s="1047" t="str">
        <f t="shared" si="3"/>
        <v/>
      </c>
      <c r="AZ46" s="112"/>
      <c r="BA46" s="112"/>
      <c r="CA46" s="1077"/>
      <c r="CB46" s="107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7"/>
      <c r="CH46" s="107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7"/>
      <c r="CO46" s="1077"/>
      <c r="CP46" s="1038">
        <f t="shared" si="73"/>
        <v>0</v>
      </c>
      <c r="CQ46" s="1038">
        <f t="shared" si="74"/>
        <v>0</v>
      </c>
      <c r="CR46" s="1038">
        <f t="shared" si="75"/>
        <v>0</v>
      </c>
      <c r="CS46" s="1038">
        <f t="shared" si="76"/>
        <v>0</v>
      </c>
      <c r="CT46" s="1077"/>
      <c r="CU46" s="1077"/>
      <c r="CV46" s="1038">
        <f t="shared" si="79"/>
        <v>0</v>
      </c>
      <c r="CW46" s="1038">
        <f t="shared" si="42"/>
        <v>0</v>
      </c>
      <c r="CX46" s="103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074" t="s">
        <v>675</v>
      </c>
      <c r="B47" s="2075"/>
      <c r="C47" s="1133">
        <f t="shared" si="29"/>
        <v>1</v>
      </c>
      <c r="D47" s="386">
        <f t="shared" si="80"/>
        <v>0</v>
      </c>
      <c r="E47" s="529">
        <f t="shared" si="81"/>
        <v>1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1</v>
      </c>
      <c r="P47" s="415">
        <v>0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8">
        <f t="shared" ref="CN47:CN58" si="89">IF(AND($E47&gt;0,OR(AN47="")),1,IF(AN47&gt;$E47,1,0))</f>
        <v>0</v>
      </c>
      <c r="CO47" s="1038">
        <f t="shared" ref="CO47:CO58" si="90">IF(AND($E47&gt;0,OR(AO47="")),1,IF(AO47&gt;$E47,1,0))</f>
        <v>0</v>
      </c>
      <c r="CP47" s="1038">
        <f t="shared" si="73"/>
        <v>0</v>
      </c>
      <c r="CQ47" s="1038">
        <f t="shared" si="74"/>
        <v>0</v>
      </c>
      <c r="CR47" s="1038">
        <f t="shared" si="75"/>
        <v>0</v>
      </c>
      <c r="CS47" s="1038">
        <f t="shared" si="76"/>
        <v>0</v>
      </c>
      <c r="CT47" s="1038">
        <f t="shared" si="77"/>
        <v>0</v>
      </c>
      <c r="CU47" s="1038">
        <f t="shared" si="78"/>
        <v>0</v>
      </c>
      <c r="CV47" s="1038">
        <f t="shared" si="79"/>
        <v>0</v>
      </c>
      <c r="CW47" s="1038">
        <f t="shared" si="42"/>
        <v>0</v>
      </c>
      <c r="CX47" s="103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77" t="s">
        <v>676</v>
      </c>
      <c r="B48" s="1278"/>
      <c r="C48" s="1133">
        <f t="shared" si="29"/>
        <v>104</v>
      </c>
      <c r="D48" s="386">
        <f t="shared" si="80"/>
        <v>31</v>
      </c>
      <c r="E48" s="529">
        <f t="shared" si="81"/>
        <v>73</v>
      </c>
      <c r="F48" s="415">
        <v>0</v>
      </c>
      <c r="G48" s="416">
        <v>1</v>
      </c>
      <c r="H48" s="415">
        <v>7</v>
      </c>
      <c r="I48" s="416">
        <v>3</v>
      </c>
      <c r="J48" s="415">
        <v>4</v>
      </c>
      <c r="K48" s="416">
        <v>7</v>
      </c>
      <c r="L48" s="415">
        <v>6</v>
      </c>
      <c r="M48" s="416">
        <v>11</v>
      </c>
      <c r="N48" s="415">
        <v>0</v>
      </c>
      <c r="O48" s="416">
        <v>3</v>
      </c>
      <c r="P48" s="415">
        <v>2</v>
      </c>
      <c r="Q48" s="416">
        <v>3</v>
      </c>
      <c r="R48" s="415">
        <v>1</v>
      </c>
      <c r="S48" s="416">
        <v>11</v>
      </c>
      <c r="T48" s="415">
        <v>2</v>
      </c>
      <c r="U48" s="416">
        <v>5</v>
      </c>
      <c r="V48" s="415">
        <v>1</v>
      </c>
      <c r="W48" s="416">
        <v>5</v>
      </c>
      <c r="X48" s="415">
        <v>0</v>
      </c>
      <c r="Y48" s="416">
        <v>2</v>
      </c>
      <c r="Z48" s="415">
        <v>3</v>
      </c>
      <c r="AA48" s="416">
        <v>5</v>
      </c>
      <c r="AB48" s="415">
        <v>1</v>
      </c>
      <c r="AC48" s="416">
        <v>3</v>
      </c>
      <c r="AD48" s="415">
        <v>1</v>
      </c>
      <c r="AE48" s="416">
        <v>5</v>
      </c>
      <c r="AF48" s="415">
        <v>2</v>
      </c>
      <c r="AG48" s="416">
        <v>5</v>
      </c>
      <c r="AH48" s="415">
        <v>1</v>
      </c>
      <c r="AI48" s="416">
        <v>2</v>
      </c>
      <c r="AJ48" s="415">
        <v>0</v>
      </c>
      <c r="AK48" s="416">
        <v>2</v>
      </c>
      <c r="AL48" s="415">
        <v>0</v>
      </c>
      <c r="AM48" s="417">
        <v>0</v>
      </c>
      <c r="AN48" s="546">
        <v>1</v>
      </c>
      <c r="AO48" s="653">
        <v>6</v>
      </c>
      <c r="AP48" s="466">
        <v>3</v>
      </c>
      <c r="AQ48" s="416">
        <v>8</v>
      </c>
      <c r="AR48" s="466">
        <v>3</v>
      </c>
      <c r="AS48" s="416">
        <v>3</v>
      </c>
      <c r="AT48" s="430">
        <v>2</v>
      </c>
      <c r="AU48" s="430">
        <v>6</v>
      </c>
      <c r="AV48" s="430">
        <v>0</v>
      </c>
      <c r="AW48" s="430">
        <v>0</v>
      </c>
      <c r="AX48" s="430">
        <v>0</v>
      </c>
      <c r="AY48" s="104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8">
        <f t="shared" si="89"/>
        <v>0</v>
      </c>
      <c r="CO48" s="1038">
        <f t="shared" si="90"/>
        <v>0</v>
      </c>
      <c r="CP48" s="1038">
        <f t="shared" si="73"/>
        <v>0</v>
      </c>
      <c r="CQ48" s="1038">
        <f t="shared" si="74"/>
        <v>0</v>
      </c>
      <c r="CR48" s="1038">
        <f t="shared" si="75"/>
        <v>0</v>
      </c>
      <c r="CS48" s="1038">
        <f t="shared" si="76"/>
        <v>0</v>
      </c>
      <c r="CT48" s="1038">
        <f t="shared" si="77"/>
        <v>0</v>
      </c>
      <c r="CU48" s="1038">
        <f t="shared" si="78"/>
        <v>0</v>
      </c>
      <c r="CV48" s="1038">
        <f t="shared" si="79"/>
        <v>0</v>
      </c>
      <c r="CW48" s="1038">
        <f t="shared" si="42"/>
        <v>0</v>
      </c>
      <c r="CX48" s="103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082" t="s">
        <v>677</v>
      </c>
      <c r="B49" s="2083"/>
      <c r="C49" s="1138">
        <f t="shared" si="29"/>
        <v>15</v>
      </c>
      <c r="D49" s="396">
        <f t="shared" si="80"/>
        <v>2</v>
      </c>
      <c r="E49" s="533">
        <f t="shared" si="81"/>
        <v>13</v>
      </c>
      <c r="F49" s="397">
        <v>0</v>
      </c>
      <c r="G49" s="398">
        <v>0</v>
      </c>
      <c r="H49" s="397">
        <v>0</v>
      </c>
      <c r="I49" s="398">
        <v>0</v>
      </c>
      <c r="J49" s="397">
        <v>2</v>
      </c>
      <c r="K49" s="398">
        <v>2</v>
      </c>
      <c r="L49" s="397">
        <v>0</v>
      </c>
      <c r="M49" s="398">
        <v>3</v>
      </c>
      <c r="N49" s="397">
        <v>0</v>
      </c>
      <c r="O49" s="398">
        <v>6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2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1</v>
      </c>
      <c r="AP49" s="463">
        <v>0</v>
      </c>
      <c r="AQ49" s="398">
        <v>2</v>
      </c>
      <c r="AR49" s="463">
        <v>0</v>
      </c>
      <c r="AS49" s="398">
        <v>1</v>
      </c>
      <c r="AT49" s="531">
        <v>1</v>
      </c>
      <c r="AU49" s="531">
        <v>1</v>
      </c>
      <c r="AV49" s="531">
        <v>0</v>
      </c>
      <c r="AW49" s="531">
        <v>0</v>
      </c>
      <c r="AX49" s="531">
        <v>0</v>
      </c>
      <c r="AY49" s="104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8">
        <f t="shared" si="89"/>
        <v>0</v>
      </c>
      <c r="CO49" s="1038">
        <f t="shared" si="90"/>
        <v>0</v>
      </c>
      <c r="CP49" s="1038">
        <f t="shared" si="73"/>
        <v>0</v>
      </c>
      <c r="CQ49" s="1038">
        <f t="shared" si="74"/>
        <v>0</v>
      </c>
      <c r="CR49" s="1038">
        <f t="shared" si="75"/>
        <v>0</v>
      </c>
      <c r="CS49" s="1038">
        <f t="shared" si="76"/>
        <v>0</v>
      </c>
      <c r="CT49" s="1038">
        <f t="shared" si="77"/>
        <v>0</v>
      </c>
      <c r="CU49" s="1038">
        <f t="shared" si="78"/>
        <v>0</v>
      </c>
      <c r="CV49" s="1038">
        <f t="shared" si="79"/>
        <v>0</v>
      </c>
      <c r="CW49" s="1038">
        <f t="shared" si="42"/>
        <v>0</v>
      </c>
      <c r="CX49" s="1038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082" t="s">
        <v>678</v>
      </c>
      <c r="B50" s="2083"/>
      <c r="C50" s="1138">
        <f t="shared" si="29"/>
        <v>1</v>
      </c>
      <c r="D50" s="396">
        <f t="shared" si="80"/>
        <v>1</v>
      </c>
      <c r="E50" s="533">
        <f t="shared" si="81"/>
        <v>0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1</v>
      </c>
      <c r="M50" s="398">
        <v>0</v>
      </c>
      <c r="N50" s="397">
        <v>0</v>
      </c>
      <c r="O50" s="398">
        <v>0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1</v>
      </c>
      <c r="AQ50" s="398">
        <v>0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4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8">
        <f t="shared" si="89"/>
        <v>0</v>
      </c>
      <c r="CO50" s="1038">
        <f t="shared" si="90"/>
        <v>0</v>
      </c>
      <c r="CP50" s="1038">
        <f t="shared" si="73"/>
        <v>0</v>
      </c>
      <c r="CQ50" s="1038">
        <f t="shared" si="74"/>
        <v>0</v>
      </c>
      <c r="CR50" s="1038">
        <f t="shared" si="75"/>
        <v>0</v>
      </c>
      <c r="CS50" s="1038">
        <f t="shared" si="76"/>
        <v>0</v>
      </c>
      <c r="CT50" s="1038">
        <f t="shared" si="77"/>
        <v>0</v>
      </c>
      <c r="CU50" s="1038">
        <f t="shared" si="78"/>
        <v>0</v>
      </c>
      <c r="CV50" s="1038">
        <f t="shared" si="79"/>
        <v>0</v>
      </c>
      <c r="CW50" s="1038">
        <f t="shared" si="42"/>
        <v>0</v>
      </c>
      <c r="CX50" s="1038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084" t="s">
        <v>679</v>
      </c>
      <c r="B51" s="2085"/>
      <c r="C51" s="1134">
        <f t="shared" si="29"/>
        <v>16</v>
      </c>
      <c r="D51" s="390">
        <f t="shared" si="80"/>
        <v>2</v>
      </c>
      <c r="E51" s="530">
        <f t="shared" si="81"/>
        <v>14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0</v>
      </c>
      <c r="M51" s="403">
        <v>1</v>
      </c>
      <c r="N51" s="402">
        <v>1</v>
      </c>
      <c r="O51" s="403">
        <v>3</v>
      </c>
      <c r="P51" s="402">
        <v>0</v>
      </c>
      <c r="Q51" s="403">
        <v>0</v>
      </c>
      <c r="R51" s="402">
        <v>0</v>
      </c>
      <c r="S51" s="403">
        <v>3</v>
      </c>
      <c r="T51" s="402">
        <v>1</v>
      </c>
      <c r="U51" s="403">
        <v>1</v>
      </c>
      <c r="V51" s="402">
        <v>0</v>
      </c>
      <c r="W51" s="403">
        <v>1</v>
      </c>
      <c r="X51" s="402">
        <v>0</v>
      </c>
      <c r="Y51" s="403">
        <v>0</v>
      </c>
      <c r="Z51" s="402">
        <v>0</v>
      </c>
      <c r="AA51" s="403">
        <v>1</v>
      </c>
      <c r="AB51" s="402">
        <v>0</v>
      </c>
      <c r="AC51" s="403">
        <v>2</v>
      </c>
      <c r="AD51" s="402">
        <v>0</v>
      </c>
      <c r="AE51" s="403">
        <v>1</v>
      </c>
      <c r="AF51" s="402">
        <v>0</v>
      </c>
      <c r="AG51" s="403">
        <v>1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59">
        <v>0</v>
      </c>
      <c r="AO51" s="650">
        <v>1</v>
      </c>
      <c r="AP51" s="462">
        <v>0</v>
      </c>
      <c r="AQ51" s="403">
        <v>1</v>
      </c>
      <c r="AR51" s="462">
        <v>0</v>
      </c>
      <c r="AS51" s="403">
        <v>0</v>
      </c>
      <c r="AT51" s="440">
        <v>1</v>
      </c>
      <c r="AU51" s="440">
        <v>0</v>
      </c>
      <c r="AV51" s="440">
        <v>0</v>
      </c>
      <c r="AW51" s="440">
        <v>0</v>
      </c>
      <c r="AX51" s="440">
        <v>0</v>
      </c>
      <c r="AY51" s="104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8">
        <f t="shared" si="89"/>
        <v>0</v>
      </c>
      <c r="CO51" s="1038">
        <f t="shared" si="90"/>
        <v>0</v>
      </c>
      <c r="CP51" s="1038">
        <f t="shared" si="73"/>
        <v>0</v>
      </c>
      <c r="CQ51" s="1038">
        <f t="shared" si="74"/>
        <v>0</v>
      </c>
      <c r="CR51" s="1038">
        <f t="shared" si="75"/>
        <v>0</v>
      </c>
      <c r="CS51" s="1038">
        <f t="shared" si="76"/>
        <v>0</v>
      </c>
      <c r="CT51" s="1038">
        <f t="shared" si="77"/>
        <v>0</v>
      </c>
      <c r="CU51" s="1038">
        <f t="shared" si="78"/>
        <v>0</v>
      </c>
      <c r="CV51" s="1038">
        <f t="shared" si="79"/>
        <v>0</v>
      </c>
      <c r="CW51" s="1038">
        <f t="shared" si="42"/>
        <v>0</v>
      </c>
      <c r="CX51" s="1038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086" t="s">
        <v>680</v>
      </c>
      <c r="B52" s="1270" t="s">
        <v>681</v>
      </c>
      <c r="C52" s="1310">
        <f t="shared" ref="C52:C55" si="97">SUM(D52:E52)</f>
        <v>37</v>
      </c>
      <c r="D52" s="388">
        <f>+F52+H52+J52+L52+N52+P52+R52+T52+V52+X52+Z52+AB52+AD52+AF52+AH52+AJ52+AL52</f>
        <v>26</v>
      </c>
      <c r="E52" s="580">
        <f>+G52+I52+K52+M52+O52+Q52+S52+U52+W52+Y52+AA52+AC52+AE52+AG52+AI52+AK52+AM52</f>
        <v>11</v>
      </c>
      <c r="F52" s="448">
        <v>5</v>
      </c>
      <c r="G52" s="449">
        <v>2</v>
      </c>
      <c r="H52" s="448">
        <v>9</v>
      </c>
      <c r="I52" s="449">
        <v>2</v>
      </c>
      <c r="J52" s="448">
        <v>7</v>
      </c>
      <c r="K52" s="449">
        <v>3</v>
      </c>
      <c r="L52" s="448">
        <v>4</v>
      </c>
      <c r="M52" s="449">
        <v>1</v>
      </c>
      <c r="N52" s="448">
        <v>0</v>
      </c>
      <c r="O52" s="449">
        <v>1</v>
      </c>
      <c r="P52" s="448">
        <v>1</v>
      </c>
      <c r="Q52" s="449">
        <v>1</v>
      </c>
      <c r="R52" s="448">
        <v>0</v>
      </c>
      <c r="S52" s="449">
        <v>1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3</v>
      </c>
      <c r="AQ52" s="416">
        <v>3</v>
      </c>
      <c r="AR52" s="663">
        <v>1</v>
      </c>
      <c r="AS52" s="449">
        <v>0</v>
      </c>
      <c r="AT52" s="665">
        <v>0</v>
      </c>
      <c r="AU52" s="665">
        <v>1</v>
      </c>
      <c r="AV52" s="665">
        <v>0</v>
      </c>
      <c r="AW52" s="665">
        <v>0</v>
      </c>
      <c r="AX52" s="665">
        <v>0</v>
      </c>
      <c r="AY52" s="104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8">
        <f t="shared" si="89"/>
        <v>0</v>
      </c>
      <c r="CO52" s="1038">
        <f t="shared" si="90"/>
        <v>0</v>
      </c>
      <c r="CP52" s="1038">
        <f t="shared" si="73"/>
        <v>0</v>
      </c>
      <c r="CQ52" s="1038">
        <f t="shared" si="74"/>
        <v>0</v>
      </c>
      <c r="CR52" s="1038">
        <f t="shared" si="75"/>
        <v>0</v>
      </c>
      <c r="CS52" s="1038">
        <f t="shared" si="76"/>
        <v>0</v>
      </c>
      <c r="CT52" s="1038">
        <f t="shared" si="77"/>
        <v>0</v>
      </c>
      <c r="CU52" s="1038">
        <f t="shared" si="78"/>
        <v>0</v>
      </c>
      <c r="CV52" s="1038">
        <f t="shared" si="79"/>
        <v>0</v>
      </c>
      <c r="CW52" s="1038">
        <f t="shared" si="42"/>
        <v>0</v>
      </c>
      <c r="CX52" s="1038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087"/>
      <c r="B53" s="1274" t="s">
        <v>427</v>
      </c>
      <c r="C53" s="1137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0</v>
      </c>
      <c r="AQ53" s="398">
        <v>0</v>
      </c>
      <c r="AR53" s="656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4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8">
        <f t="shared" si="89"/>
        <v>0</v>
      </c>
      <c r="CO53" s="1038">
        <f t="shared" si="90"/>
        <v>0</v>
      </c>
      <c r="CP53" s="1038">
        <f t="shared" si="73"/>
        <v>0</v>
      </c>
      <c r="CQ53" s="1038">
        <f t="shared" si="74"/>
        <v>0</v>
      </c>
      <c r="CR53" s="1038">
        <f t="shared" si="75"/>
        <v>0</v>
      </c>
      <c r="CS53" s="1038">
        <f t="shared" si="76"/>
        <v>0</v>
      </c>
      <c r="CT53" s="1038">
        <f t="shared" si="77"/>
        <v>0</v>
      </c>
      <c r="CU53" s="1038">
        <f t="shared" si="78"/>
        <v>0</v>
      </c>
      <c r="CV53" s="1038">
        <f t="shared" si="79"/>
        <v>0</v>
      </c>
      <c r="CW53" s="1038">
        <f t="shared" si="42"/>
        <v>0</v>
      </c>
      <c r="CX53" s="1038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087"/>
      <c r="B54" s="1274" t="s">
        <v>682</v>
      </c>
      <c r="C54" s="1137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6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4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8">
        <f t="shared" si="89"/>
        <v>0</v>
      </c>
      <c r="CO54" s="1038">
        <f t="shared" si="90"/>
        <v>0</v>
      </c>
      <c r="CP54" s="1038">
        <f t="shared" si="73"/>
        <v>0</v>
      </c>
      <c r="CQ54" s="1038">
        <f t="shared" si="74"/>
        <v>0</v>
      </c>
      <c r="CR54" s="1038">
        <f t="shared" si="75"/>
        <v>0</v>
      </c>
      <c r="CS54" s="1038">
        <f t="shared" si="76"/>
        <v>0</v>
      </c>
      <c r="CT54" s="1038">
        <f t="shared" si="77"/>
        <v>0</v>
      </c>
      <c r="CU54" s="1038">
        <f t="shared" si="78"/>
        <v>0</v>
      </c>
      <c r="CV54" s="1038">
        <f t="shared" si="79"/>
        <v>0</v>
      </c>
      <c r="CW54" s="1038">
        <f t="shared" si="42"/>
        <v>0</v>
      </c>
      <c r="CX54" s="1038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087"/>
      <c r="B55" s="1274" t="s">
        <v>683</v>
      </c>
      <c r="C55" s="1137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6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4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8">
        <f t="shared" si="89"/>
        <v>0</v>
      </c>
      <c r="CO55" s="1038">
        <f t="shared" si="90"/>
        <v>0</v>
      </c>
      <c r="CP55" s="1038">
        <f t="shared" si="73"/>
        <v>0</v>
      </c>
      <c r="CQ55" s="1038">
        <f t="shared" si="74"/>
        <v>0</v>
      </c>
      <c r="CR55" s="1038">
        <f t="shared" si="75"/>
        <v>0</v>
      </c>
      <c r="CS55" s="1038">
        <f t="shared" si="76"/>
        <v>0</v>
      </c>
      <c r="CT55" s="1038">
        <f t="shared" si="77"/>
        <v>0</v>
      </c>
      <c r="CU55" s="1038">
        <f t="shared" si="78"/>
        <v>0</v>
      </c>
      <c r="CV55" s="1038">
        <f t="shared" si="79"/>
        <v>0</v>
      </c>
      <c r="CW55" s="1038">
        <f t="shared" si="42"/>
        <v>0</v>
      </c>
      <c r="CX55" s="1038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088"/>
      <c r="B56" s="1273" t="s">
        <v>684</v>
      </c>
      <c r="C56" s="1134">
        <f>SUM(D56:E56)</f>
        <v>0</v>
      </c>
      <c r="D56" s="390">
        <f t="shared" si="80"/>
        <v>0</v>
      </c>
      <c r="E56" s="530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59">
        <v>0</v>
      </c>
      <c r="AO56" s="650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8">
        <f t="shared" si="89"/>
        <v>0</v>
      </c>
      <c r="CO56" s="1038">
        <f t="shared" si="90"/>
        <v>0</v>
      </c>
      <c r="CP56" s="1038">
        <f t="shared" si="73"/>
        <v>0</v>
      </c>
      <c r="CQ56" s="1038">
        <f t="shared" si="74"/>
        <v>0</v>
      </c>
      <c r="CR56" s="1038">
        <f t="shared" si="75"/>
        <v>0</v>
      </c>
      <c r="CS56" s="1038">
        <f t="shared" si="76"/>
        <v>0</v>
      </c>
      <c r="CT56" s="1038">
        <f t="shared" si="77"/>
        <v>0</v>
      </c>
      <c r="CU56" s="1038">
        <f t="shared" si="78"/>
        <v>0</v>
      </c>
      <c r="CV56" s="1038">
        <f t="shared" si="79"/>
        <v>0</v>
      </c>
      <c r="CW56" s="1038">
        <f t="shared" si="42"/>
        <v>0</v>
      </c>
      <c r="CX56" s="1038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75" t="s">
        <v>685</v>
      </c>
      <c r="B57" s="1276"/>
      <c r="C57" s="1310">
        <f>SUM(D57:E57)</f>
        <v>3</v>
      </c>
      <c r="D57" s="388">
        <f t="shared" si="80"/>
        <v>0</v>
      </c>
      <c r="E57" s="580">
        <f t="shared" si="81"/>
        <v>3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1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2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3">
        <v>0</v>
      </c>
      <c r="AQ57" s="449">
        <v>0</v>
      </c>
      <c r="AR57" s="663">
        <v>0</v>
      </c>
      <c r="AS57" s="449">
        <v>0</v>
      </c>
      <c r="AT57" s="665">
        <v>0</v>
      </c>
      <c r="AU57" s="665">
        <v>0</v>
      </c>
      <c r="AV57" s="665">
        <v>0</v>
      </c>
      <c r="AW57" s="665">
        <v>0</v>
      </c>
      <c r="AX57" s="665">
        <v>0</v>
      </c>
      <c r="AY57" s="104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8">
        <f t="shared" si="89"/>
        <v>0</v>
      </c>
      <c r="CO57" s="1038">
        <f t="shared" si="90"/>
        <v>0</v>
      </c>
      <c r="CP57" s="1038">
        <f t="shared" si="73"/>
        <v>0</v>
      </c>
      <c r="CQ57" s="1038">
        <f t="shared" si="74"/>
        <v>0</v>
      </c>
      <c r="CR57" s="1038">
        <f t="shared" si="75"/>
        <v>0</v>
      </c>
      <c r="CS57" s="1038">
        <f t="shared" si="76"/>
        <v>0</v>
      </c>
      <c r="CT57" s="1038">
        <f t="shared" si="77"/>
        <v>0</v>
      </c>
      <c r="CU57" s="1038">
        <f t="shared" si="78"/>
        <v>0</v>
      </c>
      <c r="CV57" s="1038">
        <f t="shared" si="79"/>
        <v>0</v>
      </c>
      <c r="CW57" s="1038">
        <f t="shared" si="42"/>
        <v>0</v>
      </c>
      <c r="CX57" s="1038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090" t="s">
        <v>686</v>
      </c>
      <c r="B58" s="2091"/>
      <c r="C58" s="1134">
        <f>SUM(D58:E58)</f>
        <v>66</v>
      </c>
      <c r="D58" s="390">
        <f t="shared" si="80"/>
        <v>25</v>
      </c>
      <c r="E58" s="385">
        <f t="shared" si="81"/>
        <v>41</v>
      </c>
      <c r="F58" s="402">
        <v>0</v>
      </c>
      <c r="G58" s="403">
        <v>0</v>
      </c>
      <c r="H58" s="402">
        <v>4</v>
      </c>
      <c r="I58" s="403">
        <v>4</v>
      </c>
      <c r="J58" s="402">
        <v>6</v>
      </c>
      <c r="K58" s="403">
        <v>5</v>
      </c>
      <c r="L58" s="402">
        <v>4</v>
      </c>
      <c r="M58" s="403">
        <v>3</v>
      </c>
      <c r="N58" s="402">
        <v>0</v>
      </c>
      <c r="O58" s="403">
        <v>4</v>
      </c>
      <c r="P58" s="402">
        <v>3</v>
      </c>
      <c r="Q58" s="403">
        <v>7</v>
      </c>
      <c r="R58" s="402">
        <v>1</v>
      </c>
      <c r="S58" s="403">
        <v>2</v>
      </c>
      <c r="T58" s="402">
        <v>1</v>
      </c>
      <c r="U58" s="403">
        <v>3</v>
      </c>
      <c r="V58" s="402">
        <v>2</v>
      </c>
      <c r="W58" s="403">
        <v>4</v>
      </c>
      <c r="X58" s="402">
        <v>1</v>
      </c>
      <c r="Y58" s="403">
        <v>3</v>
      </c>
      <c r="Z58" s="402">
        <v>3</v>
      </c>
      <c r="AA58" s="403">
        <v>0</v>
      </c>
      <c r="AB58" s="402">
        <v>0</v>
      </c>
      <c r="AC58" s="403">
        <v>0</v>
      </c>
      <c r="AD58" s="402">
        <v>0</v>
      </c>
      <c r="AE58" s="403">
        <v>0</v>
      </c>
      <c r="AF58" s="402">
        <v>0</v>
      </c>
      <c r="AG58" s="403">
        <v>0</v>
      </c>
      <c r="AH58" s="402">
        <v>0</v>
      </c>
      <c r="AI58" s="403">
        <v>0</v>
      </c>
      <c r="AJ58" s="402">
        <v>0</v>
      </c>
      <c r="AK58" s="403">
        <v>3</v>
      </c>
      <c r="AL58" s="402">
        <v>0</v>
      </c>
      <c r="AM58" s="429">
        <v>3</v>
      </c>
      <c r="AN58" s="659">
        <v>0</v>
      </c>
      <c r="AO58" s="650">
        <v>2</v>
      </c>
      <c r="AP58" s="462">
        <v>9</v>
      </c>
      <c r="AQ58" s="403">
        <v>11</v>
      </c>
      <c r="AR58" s="462">
        <v>0</v>
      </c>
      <c r="AS58" s="403">
        <v>0</v>
      </c>
      <c r="AT58" s="440">
        <v>0</v>
      </c>
      <c r="AU58" s="440">
        <v>4</v>
      </c>
      <c r="AV58" s="440">
        <v>0</v>
      </c>
      <c r="AW58" s="440">
        <v>0</v>
      </c>
      <c r="AX58" s="440">
        <v>0</v>
      </c>
      <c r="AY58" s="104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8">
        <f t="shared" si="89"/>
        <v>0</v>
      </c>
      <c r="CO58" s="1038">
        <f t="shared" si="90"/>
        <v>0</v>
      </c>
      <c r="CP58" s="1038">
        <f t="shared" si="73"/>
        <v>0</v>
      </c>
      <c r="CQ58" s="1038">
        <f t="shared" si="74"/>
        <v>0</v>
      </c>
      <c r="CR58" s="1038">
        <f t="shared" si="75"/>
        <v>0</v>
      </c>
      <c r="CS58" s="1038">
        <f t="shared" si="76"/>
        <v>0</v>
      </c>
      <c r="CT58" s="1038">
        <f t="shared" si="77"/>
        <v>0</v>
      </c>
      <c r="CU58" s="1038">
        <f t="shared" si="78"/>
        <v>0</v>
      </c>
      <c r="CV58" s="1038">
        <f t="shared" si="79"/>
        <v>0</v>
      </c>
      <c r="CW58" s="1038">
        <f t="shared" si="42"/>
        <v>0</v>
      </c>
      <c r="CX58" s="1038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2" t="s">
        <v>687</v>
      </c>
      <c r="B59" s="106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089" t="s">
        <v>688</v>
      </c>
      <c r="B60" s="2089" t="s">
        <v>689</v>
      </c>
      <c r="C60" s="1937" t="s">
        <v>621</v>
      </c>
      <c r="D60" s="1937"/>
      <c r="E60" s="1937"/>
      <c r="F60" s="2123" t="s">
        <v>381</v>
      </c>
      <c r="G60" s="1937"/>
      <c r="H60" s="1937"/>
      <c r="I60" s="1937"/>
      <c r="J60" s="1937"/>
      <c r="K60" s="1937"/>
      <c r="L60" s="1937"/>
      <c r="M60" s="1937"/>
      <c r="N60" s="1937"/>
      <c r="O60" s="1937"/>
      <c r="P60" s="1937"/>
      <c r="Q60" s="1937"/>
      <c r="R60" s="1937"/>
      <c r="S60" s="1937"/>
      <c r="T60" s="1937"/>
      <c r="U60" s="1937"/>
      <c r="V60" s="1937"/>
      <c r="W60" s="1937"/>
      <c r="X60" s="1937"/>
      <c r="Y60" s="1937"/>
      <c r="Z60" s="1937"/>
      <c r="AA60" s="1937"/>
      <c r="AB60" s="1937"/>
      <c r="AC60" s="1937"/>
      <c r="AD60" s="1937"/>
      <c r="AE60" s="1937"/>
      <c r="AF60" s="1937"/>
      <c r="AG60" s="1937"/>
      <c r="AH60" s="1937"/>
      <c r="AI60" s="1937"/>
      <c r="AJ60" s="1937"/>
      <c r="AK60" s="1937"/>
      <c r="AL60" s="1937"/>
      <c r="AM60" s="193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089"/>
      <c r="B61" s="2089"/>
      <c r="C61" s="1937"/>
      <c r="D61" s="1937"/>
      <c r="E61" s="1937"/>
      <c r="F61" s="1937" t="s">
        <v>409</v>
      </c>
      <c r="G61" s="1937"/>
      <c r="H61" s="1937" t="s">
        <v>410</v>
      </c>
      <c r="I61" s="1937"/>
      <c r="J61" s="1800" t="s">
        <v>321</v>
      </c>
      <c r="K61" s="1800"/>
      <c r="L61" s="1800" t="s">
        <v>62</v>
      </c>
      <c r="M61" s="1800"/>
      <c r="N61" s="1800" t="s">
        <v>63</v>
      </c>
      <c r="O61" s="1800"/>
      <c r="P61" s="1800" t="s">
        <v>64</v>
      </c>
      <c r="Q61" s="1800"/>
      <c r="R61" s="1800" t="s">
        <v>65</v>
      </c>
      <c r="S61" s="1800"/>
      <c r="T61" s="1800" t="s">
        <v>66</v>
      </c>
      <c r="U61" s="1800"/>
      <c r="V61" s="1800" t="s">
        <v>67</v>
      </c>
      <c r="W61" s="1800"/>
      <c r="X61" s="1800" t="s">
        <v>68</v>
      </c>
      <c r="Y61" s="1800"/>
      <c r="Z61" s="1800" t="s">
        <v>69</v>
      </c>
      <c r="AA61" s="1800"/>
      <c r="AB61" s="1800" t="s">
        <v>70</v>
      </c>
      <c r="AC61" s="1800"/>
      <c r="AD61" s="1800" t="s">
        <v>71</v>
      </c>
      <c r="AE61" s="1800"/>
      <c r="AF61" s="2126" t="s">
        <v>72</v>
      </c>
      <c r="AG61" s="2126"/>
      <c r="AH61" s="2126" t="s">
        <v>411</v>
      </c>
      <c r="AI61" s="2126"/>
      <c r="AJ61" s="2126" t="s">
        <v>412</v>
      </c>
      <c r="AK61" s="2126"/>
      <c r="AL61" s="2015" t="s">
        <v>413</v>
      </c>
      <c r="AM61" s="2015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089"/>
      <c r="B62" s="2089"/>
      <c r="C62" s="1498" t="s">
        <v>230</v>
      </c>
      <c r="D62" s="1380" t="s">
        <v>91</v>
      </c>
      <c r="E62" s="984" t="s">
        <v>231</v>
      </c>
      <c r="F62" s="1212" t="s">
        <v>91</v>
      </c>
      <c r="G62" s="984" t="s">
        <v>231</v>
      </c>
      <c r="H62" s="1212" t="s">
        <v>91</v>
      </c>
      <c r="I62" s="984" t="s">
        <v>231</v>
      </c>
      <c r="J62" s="1212" t="s">
        <v>91</v>
      </c>
      <c r="K62" s="984" t="s">
        <v>231</v>
      </c>
      <c r="L62" s="1212" t="s">
        <v>91</v>
      </c>
      <c r="M62" s="984" t="s">
        <v>231</v>
      </c>
      <c r="N62" s="1212" t="s">
        <v>91</v>
      </c>
      <c r="O62" s="984" t="s">
        <v>231</v>
      </c>
      <c r="P62" s="1212" t="s">
        <v>91</v>
      </c>
      <c r="Q62" s="984" t="s">
        <v>231</v>
      </c>
      <c r="R62" s="1212" t="s">
        <v>91</v>
      </c>
      <c r="S62" s="984" t="s">
        <v>231</v>
      </c>
      <c r="T62" s="1212" t="s">
        <v>91</v>
      </c>
      <c r="U62" s="984" t="s">
        <v>231</v>
      </c>
      <c r="V62" s="1212" t="s">
        <v>91</v>
      </c>
      <c r="W62" s="984" t="s">
        <v>231</v>
      </c>
      <c r="X62" s="1212" t="s">
        <v>91</v>
      </c>
      <c r="Y62" s="984" t="s">
        <v>231</v>
      </c>
      <c r="Z62" s="1212" t="s">
        <v>91</v>
      </c>
      <c r="AA62" s="984" t="s">
        <v>231</v>
      </c>
      <c r="AB62" s="1212" t="s">
        <v>91</v>
      </c>
      <c r="AC62" s="984" t="s">
        <v>231</v>
      </c>
      <c r="AD62" s="1212" t="s">
        <v>91</v>
      </c>
      <c r="AE62" s="984" t="s">
        <v>231</v>
      </c>
      <c r="AF62" s="1212" t="s">
        <v>91</v>
      </c>
      <c r="AG62" s="984" t="s">
        <v>231</v>
      </c>
      <c r="AH62" s="1212" t="s">
        <v>91</v>
      </c>
      <c r="AI62" s="984" t="s">
        <v>231</v>
      </c>
      <c r="AJ62" s="1212" t="s">
        <v>91</v>
      </c>
      <c r="AK62" s="984" t="s">
        <v>231</v>
      </c>
      <c r="AL62" s="1212" t="s">
        <v>91</v>
      </c>
      <c r="AM62" s="984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5" t="s">
        <v>690</v>
      </c>
      <c r="B63" s="1065" t="s">
        <v>637</v>
      </c>
      <c r="C63" s="1141">
        <f>SUM(D63:E63)</f>
        <v>1</v>
      </c>
      <c r="D63" s="1139">
        <f>+F63+H63+J63+L63+N63+P63+R63+T63+V63+X63+Z63+AB63+AD63+AF63+AH63+AJ63+AL63</f>
        <v>0</v>
      </c>
      <c r="E63" s="1066">
        <f>+G63+I63+K63+M63+O63+Q63+S63+U63+W63+Y63+AA63+AC63+AE63+AG63+AI63+AK63+AM63</f>
        <v>1</v>
      </c>
      <c r="F63" s="1067">
        <v>0</v>
      </c>
      <c r="G63" s="1068">
        <v>0</v>
      </c>
      <c r="H63" s="1067">
        <v>0</v>
      </c>
      <c r="I63" s="1068">
        <v>0</v>
      </c>
      <c r="J63" s="1067">
        <v>0</v>
      </c>
      <c r="K63" s="1068">
        <v>0</v>
      </c>
      <c r="L63" s="1067">
        <v>0</v>
      </c>
      <c r="M63" s="1068">
        <v>0</v>
      </c>
      <c r="N63" s="1067">
        <v>0</v>
      </c>
      <c r="O63" s="1068">
        <v>1</v>
      </c>
      <c r="P63" s="1067">
        <v>0</v>
      </c>
      <c r="Q63" s="1068">
        <v>0</v>
      </c>
      <c r="R63" s="1067">
        <v>0</v>
      </c>
      <c r="S63" s="1068">
        <v>0</v>
      </c>
      <c r="T63" s="1067">
        <v>0</v>
      </c>
      <c r="U63" s="1068">
        <v>0</v>
      </c>
      <c r="V63" s="1067">
        <v>0</v>
      </c>
      <c r="W63" s="1068">
        <v>0</v>
      </c>
      <c r="X63" s="1067">
        <v>0</v>
      </c>
      <c r="Y63" s="1068">
        <v>0</v>
      </c>
      <c r="Z63" s="1067">
        <v>0</v>
      </c>
      <c r="AA63" s="1068">
        <v>0</v>
      </c>
      <c r="AB63" s="1067">
        <v>0</v>
      </c>
      <c r="AC63" s="1068">
        <v>0</v>
      </c>
      <c r="AD63" s="1067">
        <v>0</v>
      </c>
      <c r="AE63" s="1068">
        <v>0</v>
      </c>
      <c r="AF63" s="1067">
        <v>0</v>
      </c>
      <c r="AG63" s="1068">
        <v>0</v>
      </c>
      <c r="AH63" s="1067">
        <v>0</v>
      </c>
      <c r="AI63" s="1068">
        <v>0</v>
      </c>
      <c r="AJ63" s="1067">
        <v>0</v>
      </c>
      <c r="AK63" s="1068">
        <v>0</v>
      </c>
      <c r="AL63" s="1067">
        <v>0</v>
      </c>
      <c r="AM63" s="1069">
        <v>0</v>
      </c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70" t="s">
        <v>691</v>
      </c>
      <c r="B64" s="1070" t="s">
        <v>637</v>
      </c>
      <c r="C64" s="1142">
        <f>SUM(D64:E64)</f>
        <v>1</v>
      </c>
      <c r="D64" s="1140">
        <f>+F64+H64+J64+L64+N64+P64+R64+T64+V64+X64+Z64+AB64+AD64+AF64+AH64+AJ64+AL64</f>
        <v>0</v>
      </c>
      <c r="E64" s="1071">
        <f>+G64+I64+K64+M64+O64+Q64+S64+U64+W64+Y64+AA64+AC64+AE64+AG64+AI64+AK64+AM64</f>
        <v>1</v>
      </c>
      <c r="F64" s="1072">
        <v>0</v>
      </c>
      <c r="G64" s="1073">
        <v>0</v>
      </c>
      <c r="H64" s="1072">
        <v>0</v>
      </c>
      <c r="I64" s="1073">
        <v>0</v>
      </c>
      <c r="J64" s="1072">
        <v>0</v>
      </c>
      <c r="K64" s="1073">
        <v>0</v>
      </c>
      <c r="L64" s="1072">
        <v>0</v>
      </c>
      <c r="M64" s="1073">
        <v>0</v>
      </c>
      <c r="N64" s="1072">
        <v>0</v>
      </c>
      <c r="O64" s="1073">
        <v>1</v>
      </c>
      <c r="P64" s="1072">
        <v>0</v>
      </c>
      <c r="Q64" s="1073">
        <v>0</v>
      </c>
      <c r="R64" s="1072">
        <v>0</v>
      </c>
      <c r="S64" s="1073">
        <v>0</v>
      </c>
      <c r="T64" s="1072">
        <v>0</v>
      </c>
      <c r="U64" s="1073">
        <v>0</v>
      </c>
      <c r="V64" s="1072">
        <v>0</v>
      </c>
      <c r="W64" s="1073">
        <v>0</v>
      </c>
      <c r="X64" s="1072">
        <v>0</v>
      </c>
      <c r="Y64" s="1073">
        <v>0</v>
      </c>
      <c r="Z64" s="1072">
        <v>0</v>
      </c>
      <c r="AA64" s="1073">
        <v>0</v>
      </c>
      <c r="AB64" s="1072">
        <v>0</v>
      </c>
      <c r="AC64" s="1073">
        <v>0</v>
      </c>
      <c r="AD64" s="1072">
        <v>0</v>
      </c>
      <c r="AE64" s="1073">
        <v>0</v>
      </c>
      <c r="AF64" s="1072">
        <v>0</v>
      </c>
      <c r="AG64" s="1073">
        <v>0</v>
      </c>
      <c r="AH64" s="1072">
        <v>0</v>
      </c>
      <c r="AI64" s="1073">
        <v>0</v>
      </c>
      <c r="AJ64" s="1072">
        <v>0</v>
      </c>
      <c r="AK64" s="1073">
        <v>0</v>
      </c>
      <c r="AL64" s="1072">
        <v>0</v>
      </c>
      <c r="AM64" s="1074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61" t="s">
        <v>692</v>
      </c>
      <c r="B65" s="794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5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068" t="s">
        <v>450</v>
      </c>
      <c r="B66" s="2069"/>
      <c r="C66" s="2093" t="s">
        <v>54</v>
      </c>
      <c r="D66" s="2094"/>
      <c r="E66" s="2095"/>
      <c r="F66" s="2064" t="s">
        <v>381</v>
      </c>
      <c r="G66" s="1649"/>
      <c r="H66" s="1649"/>
      <c r="I66" s="1649"/>
      <c r="J66" s="1649"/>
      <c r="K66" s="1649"/>
      <c r="L66" s="1649"/>
      <c r="M66" s="1649"/>
      <c r="N66" s="1649"/>
      <c r="O66" s="2065"/>
      <c r="P66" s="2127" t="s">
        <v>583</v>
      </c>
      <c r="Q66" s="2128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5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070"/>
      <c r="B67" s="2071"/>
      <c r="C67" s="2096"/>
      <c r="D67" s="2097"/>
      <c r="E67" s="2098"/>
      <c r="F67" s="1937" t="s">
        <v>409</v>
      </c>
      <c r="G67" s="1937"/>
      <c r="H67" s="1937" t="s">
        <v>410</v>
      </c>
      <c r="I67" s="1937"/>
      <c r="J67" s="1800" t="s">
        <v>321</v>
      </c>
      <c r="K67" s="1800"/>
      <c r="L67" s="1800" t="s">
        <v>62</v>
      </c>
      <c r="M67" s="1800"/>
      <c r="N67" s="1800" t="s">
        <v>63</v>
      </c>
      <c r="O67" s="1800"/>
      <c r="P67" s="2129"/>
      <c r="Q67" s="2130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5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072"/>
      <c r="B68" s="2073"/>
      <c r="C68" s="1498" t="s">
        <v>494</v>
      </c>
      <c r="D68" s="1380" t="s">
        <v>91</v>
      </c>
      <c r="E68" s="984" t="s">
        <v>231</v>
      </c>
      <c r="F68" s="1212" t="s">
        <v>91</v>
      </c>
      <c r="G68" s="984" t="s">
        <v>231</v>
      </c>
      <c r="H68" s="1212" t="s">
        <v>91</v>
      </c>
      <c r="I68" s="984" t="s">
        <v>231</v>
      </c>
      <c r="J68" s="1212" t="s">
        <v>91</v>
      </c>
      <c r="K68" s="984" t="s">
        <v>231</v>
      </c>
      <c r="L68" s="1212" t="s">
        <v>91</v>
      </c>
      <c r="M68" s="984" t="s">
        <v>231</v>
      </c>
      <c r="N68" s="1212" t="s">
        <v>91</v>
      </c>
      <c r="O68" s="591" t="s">
        <v>231</v>
      </c>
      <c r="P68" s="1523" t="s">
        <v>91</v>
      </c>
      <c r="Q68" s="1522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5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99" t="s">
        <v>693</v>
      </c>
      <c r="B69" s="2100"/>
      <c r="C69" s="1386">
        <f>SUM(D69:E69)</f>
        <v>45</v>
      </c>
      <c r="D69" s="1524">
        <f>+F69+H69+J69+L69+N69</f>
        <v>14</v>
      </c>
      <c r="E69" s="1397">
        <f>+G69+I69+K69+M69+O69</f>
        <v>31</v>
      </c>
      <c r="F69" s="1223">
        <v>0</v>
      </c>
      <c r="G69" s="1525">
        <v>1</v>
      </c>
      <c r="H69" s="1223">
        <v>4</v>
      </c>
      <c r="I69" s="1525">
        <v>3</v>
      </c>
      <c r="J69" s="1223">
        <v>5</v>
      </c>
      <c r="K69" s="1525">
        <v>9</v>
      </c>
      <c r="L69" s="1223">
        <v>4</v>
      </c>
      <c r="M69" s="1525">
        <v>12</v>
      </c>
      <c r="N69" s="1223">
        <v>1</v>
      </c>
      <c r="O69" s="592">
        <v>6</v>
      </c>
      <c r="P69" s="1525">
        <v>0</v>
      </c>
      <c r="Q69" s="1196">
        <v>0</v>
      </c>
      <c r="R69" s="1047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8">
        <f>IF(AND($D69&gt;0,OR(P69="")),1,IF(P69&gt;$D69,1,0))</f>
        <v>0</v>
      </c>
      <c r="CO69" s="103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79" t="s">
        <v>694</v>
      </c>
      <c r="B70" s="109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7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101" t="s">
        <v>695</v>
      </c>
      <c r="B71" s="2102"/>
      <c r="C71" s="2102"/>
      <c r="D71" s="2102"/>
      <c r="E71" s="2102"/>
      <c r="F71" s="2102"/>
      <c r="G71" s="2102"/>
      <c r="H71" s="2102"/>
      <c r="I71" s="2102"/>
      <c r="J71" s="2102"/>
      <c r="K71" s="2102"/>
      <c r="L71" s="2102"/>
      <c r="M71" s="2102"/>
      <c r="N71" s="2102"/>
      <c r="O71" s="2102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937" t="s">
        <v>450</v>
      </c>
      <c r="B72" s="1937"/>
      <c r="C72" s="1937" t="s">
        <v>621</v>
      </c>
      <c r="D72" s="1937"/>
      <c r="E72" s="1937"/>
      <c r="F72" s="2123" t="s">
        <v>381</v>
      </c>
      <c r="G72" s="1937"/>
      <c r="H72" s="1937"/>
      <c r="I72" s="1937"/>
      <c r="J72" s="1937"/>
      <c r="K72" s="1937"/>
      <c r="L72" s="1937"/>
      <c r="M72" s="1937"/>
      <c r="N72" s="1937"/>
      <c r="O72" s="1937"/>
      <c r="P72" s="1937"/>
      <c r="Q72" s="1937"/>
      <c r="R72" s="1937"/>
      <c r="S72" s="1937"/>
      <c r="T72" s="1937"/>
      <c r="U72" s="1937"/>
      <c r="V72" s="1937"/>
      <c r="W72" s="1937"/>
      <c r="X72" s="1937"/>
      <c r="Y72" s="1937"/>
      <c r="Z72" s="1937"/>
      <c r="AA72" s="1937"/>
      <c r="AB72" s="1937"/>
      <c r="AC72" s="1937"/>
      <c r="AD72" s="1937"/>
      <c r="AE72" s="1937"/>
      <c r="AF72" s="1937"/>
      <c r="AG72" s="1937"/>
      <c r="AH72" s="1937"/>
      <c r="AI72" s="1937"/>
      <c r="AJ72" s="1937"/>
      <c r="AK72" s="1937"/>
      <c r="AL72" s="1937"/>
      <c r="AM72" s="1873"/>
      <c r="AN72" s="2140" t="s">
        <v>622</v>
      </c>
      <c r="AO72" s="2133" t="s">
        <v>623</v>
      </c>
      <c r="AP72" s="2133" t="s">
        <v>56</v>
      </c>
      <c r="AQ72" s="2133"/>
      <c r="AR72" s="2138" t="s">
        <v>57</v>
      </c>
      <c r="AS72" s="2128"/>
      <c r="AT72" s="2133" t="s">
        <v>624</v>
      </c>
      <c r="AU72" s="2133" t="s">
        <v>383</v>
      </c>
      <c r="AV72" s="2128" t="s">
        <v>625</v>
      </c>
      <c r="AW72" s="2131" t="s">
        <v>626</v>
      </c>
      <c r="AX72" s="2128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937"/>
      <c r="B73" s="1937"/>
      <c r="C73" s="1937"/>
      <c r="D73" s="1937"/>
      <c r="E73" s="1937"/>
      <c r="F73" s="1874" t="s">
        <v>409</v>
      </c>
      <c r="G73" s="1873"/>
      <c r="H73" s="1937" t="s">
        <v>410</v>
      </c>
      <c r="I73" s="1873"/>
      <c r="J73" s="1648" t="s">
        <v>321</v>
      </c>
      <c r="K73" s="1650"/>
      <c r="L73" s="1648" t="s">
        <v>62</v>
      </c>
      <c r="M73" s="1650"/>
      <c r="N73" s="1648" t="s">
        <v>63</v>
      </c>
      <c r="O73" s="1650"/>
      <c r="P73" s="1648" t="s">
        <v>64</v>
      </c>
      <c r="Q73" s="1650"/>
      <c r="R73" s="1648" t="s">
        <v>65</v>
      </c>
      <c r="S73" s="1650"/>
      <c r="T73" s="1648" t="s">
        <v>66</v>
      </c>
      <c r="U73" s="1650"/>
      <c r="V73" s="1648" t="s">
        <v>67</v>
      </c>
      <c r="W73" s="1650"/>
      <c r="X73" s="1648" t="s">
        <v>68</v>
      </c>
      <c r="Y73" s="1650"/>
      <c r="Z73" s="1648" t="s">
        <v>69</v>
      </c>
      <c r="AA73" s="1650"/>
      <c r="AB73" s="1648" t="s">
        <v>70</v>
      </c>
      <c r="AC73" s="1650"/>
      <c r="AD73" s="1648" t="s">
        <v>71</v>
      </c>
      <c r="AE73" s="1650"/>
      <c r="AF73" s="1876" t="s">
        <v>72</v>
      </c>
      <c r="AG73" s="1877"/>
      <c r="AH73" s="1876" t="s">
        <v>411</v>
      </c>
      <c r="AI73" s="1877"/>
      <c r="AJ73" s="1876" t="s">
        <v>412</v>
      </c>
      <c r="AK73" s="1877"/>
      <c r="AL73" s="2124" t="s">
        <v>413</v>
      </c>
      <c r="AM73" s="2125"/>
      <c r="AN73" s="2141"/>
      <c r="AO73" s="2134"/>
      <c r="AP73" s="2135"/>
      <c r="AQ73" s="2135"/>
      <c r="AR73" s="2139"/>
      <c r="AS73" s="2130"/>
      <c r="AT73" s="2134"/>
      <c r="AU73" s="2134"/>
      <c r="AV73" s="2137"/>
      <c r="AW73" s="2132"/>
      <c r="AX73" s="2130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92"/>
    </row>
    <row r="74" spans="1:124" s="94" customFormat="1" ht="15" customHeight="1" x14ac:dyDescent="0.15">
      <c r="A74" s="1937"/>
      <c r="B74" s="1937"/>
      <c r="C74" s="1526" t="s">
        <v>230</v>
      </c>
      <c r="D74" s="1459" t="s">
        <v>91</v>
      </c>
      <c r="E74" s="1527" t="s">
        <v>231</v>
      </c>
      <c r="F74" s="1461" t="s">
        <v>91</v>
      </c>
      <c r="G74" s="1527" t="s">
        <v>231</v>
      </c>
      <c r="H74" s="1461" t="s">
        <v>91</v>
      </c>
      <c r="I74" s="1527" t="s">
        <v>231</v>
      </c>
      <c r="J74" s="1461" t="s">
        <v>91</v>
      </c>
      <c r="K74" s="1527" t="s">
        <v>231</v>
      </c>
      <c r="L74" s="1461" t="s">
        <v>91</v>
      </c>
      <c r="M74" s="1527" t="s">
        <v>231</v>
      </c>
      <c r="N74" s="1461" t="s">
        <v>91</v>
      </c>
      <c r="O74" s="1527" t="s">
        <v>231</v>
      </c>
      <c r="P74" s="1461" t="s">
        <v>91</v>
      </c>
      <c r="Q74" s="1527" t="s">
        <v>231</v>
      </c>
      <c r="R74" s="1461" t="s">
        <v>91</v>
      </c>
      <c r="S74" s="1527" t="s">
        <v>231</v>
      </c>
      <c r="T74" s="1461" t="s">
        <v>91</v>
      </c>
      <c r="U74" s="1527" t="s">
        <v>231</v>
      </c>
      <c r="V74" s="1461" t="s">
        <v>91</v>
      </c>
      <c r="W74" s="1527" t="s">
        <v>231</v>
      </c>
      <c r="X74" s="1461" t="s">
        <v>91</v>
      </c>
      <c r="Y74" s="1527" t="s">
        <v>231</v>
      </c>
      <c r="Z74" s="1461" t="s">
        <v>91</v>
      </c>
      <c r="AA74" s="1527" t="s">
        <v>231</v>
      </c>
      <c r="AB74" s="1461" t="s">
        <v>91</v>
      </c>
      <c r="AC74" s="1527" t="s">
        <v>231</v>
      </c>
      <c r="AD74" s="1461" t="s">
        <v>91</v>
      </c>
      <c r="AE74" s="1527" t="s">
        <v>231</v>
      </c>
      <c r="AF74" s="1528" t="s">
        <v>415</v>
      </c>
      <c r="AG74" s="1529" t="s">
        <v>231</v>
      </c>
      <c r="AH74" s="1528" t="s">
        <v>415</v>
      </c>
      <c r="AI74" s="1529" t="s">
        <v>231</v>
      </c>
      <c r="AJ74" s="1528" t="s">
        <v>415</v>
      </c>
      <c r="AK74" s="1529" t="s">
        <v>231</v>
      </c>
      <c r="AL74" s="1530" t="s">
        <v>91</v>
      </c>
      <c r="AM74" s="1531" t="s">
        <v>231</v>
      </c>
      <c r="AN74" s="2141"/>
      <c r="AO74" s="2134"/>
      <c r="AP74" s="1224" t="s">
        <v>91</v>
      </c>
      <c r="AQ74" s="1522" t="s">
        <v>231</v>
      </c>
      <c r="AR74" s="1523" t="s">
        <v>91</v>
      </c>
      <c r="AS74" s="1522" t="s">
        <v>231</v>
      </c>
      <c r="AT74" s="2135"/>
      <c r="AU74" s="2135"/>
      <c r="AV74" s="2130"/>
      <c r="AW74" s="765" t="s">
        <v>634</v>
      </c>
      <c r="AX74" s="765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92"/>
    </row>
    <row r="75" spans="1:124" s="94" customFormat="1" ht="15" customHeight="1" x14ac:dyDescent="0.25">
      <c r="A75" s="2066" t="s">
        <v>696</v>
      </c>
      <c r="B75" s="2067"/>
      <c r="C75" s="1489">
        <f>SUM(D75:E75)</f>
        <v>0</v>
      </c>
      <c r="D75" s="1490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222"/>
      <c r="G75" s="527"/>
      <c r="H75" s="1222"/>
      <c r="I75" s="1029"/>
      <c r="J75" s="1222"/>
      <c r="K75" s="527"/>
      <c r="L75" s="1222"/>
      <c r="M75" s="1029"/>
      <c r="N75" s="1222"/>
      <c r="O75" s="527"/>
      <c r="P75" s="1222"/>
      <c r="Q75" s="1029"/>
      <c r="R75" s="1222"/>
      <c r="S75" s="527"/>
      <c r="T75" s="1222"/>
      <c r="U75" s="1029"/>
      <c r="V75" s="1222"/>
      <c r="W75" s="527"/>
      <c r="X75" s="1222"/>
      <c r="Y75" s="1029"/>
      <c r="Z75" s="1222"/>
      <c r="AA75" s="527"/>
      <c r="AB75" s="1222"/>
      <c r="AC75" s="1029"/>
      <c r="AD75" s="1222"/>
      <c r="AE75" s="527"/>
      <c r="AF75" s="1222"/>
      <c r="AG75" s="1029"/>
      <c r="AH75" s="1222"/>
      <c r="AI75" s="527"/>
      <c r="AJ75" s="1222"/>
      <c r="AK75" s="1029"/>
      <c r="AL75" s="1222"/>
      <c r="AM75" s="527"/>
      <c r="AN75" s="664"/>
      <c r="AO75" s="1517"/>
      <c r="AP75" s="1532"/>
      <c r="AQ75" s="1029"/>
      <c r="AR75" s="1516"/>
      <c r="AS75" s="1029"/>
      <c r="AT75" s="1029"/>
      <c r="AU75" s="1029"/>
      <c r="AV75" s="1029"/>
      <c r="AW75" s="1029"/>
      <c r="AX75" s="1029"/>
      <c r="AY75" s="104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8">
        <f>IF(AND($E75&gt;0,OR(AN75="")),1,IF(AN75&gt;$E75,1,0))</f>
        <v>0</v>
      </c>
      <c r="CO75" s="1038">
        <f>IF(AND($E75&gt;0,OR(AO75="")),1,IF(AO75&gt;$E75,1,0))</f>
        <v>0</v>
      </c>
      <c r="CP75" s="1038">
        <f>IF(AND($D75&gt;0,OR(AP75="")),1,IF(AP75&gt;$D75,1,0))</f>
        <v>0</v>
      </c>
      <c r="CQ75" s="1038">
        <f>IF(AND($E75&gt;0,OR(AQ75="")),1,IF(AQ75&gt;$E75,1,0))</f>
        <v>0</v>
      </c>
      <c r="CR75" s="1038">
        <f>IF(AND($D75&gt;0,OR(AR75="")),1,IF(AR75&gt;$D75,1,0))</f>
        <v>0</v>
      </c>
      <c r="CS75" s="1038">
        <f>IF(AND($E75&gt;0,OR(AS75="")),1,IF(AS75&gt;$E75,1,0))</f>
        <v>0</v>
      </c>
      <c r="CT75" s="1038">
        <f>IF(AND($C75&gt;0,OR(AT75="")),1,IF(AT75&gt;$C75,1,0))</f>
        <v>0</v>
      </c>
      <c r="CU75" s="1038">
        <f>IF(AND($C75&gt;0,OR(AU75="")),1,IF(AU75&gt;$C75,1,0))</f>
        <v>0</v>
      </c>
      <c r="CV75" s="1038">
        <f>IF(AND($C75&gt;0,OR(AV75="")),1,IF(AV75&gt;$C75,1,0))</f>
        <v>0</v>
      </c>
      <c r="CW75" s="1038">
        <f>IF(AND(E75&gt;0,OR(AW75="")),1,IF(AW75&gt;$E75,1,0))</f>
        <v>0</v>
      </c>
      <c r="CX75" s="103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6" t="s">
        <v>638</v>
      </c>
      <c r="B76" s="2067"/>
      <c r="C76" s="857"/>
      <c r="D76" s="881"/>
      <c r="E76" s="1144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4"/>
      <c r="AN76" s="1339"/>
      <c r="AO76" s="857"/>
      <c r="AP76" s="431"/>
      <c r="AQ76" s="433"/>
      <c r="AR76" s="881"/>
      <c r="AS76" s="432"/>
      <c r="AT76" s="432"/>
      <c r="AU76" s="432"/>
      <c r="AV76" s="432"/>
      <c r="AW76" s="432"/>
      <c r="AX76" s="432"/>
      <c r="AY76" s="1047"/>
      <c r="AZ76" s="109"/>
      <c r="BA76" s="109"/>
      <c r="BB76" s="109"/>
      <c r="CA76" s="1077"/>
      <c r="CB76" s="1077"/>
      <c r="CC76" s="1077"/>
      <c r="CD76" s="1077"/>
      <c r="CE76" s="1077"/>
      <c r="CF76" s="1077"/>
      <c r="CG76" s="1077"/>
      <c r="CH76" s="1077"/>
      <c r="CI76" s="1078"/>
      <c r="CJ76" s="1077"/>
      <c r="CK76" s="1077"/>
      <c r="CL76" s="107"/>
      <c r="CM76" s="107"/>
      <c r="CN76" s="1077"/>
      <c r="CO76" s="1077"/>
      <c r="CP76" s="1077"/>
      <c r="CQ76" s="1077"/>
      <c r="CR76" s="1077"/>
      <c r="CS76" s="1077"/>
      <c r="CT76" s="1077"/>
      <c r="CU76" s="1077"/>
      <c r="CV76" s="1077"/>
      <c r="CW76" s="1077"/>
      <c r="CX76" s="107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1" t="s">
        <v>697</v>
      </c>
      <c r="B77" s="110" t="s">
        <v>640</v>
      </c>
      <c r="C77" s="1136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8">
        <f t="shared" ref="CN77:CN89" si="123">IF(AND($E77&gt;0,OR(AN77="")),1,IF(AN77&gt;$E77,1,0))</f>
        <v>0</v>
      </c>
      <c r="CO77" s="1038">
        <f t="shared" ref="CO77:CO96" si="124">IF(AND($E77&gt;0,OR(AO77="")),1,IF(AO77&gt;$E77,1,0))</f>
        <v>0</v>
      </c>
      <c r="CP77" s="1038">
        <f t="shared" ref="CP77:CP89" si="125">IF(AND($D77&gt;0,OR(AP77="")),1,IF(AP77&gt;$D77,1,0))</f>
        <v>0</v>
      </c>
      <c r="CQ77" s="1038">
        <f t="shared" ref="CQ77:CQ96" si="126">IF(AND($E77&gt;0,OR(AQ77="")),1,IF(AQ77&gt;$E77,1,0))</f>
        <v>0</v>
      </c>
      <c r="CR77" s="1038">
        <f t="shared" ref="CR77:CR89" si="127">IF(AND($D77&gt;0,OR(AR77="")),1,IF(AR77&gt;$D77,1,0))</f>
        <v>0</v>
      </c>
      <c r="CS77" s="1038">
        <f t="shared" ref="CS77:CS96" si="128">IF(AND($E77&gt;0,OR(AS77="")),1,IF(AS77&gt;$E77,1,0))</f>
        <v>0</v>
      </c>
      <c r="CT77" s="1038">
        <f t="shared" ref="CT77:CT96" si="129">IF(AND($C77&gt;0,OR(AT77="")),1,IF(AT77&gt;$C77,1,0))</f>
        <v>0</v>
      </c>
      <c r="CU77" s="1038">
        <f t="shared" ref="CU77:CU96" si="130">IF(AND($C77&gt;0,OR(AU77="")),1,IF(AU77&gt;$C77,1,0))</f>
        <v>0</v>
      </c>
      <c r="CV77" s="1038">
        <f t="shared" ref="CV77:CV96" si="131">IF(AND($C77&gt;0,OR(AV77="")),1,IF(AV77&gt;$C77,1,0))</f>
        <v>0</v>
      </c>
      <c r="CW77" s="1038">
        <f t="shared" ref="CW77:CW120" si="132">IF(AND(E77&gt;0,OR(AW77="")),1,IF(AW77&gt;$E77,1,0))</f>
        <v>0</v>
      </c>
      <c r="CX77" s="103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62"/>
      <c r="B78" s="111" t="s">
        <v>641</v>
      </c>
      <c r="C78" s="1133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8">
        <f t="shared" si="123"/>
        <v>0</v>
      </c>
      <c r="CO78" s="1038">
        <f t="shared" si="124"/>
        <v>0</v>
      </c>
      <c r="CP78" s="1038">
        <f t="shared" si="125"/>
        <v>0</v>
      </c>
      <c r="CQ78" s="1038">
        <f t="shared" si="126"/>
        <v>0</v>
      </c>
      <c r="CR78" s="1038">
        <f t="shared" si="127"/>
        <v>0</v>
      </c>
      <c r="CS78" s="1038">
        <f t="shared" si="128"/>
        <v>0</v>
      </c>
      <c r="CT78" s="1038">
        <f t="shared" si="129"/>
        <v>0</v>
      </c>
      <c r="CU78" s="1038">
        <f t="shared" si="130"/>
        <v>0</v>
      </c>
      <c r="CV78" s="1038">
        <f t="shared" si="131"/>
        <v>0</v>
      </c>
      <c r="CW78" s="1038">
        <f t="shared" si="132"/>
        <v>0</v>
      </c>
      <c r="CX78" s="103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1" t="s">
        <v>642</v>
      </c>
      <c r="B79" s="110" t="s">
        <v>640</v>
      </c>
      <c r="C79" s="1136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8">
        <f t="shared" si="123"/>
        <v>0</v>
      </c>
      <c r="CO79" s="1038">
        <f t="shared" si="124"/>
        <v>0</v>
      </c>
      <c r="CP79" s="1038">
        <f t="shared" si="125"/>
        <v>0</v>
      </c>
      <c r="CQ79" s="1038">
        <f t="shared" si="126"/>
        <v>0</v>
      </c>
      <c r="CR79" s="1038">
        <f t="shared" si="127"/>
        <v>0</v>
      </c>
      <c r="CS79" s="1038">
        <f t="shared" si="128"/>
        <v>0</v>
      </c>
      <c r="CT79" s="1038">
        <f t="shared" si="129"/>
        <v>0</v>
      </c>
      <c r="CU79" s="1038">
        <f t="shared" si="130"/>
        <v>0</v>
      </c>
      <c r="CV79" s="1038">
        <f t="shared" si="131"/>
        <v>0</v>
      </c>
      <c r="CW79" s="1038">
        <f t="shared" si="132"/>
        <v>0</v>
      </c>
      <c r="CX79" s="103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62"/>
      <c r="B80" s="111" t="s">
        <v>641</v>
      </c>
      <c r="C80" s="1133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8">
        <f t="shared" si="123"/>
        <v>0</v>
      </c>
      <c r="CO80" s="1038">
        <f t="shared" si="124"/>
        <v>0</v>
      </c>
      <c r="CP80" s="1038">
        <f t="shared" si="125"/>
        <v>0</v>
      </c>
      <c r="CQ80" s="1038">
        <f t="shared" si="126"/>
        <v>0</v>
      </c>
      <c r="CR80" s="1038">
        <f t="shared" si="127"/>
        <v>0</v>
      </c>
      <c r="CS80" s="1038">
        <f t="shared" si="128"/>
        <v>0</v>
      </c>
      <c r="CT80" s="1038">
        <f t="shared" si="129"/>
        <v>0</v>
      </c>
      <c r="CU80" s="1038">
        <f t="shared" si="130"/>
        <v>0</v>
      </c>
      <c r="CV80" s="1038">
        <f t="shared" si="131"/>
        <v>0</v>
      </c>
      <c r="CW80" s="1038">
        <f t="shared" si="132"/>
        <v>0</v>
      </c>
      <c r="CX80" s="103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1" t="s">
        <v>698</v>
      </c>
      <c r="B81" s="110" t="s">
        <v>640</v>
      </c>
      <c r="C81" s="1136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8">
        <f t="shared" si="123"/>
        <v>0</v>
      </c>
      <c r="CO81" s="1038">
        <f t="shared" si="124"/>
        <v>0</v>
      </c>
      <c r="CP81" s="1038">
        <f t="shared" si="125"/>
        <v>0</v>
      </c>
      <c r="CQ81" s="1038">
        <f t="shared" si="126"/>
        <v>0</v>
      </c>
      <c r="CR81" s="1038">
        <f t="shared" si="127"/>
        <v>0</v>
      </c>
      <c r="CS81" s="1038">
        <f t="shared" si="128"/>
        <v>0</v>
      </c>
      <c r="CT81" s="1038">
        <f t="shared" si="129"/>
        <v>0</v>
      </c>
      <c r="CU81" s="1038">
        <f t="shared" si="130"/>
        <v>0</v>
      </c>
      <c r="CV81" s="1038">
        <f t="shared" si="131"/>
        <v>0</v>
      </c>
      <c r="CW81" s="1038">
        <f t="shared" si="132"/>
        <v>0</v>
      </c>
      <c r="CX81" s="103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62"/>
      <c r="B82" s="111" t="s">
        <v>641</v>
      </c>
      <c r="C82" s="1134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8">
        <f t="shared" si="123"/>
        <v>0</v>
      </c>
      <c r="CO82" s="1038">
        <f t="shared" si="124"/>
        <v>0</v>
      </c>
      <c r="CP82" s="1038">
        <f t="shared" si="125"/>
        <v>0</v>
      </c>
      <c r="CQ82" s="1038">
        <f t="shared" si="126"/>
        <v>0</v>
      </c>
      <c r="CR82" s="1038">
        <f t="shared" si="127"/>
        <v>0</v>
      </c>
      <c r="CS82" s="1038">
        <f t="shared" si="128"/>
        <v>0</v>
      </c>
      <c r="CT82" s="1038">
        <f t="shared" si="129"/>
        <v>0</v>
      </c>
      <c r="CU82" s="1038">
        <f t="shared" si="130"/>
        <v>0</v>
      </c>
      <c r="CV82" s="1038">
        <f t="shared" si="131"/>
        <v>0</v>
      </c>
      <c r="CW82" s="1038">
        <f t="shared" si="132"/>
        <v>0</v>
      </c>
      <c r="CX82" s="103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3" t="s">
        <v>645</v>
      </c>
      <c r="B83" s="1534"/>
      <c r="C83" s="1489">
        <f t="shared" si="137"/>
        <v>0</v>
      </c>
      <c r="D83" s="1490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2"/>
      <c r="AN83" s="1043"/>
      <c r="AO83" s="662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8">
        <f t="shared" si="123"/>
        <v>0</v>
      </c>
      <c r="CO83" s="1038">
        <f t="shared" si="124"/>
        <v>0</v>
      </c>
      <c r="CP83" s="1038">
        <f t="shared" si="125"/>
        <v>0</v>
      </c>
      <c r="CQ83" s="1038">
        <f t="shared" si="126"/>
        <v>0</v>
      </c>
      <c r="CR83" s="1038">
        <f t="shared" si="127"/>
        <v>0</v>
      </c>
      <c r="CS83" s="1038">
        <f t="shared" si="128"/>
        <v>0</v>
      </c>
      <c r="CT83" s="1038">
        <f t="shared" si="129"/>
        <v>0</v>
      </c>
      <c r="CU83" s="1038">
        <f t="shared" si="130"/>
        <v>0</v>
      </c>
      <c r="CV83" s="1038">
        <f t="shared" si="131"/>
        <v>0</v>
      </c>
      <c r="CW83" s="1038">
        <f t="shared" si="132"/>
        <v>0</v>
      </c>
      <c r="CX83" s="103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5" t="s">
        <v>646</v>
      </c>
      <c r="B84" s="728" t="s">
        <v>647</v>
      </c>
      <c r="C84" s="1133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8">
        <f t="shared" si="123"/>
        <v>0</v>
      </c>
      <c r="CO84" s="1038">
        <f t="shared" si="124"/>
        <v>0</v>
      </c>
      <c r="CP84" s="1038">
        <f t="shared" si="125"/>
        <v>0</v>
      </c>
      <c r="CQ84" s="1038">
        <f t="shared" si="126"/>
        <v>0</v>
      </c>
      <c r="CR84" s="1038">
        <f t="shared" si="127"/>
        <v>0</v>
      </c>
      <c r="CS84" s="1038">
        <f t="shared" si="128"/>
        <v>0</v>
      </c>
      <c r="CT84" s="1038">
        <f t="shared" si="129"/>
        <v>0</v>
      </c>
      <c r="CU84" s="1038">
        <f t="shared" si="130"/>
        <v>0</v>
      </c>
      <c r="CV84" s="1038">
        <f t="shared" si="131"/>
        <v>0</v>
      </c>
      <c r="CW84" s="1038">
        <f t="shared" si="132"/>
        <v>0</v>
      </c>
      <c r="CX84" s="103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6"/>
      <c r="B85" s="766" t="s">
        <v>648</v>
      </c>
      <c r="C85" s="1310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316"/>
      <c r="AP85" s="448"/>
      <c r="AQ85" s="665"/>
      <c r="AR85" s="663"/>
      <c r="AS85" s="449"/>
      <c r="AT85" s="449"/>
      <c r="AU85" s="449"/>
      <c r="AV85" s="449"/>
      <c r="AW85" s="449"/>
      <c r="AX85" s="449"/>
      <c r="AY85" s="104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8">
        <f t="shared" si="123"/>
        <v>0</v>
      </c>
      <c r="CO85" s="1038">
        <f t="shared" si="124"/>
        <v>0</v>
      </c>
      <c r="CP85" s="1038">
        <f t="shared" si="125"/>
        <v>0</v>
      </c>
      <c r="CQ85" s="1038">
        <f t="shared" si="126"/>
        <v>0</v>
      </c>
      <c r="CR85" s="1038">
        <f t="shared" si="127"/>
        <v>0</v>
      </c>
      <c r="CS85" s="1038">
        <f t="shared" si="128"/>
        <v>0</v>
      </c>
      <c r="CT85" s="1038">
        <f t="shared" si="129"/>
        <v>0</v>
      </c>
      <c r="CU85" s="1038">
        <f t="shared" si="130"/>
        <v>0</v>
      </c>
      <c r="CV85" s="1038">
        <f t="shared" si="131"/>
        <v>0</v>
      </c>
      <c r="CW85" s="1038">
        <f t="shared" si="132"/>
        <v>0</v>
      </c>
      <c r="CX85" s="103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6" t="s">
        <v>649</v>
      </c>
      <c r="B86" s="2107"/>
      <c r="C86" s="1489">
        <f t="shared" si="137"/>
        <v>0</v>
      </c>
      <c r="D86" s="1490">
        <f t="shared" si="138"/>
        <v>0</v>
      </c>
      <c r="E86" s="458">
        <f t="shared" si="139"/>
        <v>0</v>
      </c>
      <c r="F86" s="1222"/>
      <c r="G86" s="1029"/>
      <c r="H86" s="1222"/>
      <c r="I86" s="1029"/>
      <c r="J86" s="1222"/>
      <c r="K86" s="1029"/>
      <c r="L86" s="1222"/>
      <c r="M86" s="1029"/>
      <c r="N86" s="1222"/>
      <c r="O86" s="1029"/>
      <c r="P86" s="1222"/>
      <c r="Q86" s="1029"/>
      <c r="R86" s="1222"/>
      <c r="S86" s="1029"/>
      <c r="T86" s="1222"/>
      <c r="U86" s="1029"/>
      <c r="V86" s="1222"/>
      <c r="W86" s="1029"/>
      <c r="X86" s="1222"/>
      <c r="Y86" s="1029"/>
      <c r="Z86" s="1222"/>
      <c r="AA86" s="1029"/>
      <c r="AB86" s="1222"/>
      <c r="AC86" s="1029"/>
      <c r="AD86" s="1222"/>
      <c r="AE86" s="1029"/>
      <c r="AF86" s="1222"/>
      <c r="AG86" s="1029"/>
      <c r="AH86" s="1222"/>
      <c r="AI86" s="1029"/>
      <c r="AJ86" s="1222"/>
      <c r="AK86" s="1029"/>
      <c r="AL86" s="1222"/>
      <c r="AM86" s="527"/>
      <c r="AN86" s="664"/>
      <c r="AO86" s="1517"/>
      <c r="AP86" s="1222"/>
      <c r="AQ86" s="1518"/>
      <c r="AR86" s="1516"/>
      <c r="AS86" s="1029"/>
      <c r="AT86" s="1029"/>
      <c r="AU86" s="1029"/>
      <c r="AV86" s="1029"/>
      <c r="AW86" s="1029"/>
      <c r="AX86" s="1029"/>
      <c r="AY86" s="104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8">
        <f t="shared" si="123"/>
        <v>0</v>
      </c>
      <c r="CO86" s="1038">
        <f t="shared" si="124"/>
        <v>0</v>
      </c>
      <c r="CP86" s="1038">
        <f t="shared" si="125"/>
        <v>0</v>
      </c>
      <c r="CQ86" s="1038">
        <f t="shared" si="126"/>
        <v>0</v>
      </c>
      <c r="CR86" s="1038">
        <f t="shared" si="127"/>
        <v>0</v>
      </c>
      <c r="CS86" s="1038">
        <f t="shared" si="128"/>
        <v>0</v>
      </c>
      <c r="CT86" s="1038">
        <f t="shared" si="129"/>
        <v>0</v>
      </c>
      <c r="CU86" s="1038">
        <f t="shared" si="130"/>
        <v>0</v>
      </c>
      <c r="CV86" s="1038">
        <f t="shared" si="131"/>
        <v>0</v>
      </c>
      <c r="CW86" s="1038">
        <f t="shared" si="132"/>
        <v>0</v>
      </c>
      <c r="CX86" s="103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8" t="s">
        <v>699</v>
      </c>
      <c r="B87" s="110" t="s">
        <v>700</v>
      </c>
      <c r="C87" s="1133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8">
        <f t="shared" si="123"/>
        <v>0</v>
      </c>
      <c r="CO87" s="1038">
        <f t="shared" si="124"/>
        <v>0</v>
      </c>
      <c r="CP87" s="1038">
        <f t="shared" si="125"/>
        <v>0</v>
      </c>
      <c r="CQ87" s="1038">
        <f t="shared" si="126"/>
        <v>0</v>
      </c>
      <c r="CR87" s="1038">
        <f t="shared" si="127"/>
        <v>0</v>
      </c>
      <c r="CS87" s="1038">
        <f t="shared" si="128"/>
        <v>0</v>
      </c>
      <c r="CT87" s="1038">
        <f t="shared" si="129"/>
        <v>0</v>
      </c>
      <c r="CU87" s="1038">
        <f t="shared" si="130"/>
        <v>0</v>
      </c>
      <c r="CV87" s="1038">
        <f t="shared" si="131"/>
        <v>0</v>
      </c>
      <c r="CW87" s="1038">
        <f t="shared" si="132"/>
        <v>0</v>
      </c>
      <c r="CX87" s="103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8"/>
      <c r="B88" s="182" t="s">
        <v>701</v>
      </c>
      <c r="C88" s="1133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8">
        <f t="shared" si="123"/>
        <v>0</v>
      </c>
      <c r="CO88" s="1038">
        <f t="shared" si="124"/>
        <v>0</v>
      </c>
      <c r="CP88" s="1038">
        <f t="shared" si="125"/>
        <v>0</v>
      </c>
      <c r="CQ88" s="1038">
        <f t="shared" si="126"/>
        <v>0</v>
      </c>
      <c r="CR88" s="1038">
        <f t="shared" si="127"/>
        <v>0</v>
      </c>
      <c r="CS88" s="1038">
        <f t="shared" si="128"/>
        <v>0</v>
      </c>
      <c r="CT88" s="1038">
        <f t="shared" si="129"/>
        <v>0</v>
      </c>
      <c r="CU88" s="1038">
        <f t="shared" si="130"/>
        <v>0</v>
      </c>
      <c r="CV88" s="1038">
        <f t="shared" si="131"/>
        <v>0</v>
      </c>
      <c r="CW88" s="1038">
        <f t="shared" si="132"/>
        <v>0</v>
      </c>
      <c r="CX88" s="103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8"/>
      <c r="B89" s="182" t="s">
        <v>702</v>
      </c>
      <c r="C89" s="1133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8">
        <f t="shared" si="123"/>
        <v>0</v>
      </c>
      <c r="CO89" s="1038">
        <f t="shared" si="124"/>
        <v>0</v>
      </c>
      <c r="CP89" s="1038">
        <f t="shared" si="125"/>
        <v>0</v>
      </c>
      <c r="CQ89" s="1038">
        <f t="shared" si="126"/>
        <v>0</v>
      </c>
      <c r="CR89" s="1038">
        <f t="shared" si="127"/>
        <v>0</v>
      </c>
      <c r="CS89" s="1038">
        <f t="shared" si="128"/>
        <v>0</v>
      </c>
      <c r="CT89" s="1038">
        <f t="shared" si="129"/>
        <v>0</v>
      </c>
      <c r="CU89" s="1038">
        <f t="shared" si="130"/>
        <v>0</v>
      </c>
      <c r="CV89" s="1038">
        <f t="shared" si="131"/>
        <v>0</v>
      </c>
      <c r="CW89" s="1038">
        <f t="shared" si="132"/>
        <v>0</v>
      </c>
      <c r="CX89" s="103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8"/>
      <c r="B90" s="183" t="s">
        <v>654</v>
      </c>
      <c r="C90" s="1133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2"/>
      <c r="AN90" s="843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7" t="str">
        <f t="shared" si="114"/>
        <v/>
      </c>
      <c r="AZ90" s="112"/>
      <c r="BA90" s="112"/>
      <c r="BB90" s="112"/>
      <c r="CA90" s="1077"/>
      <c r="CB90" s="191" t="str">
        <f t="shared" si="116"/>
        <v/>
      </c>
      <c r="CC90" s="107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7"/>
      <c r="CL90" s="107"/>
      <c r="CM90" s="107"/>
      <c r="CN90" s="1077"/>
      <c r="CO90" s="1038">
        <f t="shared" si="124"/>
        <v>0</v>
      </c>
      <c r="CP90" s="1077"/>
      <c r="CQ90" s="1038">
        <f t="shared" si="126"/>
        <v>0</v>
      </c>
      <c r="CR90" s="1077"/>
      <c r="CS90" s="1038">
        <f t="shared" si="128"/>
        <v>0</v>
      </c>
      <c r="CT90" s="1038">
        <f t="shared" si="129"/>
        <v>0</v>
      </c>
      <c r="CU90" s="1038">
        <f t="shared" si="130"/>
        <v>0</v>
      </c>
      <c r="CV90" s="1038">
        <f t="shared" si="131"/>
        <v>0</v>
      </c>
      <c r="CW90" s="1038">
        <f t="shared" si="132"/>
        <v>0</v>
      </c>
      <c r="CX90" s="107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8"/>
      <c r="B91" s="111" t="s">
        <v>655</v>
      </c>
      <c r="C91" s="1134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6"/>
      <c r="AS91" s="407"/>
      <c r="AT91" s="407"/>
      <c r="AU91" s="407"/>
      <c r="AV91" s="407"/>
      <c r="AW91" s="407"/>
      <c r="AX91" s="407"/>
      <c r="AY91" s="104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8">
        <f t="shared" ref="CN91:CN105" si="149">IF(AND($E91&gt;0,OR(AN91="")),1,IF(AN91&gt;$E91,1,0))</f>
        <v>0</v>
      </c>
      <c r="CO91" s="1038">
        <f t="shared" si="124"/>
        <v>0</v>
      </c>
      <c r="CP91" s="1038">
        <f t="shared" ref="CP91:CP97" si="150">IF(AND($D91&gt;0,OR(AP91="")),1,IF(AP91&gt;$D91,1,0))</f>
        <v>0</v>
      </c>
      <c r="CQ91" s="1038">
        <f t="shared" si="126"/>
        <v>0</v>
      </c>
      <c r="CR91" s="1038">
        <f t="shared" ref="CR91:CR96" si="151">IF(AND($D91&gt;0,OR(AR91="")),1,IF(AR91&gt;$D91,1,0))</f>
        <v>0</v>
      </c>
      <c r="CS91" s="1038">
        <f t="shared" si="128"/>
        <v>0</v>
      </c>
      <c r="CT91" s="1038">
        <f t="shared" si="129"/>
        <v>0</v>
      </c>
      <c r="CU91" s="1038">
        <f t="shared" si="130"/>
        <v>0</v>
      </c>
      <c r="CV91" s="1038">
        <f t="shared" si="131"/>
        <v>0</v>
      </c>
      <c r="CW91" s="1038">
        <f t="shared" si="132"/>
        <v>0</v>
      </c>
      <c r="CX91" s="103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8" t="s">
        <v>703</v>
      </c>
      <c r="B92" s="792" t="s">
        <v>657</v>
      </c>
      <c r="C92" s="1136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8">
        <f t="shared" si="149"/>
        <v>0</v>
      </c>
      <c r="CO92" s="1038">
        <f t="shared" si="124"/>
        <v>0</v>
      </c>
      <c r="CP92" s="1038">
        <f t="shared" si="150"/>
        <v>0</v>
      </c>
      <c r="CQ92" s="1038">
        <f t="shared" si="126"/>
        <v>0</v>
      </c>
      <c r="CR92" s="1038">
        <f t="shared" si="151"/>
        <v>0</v>
      </c>
      <c r="CS92" s="1038">
        <f t="shared" si="128"/>
        <v>0</v>
      </c>
      <c r="CT92" s="1038">
        <f t="shared" si="129"/>
        <v>0</v>
      </c>
      <c r="CU92" s="1038">
        <f t="shared" si="130"/>
        <v>0</v>
      </c>
      <c r="CV92" s="1038">
        <f t="shared" si="131"/>
        <v>0</v>
      </c>
      <c r="CW92" s="1038">
        <f t="shared" si="132"/>
        <v>0</v>
      </c>
      <c r="CX92" s="103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8"/>
      <c r="B93" s="582" t="s">
        <v>658</v>
      </c>
      <c r="C93" s="1138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8">
        <f t="shared" si="149"/>
        <v>0</v>
      </c>
      <c r="CO93" s="1038">
        <f t="shared" si="124"/>
        <v>0</v>
      </c>
      <c r="CP93" s="1038">
        <f t="shared" si="150"/>
        <v>0</v>
      </c>
      <c r="CQ93" s="1038">
        <f t="shared" si="126"/>
        <v>0</v>
      </c>
      <c r="CR93" s="1038">
        <f t="shared" si="151"/>
        <v>0</v>
      </c>
      <c r="CS93" s="1038">
        <f t="shared" si="128"/>
        <v>0</v>
      </c>
      <c r="CT93" s="1038">
        <f t="shared" si="129"/>
        <v>0</v>
      </c>
      <c r="CU93" s="1038">
        <f t="shared" si="130"/>
        <v>0</v>
      </c>
      <c r="CV93" s="1038">
        <f t="shared" si="131"/>
        <v>0</v>
      </c>
      <c r="CW93" s="1038">
        <f t="shared" si="132"/>
        <v>0</v>
      </c>
      <c r="CX93" s="103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8"/>
      <c r="B94" s="793" t="s">
        <v>659</v>
      </c>
      <c r="C94" s="1137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6"/>
      <c r="AS94" s="407"/>
      <c r="AT94" s="407"/>
      <c r="AU94" s="407"/>
      <c r="AV94" s="407"/>
      <c r="AW94" s="407"/>
      <c r="AX94" s="407"/>
      <c r="AY94" s="104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8">
        <f t="shared" si="149"/>
        <v>0</v>
      </c>
      <c r="CO94" s="1038">
        <f t="shared" si="124"/>
        <v>0</v>
      </c>
      <c r="CP94" s="1038">
        <f t="shared" si="150"/>
        <v>0</v>
      </c>
      <c r="CQ94" s="1038">
        <f t="shared" si="126"/>
        <v>0</v>
      </c>
      <c r="CR94" s="1038">
        <f t="shared" si="151"/>
        <v>0</v>
      </c>
      <c r="CS94" s="1038">
        <f t="shared" si="128"/>
        <v>0</v>
      </c>
      <c r="CT94" s="1038">
        <f t="shared" si="129"/>
        <v>0</v>
      </c>
      <c r="CU94" s="1038">
        <f t="shared" si="130"/>
        <v>0</v>
      </c>
      <c r="CV94" s="1038">
        <f t="shared" si="131"/>
        <v>0</v>
      </c>
      <c r="CW94" s="1038">
        <f t="shared" si="132"/>
        <v>0</v>
      </c>
      <c r="CX94" s="103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8"/>
      <c r="B95" s="793" t="s">
        <v>660</v>
      </c>
      <c r="C95" s="1137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6"/>
      <c r="AS95" s="407"/>
      <c r="AT95" s="407"/>
      <c r="AU95" s="407"/>
      <c r="AV95" s="407"/>
      <c r="AW95" s="407"/>
      <c r="AX95" s="407"/>
      <c r="AY95" s="104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8">
        <f t="shared" si="149"/>
        <v>0</v>
      </c>
      <c r="CO95" s="1038">
        <f t="shared" si="124"/>
        <v>0</v>
      </c>
      <c r="CP95" s="1038">
        <f t="shared" si="150"/>
        <v>0</v>
      </c>
      <c r="CQ95" s="1038">
        <f t="shared" si="126"/>
        <v>0</v>
      </c>
      <c r="CR95" s="1038">
        <f t="shared" si="151"/>
        <v>0</v>
      </c>
      <c r="CS95" s="1038">
        <f t="shared" si="128"/>
        <v>0</v>
      </c>
      <c r="CT95" s="1038">
        <f t="shared" si="129"/>
        <v>0</v>
      </c>
      <c r="CU95" s="1038">
        <f t="shared" si="130"/>
        <v>0</v>
      </c>
      <c r="CV95" s="1038">
        <f t="shared" si="131"/>
        <v>0</v>
      </c>
      <c r="CW95" s="1038">
        <f t="shared" si="132"/>
        <v>0</v>
      </c>
      <c r="CX95" s="103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8"/>
      <c r="B96" s="589" t="s">
        <v>661</v>
      </c>
      <c r="C96" s="1137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8">
        <f t="shared" si="149"/>
        <v>0</v>
      </c>
      <c r="CO96" s="1038">
        <f t="shared" si="124"/>
        <v>0</v>
      </c>
      <c r="CP96" s="1038">
        <f t="shared" si="150"/>
        <v>0</v>
      </c>
      <c r="CQ96" s="1038">
        <f t="shared" si="126"/>
        <v>0</v>
      </c>
      <c r="CR96" s="1038">
        <f t="shared" si="151"/>
        <v>0</v>
      </c>
      <c r="CS96" s="1038">
        <f t="shared" si="128"/>
        <v>0</v>
      </c>
      <c r="CT96" s="1038">
        <f t="shared" si="129"/>
        <v>0</v>
      </c>
      <c r="CU96" s="1038">
        <f t="shared" si="130"/>
        <v>0</v>
      </c>
      <c r="CV96" s="1038">
        <f t="shared" si="131"/>
        <v>0</v>
      </c>
      <c r="CW96" s="1038">
        <f t="shared" si="132"/>
        <v>0</v>
      </c>
      <c r="CX96" s="103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3" t="s">
        <v>662</v>
      </c>
      <c r="B97" s="196" t="s">
        <v>663</v>
      </c>
      <c r="C97" s="1136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5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7" t="str">
        <f t="shared" si="114"/>
        <v/>
      </c>
      <c r="AZ97" s="112"/>
      <c r="BA97" s="112"/>
      <c r="BB97" s="112"/>
      <c r="CA97" s="191" t="str">
        <f t="shared" si="142"/>
        <v/>
      </c>
      <c r="CB97" s="107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8">
        <f t="shared" si="149"/>
        <v>0</v>
      </c>
      <c r="CO97" s="1077"/>
      <c r="CP97" s="1038">
        <f t="shared" si="150"/>
        <v>0</v>
      </c>
      <c r="CQ97" s="1038">
        <f t="shared" ref="CQ97:CQ100" si="153">IF(AND($E97&gt;0,OR(AQ97="")),1,IF(AQ97&gt;$E97,1,0))</f>
        <v>0</v>
      </c>
      <c r="CR97" s="1038">
        <f t="shared" ref="CR97:CR100" si="154">IF(AND($D97&gt;0,OR(AR97="")),1,IF(AR97&gt;$D97,1,0))</f>
        <v>0</v>
      </c>
      <c r="CS97" s="1038">
        <f t="shared" ref="CS97:CS100" si="155">IF(AND($E97&gt;0,OR(AS97="")),1,IF(AS97&gt;$E97,1,0))</f>
        <v>0</v>
      </c>
      <c r="CT97" s="1038">
        <f t="shared" ref="CT97:CT100" si="156">IF(AND($C97&gt;0,OR(AT97="")),1,IF(AT97&gt;$C97,1,0))</f>
        <v>0</v>
      </c>
      <c r="CU97" s="1038">
        <f t="shared" ref="CU97:CU100" si="157">IF(AND($C97&gt;0,OR(AU97="")),1,IF(AU97&gt;$C97,1,0))</f>
        <v>0</v>
      </c>
      <c r="CV97" s="1038">
        <f t="shared" ref="CV97:CV100" si="158">IF(AND($C97&gt;0,OR(AV97="")),1,IF(AV97&gt;$C97,1,0))</f>
        <v>0</v>
      </c>
      <c r="CW97" s="1038">
        <f t="shared" si="132"/>
        <v>0</v>
      </c>
      <c r="CX97" s="103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4"/>
      <c r="B98" s="197" t="s">
        <v>664</v>
      </c>
      <c r="C98" s="1138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6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7" t="str">
        <f t="shared" si="114"/>
        <v/>
      </c>
      <c r="AZ98" s="112"/>
      <c r="BA98" s="112"/>
      <c r="BB98" s="112"/>
      <c r="CA98" s="191" t="str">
        <f t="shared" si="142"/>
        <v/>
      </c>
      <c r="CB98" s="107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8">
        <f t="shared" si="149"/>
        <v>0</v>
      </c>
      <c r="CO98" s="1077"/>
      <c r="CP98" s="1038">
        <f t="shared" ref="CP98:CP100" si="159">IF(AND($D98&gt;0,OR(AP98="")),1,IF(AP98&gt;$D98,1,0))</f>
        <v>0</v>
      </c>
      <c r="CQ98" s="1038">
        <f t="shared" si="153"/>
        <v>0</v>
      </c>
      <c r="CR98" s="1038">
        <f t="shared" si="154"/>
        <v>0</v>
      </c>
      <c r="CS98" s="1038">
        <f t="shared" si="155"/>
        <v>0</v>
      </c>
      <c r="CT98" s="1038">
        <f t="shared" si="156"/>
        <v>0</v>
      </c>
      <c r="CU98" s="1038">
        <f t="shared" si="157"/>
        <v>0</v>
      </c>
      <c r="CV98" s="1038">
        <f t="shared" si="158"/>
        <v>0</v>
      </c>
      <c r="CW98" s="1038">
        <f t="shared" si="132"/>
        <v>0</v>
      </c>
      <c r="CX98" s="103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4"/>
      <c r="B99" s="197" t="s">
        <v>665</v>
      </c>
      <c r="C99" s="1138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2"/>
      <c r="AN99" s="454"/>
      <c r="AO99" s="846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7" t="str">
        <f t="shared" si="114"/>
        <v/>
      </c>
      <c r="AZ99" s="112"/>
      <c r="BA99" s="112"/>
      <c r="BB99" s="112"/>
      <c r="CA99" s="191" t="str">
        <f t="shared" si="142"/>
        <v/>
      </c>
      <c r="CB99" s="107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8">
        <f t="shared" si="149"/>
        <v>0</v>
      </c>
      <c r="CO99" s="1077"/>
      <c r="CP99" s="1038">
        <f t="shared" si="159"/>
        <v>0</v>
      </c>
      <c r="CQ99" s="1038">
        <f t="shared" si="153"/>
        <v>0</v>
      </c>
      <c r="CR99" s="1038">
        <f t="shared" si="154"/>
        <v>0</v>
      </c>
      <c r="CS99" s="1038">
        <f t="shared" si="155"/>
        <v>0</v>
      </c>
      <c r="CT99" s="1038">
        <f t="shared" si="156"/>
        <v>0</v>
      </c>
      <c r="CU99" s="1038">
        <f t="shared" si="157"/>
        <v>0</v>
      </c>
      <c r="CV99" s="1038">
        <f t="shared" si="158"/>
        <v>0</v>
      </c>
      <c r="CW99" s="1038">
        <f t="shared" si="132"/>
        <v>0</v>
      </c>
      <c r="CX99" s="103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5"/>
      <c r="B100" s="197" t="s">
        <v>666</v>
      </c>
      <c r="C100" s="1134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8"/>
      <c r="AN100" s="649"/>
      <c r="AO100" s="847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7" t="str">
        <f t="shared" si="114"/>
        <v/>
      </c>
      <c r="AZ100" s="112"/>
      <c r="BA100" s="112"/>
      <c r="BB100" s="112"/>
      <c r="CA100" s="191" t="str">
        <f t="shared" si="142"/>
        <v/>
      </c>
      <c r="CB100" s="107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8">
        <f t="shared" si="149"/>
        <v>0</v>
      </c>
      <c r="CO100" s="1077"/>
      <c r="CP100" s="1038">
        <f t="shared" si="159"/>
        <v>0</v>
      </c>
      <c r="CQ100" s="1038">
        <f t="shared" si="153"/>
        <v>0</v>
      </c>
      <c r="CR100" s="1038">
        <f t="shared" si="154"/>
        <v>0</v>
      </c>
      <c r="CS100" s="1038">
        <f t="shared" si="155"/>
        <v>0</v>
      </c>
      <c r="CT100" s="1038">
        <f t="shared" si="156"/>
        <v>0</v>
      </c>
      <c r="CU100" s="1038">
        <f t="shared" si="157"/>
        <v>0</v>
      </c>
      <c r="CV100" s="1038">
        <f t="shared" si="158"/>
        <v>0</v>
      </c>
      <c r="CW100" s="1038">
        <f t="shared" si="132"/>
        <v>0</v>
      </c>
      <c r="CX100" s="103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9" t="s">
        <v>667</v>
      </c>
      <c r="B101" s="196" t="s">
        <v>704</v>
      </c>
      <c r="C101" s="705">
        <f t="shared" si="140"/>
        <v>0</v>
      </c>
      <c r="D101" s="1058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8">
        <f t="shared" si="149"/>
        <v>0</v>
      </c>
      <c r="CO101" s="1038">
        <f t="shared" ref="CO101:CO105" si="162">IF(AND($E101&gt;0,OR(AO101="")),1,IF(AO101&gt;$E101,1,0))</f>
        <v>0</v>
      </c>
      <c r="CP101" s="1038">
        <f>IF(AND($D101&gt;0,OR(AP101="")),1,IF(AP101&gt;$D101,1,0))</f>
        <v>0</v>
      </c>
      <c r="CQ101" s="1038">
        <f>IF(AND($E101&gt;0,OR(AQ101="")),1,IF(AQ101&gt;$E101,1,0))</f>
        <v>0</v>
      </c>
      <c r="CR101" s="1038">
        <f>IF(AND($D101&gt;0,OR(AR101="")),1,IF(AR101&gt;$D101,1,0))</f>
        <v>0</v>
      </c>
      <c r="CS101" s="1038">
        <f>IF(AND($E101&gt;0,OR(AS101="")),1,IF(AS101&gt;$E101,1,0))</f>
        <v>0</v>
      </c>
      <c r="CT101" s="1038">
        <f t="shared" ref="CT101:CV102" si="163">IF(AND($C101&gt;0,OR(AT101="")),1,IF(AT101&gt;$C101,1,0))</f>
        <v>0</v>
      </c>
      <c r="CU101" s="1038">
        <f t="shared" si="163"/>
        <v>0</v>
      </c>
      <c r="CV101" s="1038">
        <f t="shared" si="163"/>
        <v>0</v>
      </c>
      <c r="CW101" s="1038">
        <f t="shared" si="132"/>
        <v>0</v>
      </c>
      <c r="CX101" s="103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0"/>
      <c r="B102" s="796" t="s">
        <v>705</v>
      </c>
      <c r="C102" s="706">
        <f t="shared" si="140"/>
        <v>0</v>
      </c>
      <c r="D102" s="1059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8">
        <f t="shared" si="149"/>
        <v>0</v>
      </c>
      <c r="CO102" s="1038">
        <f t="shared" si="162"/>
        <v>0</v>
      </c>
      <c r="CP102" s="1038">
        <f>IF(AND($D102&gt;0,OR(AP102="")),1,IF(AP102&gt;$D102,1,0))</f>
        <v>0</v>
      </c>
      <c r="CQ102" s="1038">
        <f>IF(AND($E102&gt;0,OR(AQ102="")),1,IF(AQ102&gt;$E102,1,0))</f>
        <v>0</v>
      </c>
      <c r="CR102" s="1038">
        <f>IF(AND($D102&gt;0,OR(AR102="")),1,IF(AR102&gt;$D102,1,0))</f>
        <v>0</v>
      </c>
      <c r="CS102" s="1038">
        <f>IF(AND($E102&gt;0,OR(AS102="")),1,IF(AS102&gt;$E102,1,0))</f>
        <v>0</v>
      </c>
      <c r="CT102" s="1038">
        <f t="shared" si="163"/>
        <v>0</v>
      </c>
      <c r="CU102" s="1038">
        <f t="shared" si="163"/>
        <v>0</v>
      </c>
      <c r="CV102" s="1038">
        <f t="shared" si="163"/>
        <v>0</v>
      </c>
      <c r="CW102" s="1038">
        <f t="shared" si="132"/>
        <v>0</v>
      </c>
      <c r="CX102" s="103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0"/>
      <c r="B103" s="199" t="s">
        <v>670</v>
      </c>
      <c r="C103" s="706">
        <f t="shared" si="140"/>
        <v>0</v>
      </c>
      <c r="D103" s="1059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8">
        <f t="shared" si="149"/>
        <v>0</v>
      </c>
      <c r="CO103" s="1038">
        <f t="shared" si="162"/>
        <v>0</v>
      </c>
      <c r="CP103" s="1038">
        <f t="shared" ref="CP103:CP120" si="164">IF(AND($D103&gt;0,OR(AP103="")),1,IF(AP103&gt;$D103,1,0))</f>
        <v>0</v>
      </c>
      <c r="CQ103" s="1038">
        <f t="shared" ref="CQ103:CQ120" si="165">IF(AND($E103&gt;0,OR(AQ103="")),1,IF(AQ103&gt;$E103,1,0))</f>
        <v>0</v>
      </c>
      <c r="CR103" s="1038">
        <f t="shared" ref="CR103:CR120" si="166">IF(AND($D103&gt;0,OR(AR103="")),1,IF(AR103&gt;$D103,1,0))</f>
        <v>0</v>
      </c>
      <c r="CS103" s="1038">
        <f t="shared" ref="CS103:CS120" si="167">IF(AND($E103&gt;0,OR(AS103="")),1,IF(AS103&gt;$E103,1,0))</f>
        <v>0</v>
      </c>
      <c r="CT103" s="1038">
        <f t="shared" ref="CT103:CT105" si="168">IF(AND($C103&gt;0,OR(AT103="")),1,IF(AT103&gt;$C103,1,0))</f>
        <v>0</v>
      </c>
      <c r="CU103" s="1038">
        <f t="shared" ref="CU103:CU105" si="169">IF(AND($C103&gt;0,OR(AU103="")),1,IF(AU103&gt;$C103,1,0))</f>
        <v>0</v>
      </c>
      <c r="CV103" s="1038">
        <f t="shared" ref="CV103:CV120" si="170">IF(AND($C103&gt;0,OR(AV103="")),1,IF(AV103&gt;$C103,1,0))</f>
        <v>0</v>
      </c>
      <c r="CW103" s="1038">
        <f t="shared" si="132"/>
        <v>0</v>
      </c>
      <c r="CX103" s="1038">
        <f t="shared" si="152"/>
        <v>0</v>
      </c>
      <c r="DM103" s="107"/>
      <c r="DN103" s="107"/>
      <c r="DO103" s="107"/>
    </row>
    <row r="104" spans="1:124" ht="15" customHeight="1" x14ac:dyDescent="0.25">
      <c r="A104" s="1900"/>
      <c r="B104" s="199" t="s">
        <v>671</v>
      </c>
      <c r="C104" s="705">
        <f t="shared" si="140"/>
        <v>0</v>
      </c>
      <c r="D104" s="1058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8">
        <f t="shared" si="149"/>
        <v>0</v>
      </c>
      <c r="CO104" s="1038">
        <f t="shared" si="162"/>
        <v>0</v>
      </c>
      <c r="CP104" s="1038">
        <f t="shared" si="164"/>
        <v>0</v>
      </c>
      <c r="CQ104" s="1038">
        <f t="shared" si="165"/>
        <v>0</v>
      </c>
      <c r="CR104" s="1038">
        <f t="shared" si="166"/>
        <v>0</v>
      </c>
      <c r="CS104" s="1038">
        <f t="shared" si="167"/>
        <v>0</v>
      </c>
      <c r="CT104" s="1038">
        <f t="shared" si="168"/>
        <v>0</v>
      </c>
      <c r="CU104" s="1038">
        <f t="shared" si="169"/>
        <v>0</v>
      </c>
      <c r="CV104" s="1038">
        <f t="shared" si="170"/>
        <v>0</v>
      </c>
      <c r="CW104" s="1038">
        <f t="shared" si="132"/>
        <v>0</v>
      </c>
      <c r="CX104" s="1038">
        <f t="shared" si="152"/>
        <v>0</v>
      </c>
      <c r="DM104" s="107"/>
      <c r="DN104" s="107"/>
      <c r="DO104" s="107"/>
    </row>
    <row r="105" spans="1:124" ht="15" customHeight="1" x14ac:dyDescent="0.25">
      <c r="A105" s="1896"/>
      <c r="B105" s="584" t="s">
        <v>672</v>
      </c>
      <c r="C105" s="707">
        <f t="shared" si="140"/>
        <v>0</v>
      </c>
      <c r="D105" s="1143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8">
        <f t="shared" si="149"/>
        <v>0</v>
      </c>
      <c r="CO105" s="1038">
        <f t="shared" si="162"/>
        <v>0</v>
      </c>
      <c r="CP105" s="1038">
        <f t="shared" si="164"/>
        <v>0</v>
      </c>
      <c r="CQ105" s="1038">
        <f t="shared" si="165"/>
        <v>0</v>
      </c>
      <c r="CR105" s="1038">
        <f t="shared" si="166"/>
        <v>0</v>
      </c>
      <c r="CS105" s="1038">
        <f t="shared" si="167"/>
        <v>0</v>
      </c>
      <c r="CT105" s="1038">
        <f t="shared" si="168"/>
        <v>0</v>
      </c>
      <c r="CU105" s="1038">
        <f t="shared" si="169"/>
        <v>0</v>
      </c>
      <c r="CV105" s="1038">
        <f t="shared" si="170"/>
        <v>0</v>
      </c>
      <c r="CW105" s="1038">
        <f t="shared" si="132"/>
        <v>0</v>
      </c>
      <c r="CX105" s="1038">
        <f t="shared" si="152"/>
        <v>0</v>
      </c>
      <c r="DM105" s="107"/>
      <c r="DN105" s="107"/>
      <c r="DO105" s="107"/>
    </row>
    <row r="106" spans="1:124" ht="15" customHeight="1" x14ac:dyDescent="0.25">
      <c r="A106" s="2109" t="s">
        <v>673</v>
      </c>
      <c r="B106" s="1280" t="s">
        <v>286</v>
      </c>
      <c r="C106" s="1133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9"/>
      <c r="AO106" s="850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7" t="str">
        <f t="shared" si="114"/>
        <v/>
      </c>
      <c r="BC106" s="107"/>
      <c r="CA106" s="1077"/>
      <c r="CB106" s="107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7"/>
      <c r="CH106" s="107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7"/>
      <c r="CO106" s="1077"/>
      <c r="CP106" s="1038">
        <f t="shared" si="164"/>
        <v>0</v>
      </c>
      <c r="CQ106" s="1038">
        <f t="shared" si="165"/>
        <v>0</v>
      </c>
      <c r="CR106" s="1038">
        <f t="shared" si="166"/>
        <v>0</v>
      </c>
      <c r="CS106" s="1038">
        <f t="shared" si="167"/>
        <v>0</v>
      </c>
      <c r="CT106" s="1077"/>
      <c r="CU106" s="1077"/>
      <c r="CV106" s="1038">
        <f t="shared" si="170"/>
        <v>0</v>
      </c>
      <c r="CW106" s="1038">
        <f t="shared" si="132"/>
        <v>0</v>
      </c>
      <c r="CX106" s="103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0"/>
      <c r="B107" s="1281" t="s">
        <v>287</v>
      </c>
      <c r="C107" s="1133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3"/>
      <c r="AO107" s="844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7" t="str">
        <f t="shared" si="114"/>
        <v/>
      </c>
      <c r="BC107" s="107"/>
      <c r="CA107" s="1077"/>
      <c r="CB107" s="107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7"/>
      <c r="CH107" s="107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7"/>
      <c r="CO107" s="1077"/>
      <c r="CP107" s="1038">
        <f t="shared" si="164"/>
        <v>0</v>
      </c>
      <c r="CQ107" s="1038">
        <f t="shared" si="165"/>
        <v>0</v>
      </c>
      <c r="CR107" s="1038">
        <f t="shared" si="166"/>
        <v>0</v>
      </c>
      <c r="CS107" s="1038">
        <f t="shared" si="167"/>
        <v>0</v>
      </c>
      <c r="CT107" s="1077"/>
      <c r="CU107" s="1077"/>
      <c r="CV107" s="1038">
        <f t="shared" si="170"/>
        <v>0</v>
      </c>
      <c r="CW107" s="1038">
        <f t="shared" si="132"/>
        <v>0</v>
      </c>
      <c r="CX107" s="103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6"/>
      <c r="B108" s="1282" t="s">
        <v>674</v>
      </c>
      <c r="C108" s="1135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1"/>
      <c r="AO108" s="852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7" t="str">
        <f t="shared" si="114"/>
        <v/>
      </c>
      <c r="BC108" s="107"/>
      <c r="CA108" s="1077"/>
      <c r="CB108" s="107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7"/>
      <c r="CH108" s="107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7"/>
      <c r="CO108" s="1077"/>
      <c r="CP108" s="1038">
        <f t="shared" si="164"/>
        <v>0</v>
      </c>
      <c r="CQ108" s="1038">
        <f t="shared" si="165"/>
        <v>0</v>
      </c>
      <c r="CR108" s="1038">
        <f t="shared" si="166"/>
        <v>0</v>
      </c>
      <c r="CS108" s="1038">
        <f t="shared" si="167"/>
        <v>0</v>
      </c>
      <c r="CT108" s="1077"/>
      <c r="CU108" s="1077"/>
      <c r="CV108" s="1038">
        <f t="shared" si="170"/>
        <v>0</v>
      </c>
      <c r="CW108" s="1038">
        <f t="shared" si="132"/>
        <v>0</v>
      </c>
      <c r="CX108" s="103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5" t="s">
        <v>675</v>
      </c>
      <c r="B109" s="2116"/>
      <c r="C109" s="1138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8">
        <f t="shared" ref="CN109:CN120" si="181">IF(AND($E109&gt;0,OR(AN109="")),1,IF(AN109&gt;$E109,1,0))</f>
        <v>0</v>
      </c>
      <c r="CO109" s="1038">
        <f t="shared" ref="CO109:CO120" si="182">IF(AND($E109&gt;0,OR(AO109="")),1,IF(AO109&gt;$E109,1,0))</f>
        <v>0</v>
      </c>
      <c r="CP109" s="1038">
        <f t="shared" si="164"/>
        <v>0</v>
      </c>
      <c r="CQ109" s="1038">
        <f t="shared" si="165"/>
        <v>0</v>
      </c>
      <c r="CR109" s="1038">
        <f t="shared" si="166"/>
        <v>0</v>
      </c>
      <c r="CS109" s="1038">
        <f t="shared" si="167"/>
        <v>0</v>
      </c>
      <c r="CT109" s="1038">
        <f t="shared" ref="CT109:CT120" si="183">IF(AND($C109&gt;0,OR(AT109="")),1,IF(AT109&gt;$C109,1,0))</f>
        <v>0</v>
      </c>
      <c r="CU109" s="1038">
        <f t="shared" ref="CU109:CU120" si="184">IF(AND($C109&gt;0,OR(AU109="")),1,IF(AU109&gt;$C109,1,0))</f>
        <v>0</v>
      </c>
      <c r="CV109" s="1038">
        <f t="shared" si="170"/>
        <v>0</v>
      </c>
      <c r="CW109" s="1038">
        <f t="shared" si="132"/>
        <v>0</v>
      </c>
      <c r="CX109" s="103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7" t="s">
        <v>676</v>
      </c>
      <c r="B110" s="2058"/>
      <c r="C110" s="1133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8">
        <f t="shared" si="181"/>
        <v>0</v>
      </c>
      <c r="CO110" s="1038">
        <f t="shared" si="182"/>
        <v>0</v>
      </c>
      <c r="CP110" s="1038">
        <f t="shared" si="164"/>
        <v>0</v>
      </c>
      <c r="CQ110" s="1038">
        <f t="shared" si="165"/>
        <v>0</v>
      </c>
      <c r="CR110" s="1038">
        <f t="shared" si="166"/>
        <v>0</v>
      </c>
      <c r="CS110" s="1038">
        <f t="shared" si="167"/>
        <v>0</v>
      </c>
      <c r="CT110" s="1038">
        <f t="shared" si="183"/>
        <v>0</v>
      </c>
      <c r="CU110" s="1038">
        <f t="shared" si="184"/>
        <v>0</v>
      </c>
      <c r="CV110" s="1038">
        <f t="shared" si="170"/>
        <v>0</v>
      </c>
      <c r="CW110" s="1038">
        <f t="shared" si="132"/>
        <v>0</v>
      </c>
      <c r="CX110" s="103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0" t="s">
        <v>677</v>
      </c>
      <c r="B111" s="2111"/>
      <c r="C111" s="1138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8">
        <f t="shared" si="181"/>
        <v>0</v>
      </c>
      <c r="CO111" s="1038">
        <f t="shared" si="182"/>
        <v>0</v>
      </c>
      <c r="CP111" s="1038">
        <f t="shared" si="164"/>
        <v>0</v>
      </c>
      <c r="CQ111" s="1038">
        <f t="shared" si="165"/>
        <v>0</v>
      </c>
      <c r="CR111" s="1038">
        <f t="shared" si="166"/>
        <v>0</v>
      </c>
      <c r="CS111" s="1038">
        <f t="shared" si="167"/>
        <v>0</v>
      </c>
      <c r="CT111" s="1038">
        <f t="shared" si="183"/>
        <v>0</v>
      </c>
      <c r="CU111" s="1038">
        <f t="shared" si="184"/>
        <v>0</v>
      </c>
      <c r="CV111" s="1038">
        <f t="shared" si="170"/>
        <v>0</v>
      </c>
      <c r="CW111" s="1038">
        <f t="shared" si="132"/>
        <v>0</v>
      </c>
      <c r="CX111" s="103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0" t="s">
        <v>678</v>
      </c>
      <c r="B112" s="2111"/>
      <c r="C112" s="1138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8">
        <f t="shared" si="181"/>
        <v>0</v>
      </c>
      <c r="CO112" s="1038">
        <f t="shared" si="182"/>
        <v>0</v>
      </c>
      <c r="CP112" s="1038">
        <f t="shared" si="164"/>
        <v>0</v>
      </c>
      <c r="CQ112" s="1038">
        <f t="shared" si="165"/>
        <v>0</v>
      </c>
      <c r="CR112" s="1038">
        <f t="shared" si="166"/>
        <v>0</v>
      </c>
      <c r="CS112" s="1038">
        <f t="shared" si="167"/>
        <v>0</v>
      </c>
      <c r="CT112" s="1038">
        <f t="shared" si="183"/>
        <v>0</v>
      </c>
      <c r="CU112" s="1038">
        <f t="shared" si="184"/>
        <v>0</v>
      </c>
      <c r="CV112" s="1038">
        <f t="shared" si="170"/>
        <v>0</v>
      </c>
      <c r="CW112" s="1038">
        <f t="shared" si="132"/>
        <v>0</v>
      </c>
      <c r="CX112" s="103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2" t="s">
        <v>679</v>
      </c>
      <c r="B113" s="2113"/>
      <c r="C113" s="1134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8">
        <f t="shared" si="181"/>
        <v>0</v>
      </c>
      <c r="CO113" s="1038">
        <f t="shared" si="182"/>
        <v>0</v>
      </c>
      <c r="CP113" s="1038">
        <f t="shared" si="164"/>
        <v>0</v>
      </c>
      <c r="CQ113" s="1038">
        <f t="shared" si="165"/>
        <v>0</v>
      </c>
      <c r="CR113" s="1038">
        <f t="shared" si="166"/>
        <v>0</v>
      </c>
      <c r="CS113" s="1038">
        <f t="shared" si="167"/>
        <v>0</v>
      </c>
      <c r="CT113" s="1038">
        <f t="shared" si="183"/>
        <v>0</v>
      </c>
      <c r="CU113" s="1038">
        <f t="shared" si="184"/>
        <v>0</v>
      </c>
      <c r="CV113" s="1038">
        <f t="shared" si="170"/>
        <v>0</v>
      </c>
      <c r="CW113" s="1038">
        <f t="shared" si="132"/>
        <v>0</v>
      </c>
      <c r="CX113" s="103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4" t="s">
        <v>680</v>
      </c>
      <c r="B114" s="705" t="s">
        <v>681</v>
      </c>
      <c r="C114" s="1310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8">
        <f t="shared" si="181"/>
        <v>0</v>
      </c>
      <c r="CO114" s="1038">
        <f t="shared" si="182"/>
        <v>0</v>
      </c>
      <c r="CP114" s="1038">
        <f t="shared" si="164"/>
        <v>0</v>
      </c>
      <c r="CQ114" s="1038">
        <f t="shared" si="165"/>
        <v>0</v>
      </c>
      <c r="CR114" s="1038">
        <f t="shared" si="166"/>
        <v>0</v>
      </c>
      <c r="CS114" s="1038">
        <f t="shared" si="167"/>
        <v>0</v>
      </c>
      <c r="CT114" s="1038">
        <f t="shared" si="183"/>
        <v>0</v>
      </c>
      <c r="CU114" s="1038">
        <f t="shared" si="184"/>
        <v>0</v>
      </c>
      <c r="CV114" s="1038">
        <f t="shared" si="170"/>
        <v>0</v>
      </c>
      <c r="CW114" s="1038">
        <f t="shared" si="132"/>
        <v>0</v>
      </c>
      <c r="CX114" s="103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3"/>
      <c r="B115" s="706" t="s">
        <v>427</v>
      </c>
      <c r="C115" s="1137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8">
        <f t="shared" si="181"/>
        <v>0</v>
      </c>
      <c r="CO115" s="1038">
        <f t="shared" si="182"/>
        <v>0</v>
      </c>
      <c r="CP115" s="1038">
        <f t="shared" si="164"/>
        <v>0</v>
      </c>
      <c r="CQ115" s="1038">
        <f t="shared" si="165"/>
        <v>0</v>
      </c>
      <c r="CR115" s="1038">
        <f t="shared" si="166"/>
        <v>0</v>
      </c>
      <c r="CS115" s="1038">
        <f t="shared" si="167"/>
        <v>0</v>
      </c>
      <c r="CT115" s="1038">
        <f t="shared" si="183"/>
        <v>0</v>
      </c>
      <c r="CU115" s="1038">
        <f t="shared" si="184"/>
        <v>0</v>
      </c>
      <c r="CV115" s="1038">
        <f t="shared" si="170"/>
        <v>0</v>
      </c>
      <c r="CW115" s="1038">
        <f t="shared" si="132"/>
        <v>0</v>
      </c>
      <c r="CX115" s="103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3"/>
      <c r="B116" s="706" t="s">
        <v>706</v>
      </c>
      <c r="C116" s="1137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8">
        <f t="shared" si="181"/>
        <v>0</v>
      </c>
      <c r="CO116" s="1038">
        <f t="shared" si="182"/>
        <v>0</v>
      </c>
      <c r="CP116" s="1038">
        <f t="shared" si="164"/>
        <v>0</v>
      </c>
      <c r="CQ116" s="1038">
        <f t="shared" si="165"/>
        <v>0</v>
      </c>
      <c r="CR116" s="1038">
        <f t="shared" si="166"/>
        <v>0</v>
      </c>
      <c r="CS116" s="1038">
        <f t="shared" si="167"/>
        <v>0</v>
      </c>
      <c r="CT116" s="1038">
        <f t="shared" si="183"/>
        <v>0</v>
      </c>
      <c r="CU116" s="1038">
        <f t="shared" si="184"/>
        <v>0</v>
      </c>
      <c r="CV116" s="1038">
        <f t="shared" si="170"/>
        <v>0</v>
      </c>
      <c r="CW116" s="1038">
        <f t="shared" si="132"/>
        <v>0</v>
      </c>
      <c r="CX116" s="103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3"/>
      <c r="B117" s="706" t="s">
        <v>683</v>
      </c>
      <c r="C117" s="1137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8">
        <f t="shared" si="181"/>
        <v>0</v>
      </c>
      <c r="CO117" s="1038">
        <f t="shared" si="182"/>
        <v>0</v>
      </c>
      <c r="CP117" s="1038">
        <f t="shared" si="164"/>
        <v>0</v>
      </c>
      <c r="CQ117" s="1038">
        <f t="shared" si="165"/>
        <v>0</v>
      </c>
      <c r="CR117" s="1038">
        <f t="shared" si="166"/>
        <v>0</v>
      </c>
      <c r="CS117" s="1038">
        <f t="shared" si="167"/>
        <v>0</v>
      </c>
      <c r="CT117" s="1038">
        <f t="shared" si="183"/>
        <v>0</v>
      </c>
      <c r="CU117" s="1038">
        <f t="shared" si="184"/>
        <v>0</v>
      </c>
      <c r="CV117" s="1038">
        <f t="shared" si="170"/>
        <v>0</v>
      </c>
      <c r="CW117" s="1038">
        <f t="shared" si="132"/>
        <v>0</v>
      </c>
      <c r="CX117" s="103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4"/>
      <c r="B118" s="707" t="s">
        <v>707</v>
      </c>
      <c r="C118" s="1134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8">
        <f t="shared" si="181"/>
        <v>0</v>
      </c>
      <c r="CO118" s="1038">
        <f t="shared" si="182"/>
        <v>0</v>
      </c>
      <c r="CP118" s="1038">
        <f t="shared" si="164"/>
        <v>0</v>
      </c>
      <c r="CQ118" s="1038">
        <f t="shared" si="165"/>
        <v>0</v>
      </c>
      <c r="CR118" s="1038">
        <f t="shared" si="166"/>
        <v>0</v>
      </c>
      <c r="CS118" s="1038">
        <f t="shared" si="167"/>
        <v>0</v>
      </c>
      <c r="CT118" s="1038">
        <f t="shared" si="183"/>
        <v>0</v>
      </c>
      <c r="CU118" s="1038">
        <f t="shared" si="184"/>
        <v>0</v>
      </c>
      <c r="CV118" s="1038">
        <f t="shared" si="170"/>
        <v>0</v>
      </c>
      <c r="CW118" s="1038">
        <f t="shared" si="132"/>
        <v>0</v>
      </c>
      <c r="CX118" s="103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5" t="s">
        <v>685</v>
      </c>
      <c r="B119" s="2056"/>
      <c r="C119" s="1310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316"/>
      <c r="AP119" s="448"/>
      <c r="AQ119" s="665"/>
      <c r="AR119" s="663"/>
      <c r="AS119" s="449"/>
      <c r="AT119" s="449"/>
      <c r="AU119" s="449"/>
      <c r="AV119" s="449"/>
      <c r="AW119" s="449"/>
      <c r="AX119" s="449"/>
      <c r="AY119" s="104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8">
        <f t="shared" si="181"/>
        <v>0</v>
      </c>
      <c r="CO119" s="1038">
        <f t="shared" si="182"/>
        <v>0</v>
      </c>
      <c r="CP119" s="1038">
        <f t="shared" si="164"/>
        <v>0</v>
      </c>
      <c r="CQ119" s="1038">
        <f t="shared" si="165"/>
        <v>0</v>
      </c>
      <c r="CR119" s="1038">
        <f t="shared" si="166"/>
        <v>0</v>
      </c>
      <c r="CS119" s="1038">
        <f t="shared" si="167"/>
        <v>0</v>
      </c>
      <c r="CT119" s="1038">
        <f t="shared" si="183"/>
        <v>0</v>
      </c>
      <c r="CU119" s="1038">
        <f t="shared" si="184"/>
        <v>0</v>
      </c>
      <c r="CV119" s="1038">
        <f t="shared" si="170"/>
        <v>0</v>
      </c>
      <c r="CW119" s="1038">
        <f t="shared" si="132"/>
        <v>0</v>
      </c>
      <c r="CX119" s="103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2" t="s">
        <v>708</v>
      </c>
      <c r="B120" s="2113"/>
      <c r="C120" s="1134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8">
        <f t="shared" si="181"/>
        <v>0</v>
      </c>
      <c r="CO120" s="1038">
        <f t="shared" si="182"/>
        <v>0</v>
      </c>
      <c r="CP120" s="1038">
        <f t="shared" si="164"/>
        <v>0</v>
      </c>
      <c r="CQ120" s="1038">
        <f t="shared" si="165"/>
        <v>0</v>
      </c>
      <c r="CR120" s="1038">
        <f t="shared" si="166"/>
        <v>0</v>
      </c>
      <c r="CS120" s="1038">
        <f t="shared" si="167"/>
        <v>0</v>
      </c>
      <c r="CT120" s="1038">
        <f t="shared" si="183"/>
        <v>0</v>
      </c>
      <c r="CU120" s="1038">
        <f t="shared" si="184"/>
        <v>0</v>
      </c>
      <c r="CV120" s="1038">
        <f t="shared" si="170"/>
        <v>0</v>
      </c>
      <c r="CW120" s="1038">
        <f t="shared" si="132"/>
        <v>0</v>
      </c>
      <c r="CX120" s="103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89" t="s">
        <v>688</v>
      </c>
      <c r="B122" s="2089" t="s">
        <v>689</v>
      </c>
      <c r="C122" s="1937" t="s">
        <v>621</v>
      </c>
      <c r="D122" s="1937"/>
      <c r="E122" s="1937"/>
      <c r="F122" s="2123" t="s">
        <v>381</v>
      </c>
      <c r="G122" s="1937"/>
      <c r="H122" s="1937"/>
      <c r="I122" s="1937"/>
      <c r="J122" s="1937"/>
      <c r="K122" s="1937"/>
      <c r="L122" s="1937"/>
      <c r="M122" s="1937"/>
      <c r="N122" s="1937"/>
      <c r="O122" s="1937"/>
      <c r="P122" s="1937"/>
      <c r="Q122" s="1937"/>
      <c r="R122" s="1937"/>
      <c r="S122" s="1937"/>
      <c r="T122" s="1937"/>
      <c r="U122" s="1937"/>
      <c r="V122" s="1937"/>
      <c r="W122" s="1937"/>
      <c r="X122" s="1937"/>
      <c r="Y122" s="1937"/>
      <c r="Z122" s="1937"/>
      <c r="AA122" s="1937"/>
      <c r="AB122" s="1937"/>
      <c r="AC122" s="1937"/>
      <c r="AD122" s="1937"/>
      <c r="AE122" s="1937"/>
      <c r="AF122" s="1937"/>
      <c r="AG122" s="1937"/>
      <c r="AH122" s="1937"/>
      <c r="AI122" s="1937"/>
      <c r="AJ122" s="1937"/>
      <c r="AK122" s="1937"/>
      <c r="AL122" s="1937"/>
      <c r="AM122" s="1937"/>
      <c r="AT122" s="220"/>
    </row>
    <row r="123" spans="1:119" ht="17.25" customHeight="1" x14ac:dyDescent="0.25">
      <c r="A123" s="2089"/>
      <c r="B123" s="2089"/>
      <c r="C123" s="1937"/>
      <c r="D123" s="1937"/>
      <c r="E123" s="1937"/>
      <c r="F123" s="1937" t="s">
        <v>409</v>
      </c>
      <c r="G123" s="1937"/>
      <c r="H123" s="1937" t="s">
        <v>410</v>
      </c>
      <c r="I123" s="1937"/>
      <c r="J123" s="1800" t="s">
        <v>321</v>
      </c>
      <c r="K123" s="1800"/>
      <c r="L123" s="1800" t="s">
        <v>62</v>
      </c>
      <c r="M123" s="1800"/>
      <c r="N123" s="1800" t="s">
        <v>63</v>
      </c>
      <c r="O123" s="1800"/>
      <c r="P123" s="1800" t="s">
        <v>64</v>
      </c>
      <c r="Q123" s="1800"/>
      <c r="R123" s="1800" t="s">
        <v>65</v>
      </c>
      <c r="S123" s="1800"/>
      <c r="T123" s="1800" t="s">
        <v>66</v>
      </c>
      <c r="U123" s="1800"/>
      <c r="V123" s="1800" t="s">
        <v>67</v>
      </c>
      <c r="W123" s="1800"/>
      <c r="X123" s="1800" t="s">
        <v>68</v>
      </c>
      <c r="Y123" s="1800"/>
      <c r="Z123" s="1800" t="s">
        <v>69</v>
      </c>
      <c r="AA123" s="1800"/>
      <c r="AB123" s="1800" t="s">
        <v>70</v>
      </c>
      <c r="AC123" s="1800"/>
      <c r="AD123" s="1800" t="s">
        <v>71</v>
      </c>
      <c r="AE123" s="1800"/>
      <c r="AF123" s="2126" t="s">
        <v>72</v>
      </c>
      <c r="AG123" s="2126"/>
      <c r="AH123" s="2126" t="s">
        <v>411</v>
      </c>
      <c r="AI123" s="2126"/>
      <c r="AJ123" s="2126" t="s">
        <v>412</v>
      </c>
      <c r="AK123" s="2126"/>
      <c r="AL123" s="2015" t="s">
        <v>413</v>
      </c>
      <c r="AM123" s="2015"/>
    </row>
    <row r="124" spans="1:119" x14ac:dyDescent="0.25">
      <c r="A124" s="2089"/>
      <c r="B124" s="2089"/>
      <c r="C124" s="1498" t="s">
        <v>230</v>
      </c>
      <c r="D124" s="1380" t="s">
        <v>91</v>
      </c>
      <c r="E124" s="984" t="s">
        <v>231</v>
      </c>
      <c r="F124" s="1212" t="s">
        <v>91</v>
      </c>
      <c r="G124" s="984" t="s">
        <v>231</v>
      </c>
      <c r="H124" s="1212" t="s">
        <v>91</v>
      </c>
      <c r="I124" s="984" t="s">
        <v>231</v>
      </c>
      <c r="J124" s="1212" t="s">
        <v>91</v>
      </c>
      <c r="K124" s="984" t="s">
        <v>231</v>
      </c>
      <c r="L124" s="1212" t="s">
        <v>91</v>
      </c>
      <c r="M124" s="984" t="s">
        <v>231</v>
      </c>
      <c r="N124" s="1212" t="s">
        <v>91</v>
      </c>
      <c r="O124" s="984" t="s">
        <v>231</v>
      </c>
      <c r="P124" s="1212" t="s">
        <v>91</v>
      </c>
      <c r="Q124" s="984" t="s">
        <v>231</v>
      </c>
      <c r="R124" s="1212" t="s">
        <v>91</v>
      </c>
      <c r="S124" s="984" t="s">
        <v>231</v>
      </c>
      <c r="T124" s="1212" t="s">
        <v>91</v>
      </c>
      <c r="U124" s="984" t="s">
        <v>231</v>
      </c>
      <c r="V124" s="1212" t="s">
        <v>91</v>
      </c>
      <c r="W124" s="984" t="s">
        <v>231</v>
      </c>
      <c r="X124" s="1212" t="s">
        <v>91</v>
      </c>
      <c r="Y124" s="984" t="s">
        <v>231</v>
      </c>
      <c r="Z124" s="1212" t="s">
        <v>91</v>
      </c>
      <c r="AA124" s="984" t="s">
        <v>231</v>
      </c>
      <c r="AB124" s="1212" t="s">
        <v>91</v>
      </c>
      <c r="AC124" s="984" t="s">
        <v>231</v>
      </c>
      <c r="AD124" s="1212" t="s">
        <v>91</v>
      </c>
      <c r="AE124" s="984" t="s">
        <v>231</v>
      </c>
      <c r="AF124" s="1212" t="s">
        <v>91</v>
      </c>
      <c r="AG124" s="984" t="s">
        <v>231</v>
      </c>
      <c r="AH124" s="1212" t="s">
        <v>91</v>
      </c>
      <c r="AI124" s="984" t="s">
        <v>231</v>
      </c>
      <c r="AJ124" s="1212" t="s">
        <v>91</v>
      </c>
      <c r="AK124" s="984" t="s">
        <v>231</v>
      </c>
      <c r="AL124" s="1212" t="s">
        <v>91</v>
      </c>
      <c r="AM124" s="984" t="s">
        <v>231</v>
      </c>
    </row>
    <row r="125" spans="1:119" ht="15" customHeight="1" x14ac:dyDescent="0.25">
      <c r="A125" s="1065" t="s">
        <v>690</v>
      </c>
      <c r="B125" s="1065" t="s">
        <v>637</v>
      </c>
      <c r="C125" s="1141">
        <f>SUM(D125:E125)</f>
        <v>0</v>
      </c>
      <c r="D125" s="1139">
        <f>+F125+H125+J125+L125+N125+P125+R125+T125+V125+X125+Z125+AB125+AD125+AF125+AH125+AJ125+AL125</f>
        <v>0</v>
      </c>
      <c r="E125" s="1066">
        <f>+G125+I125+K125+M125+O125+Q125+S125+U125+W125+Y125+AA125+AC125+AE125+AG125+AI125+AK125+AM125</f>
        <v>0</v>
      </c>
      <c r="F125" s="1067"/>
      <c r="G125" s="1068"/>
      <c r="H125" s="1067"/>
      <c r="I125" s="1068"/>
      <c r="J125" s="1067"/>
      <c r="K125" s="1075"/>
      <c r="L125" s="1067"/>
      <c r="M125" s="1075"/>
      <c r="N125" s="1067"/>
      <c r="O125" s="1075"/>
      <c r="P125" s="1067"/>
      <c r="Q125" s="1068"/>
      <c r="R125" s="1067"/>
      <c r="S125" s="1068"/>
      <c r="T125" s="1067"/>
      <c r="U125" s="1075"/>
      <c r="V125" s="1067"/>
      <c r="W125" s="1075"/>
      <c r="X125" s="1067"/>
      <c r="Y125" s="1075"/>
      <c r="Z125" s="1067"/>
      <c r="AA125" s="1068"/>
      <c r="AB125" s="1067"/>
      <c r="AC125" s="1068"/>
      <c r="AD125" s="1067"/>
      <c r="AE125" s="1075"/>
      <c r="AF125" s="1067"/>
      <c r="AG125" s="1075"/>
      <c r="AH125" s="1067"/>
      <c r="AI125" s="1075"/>
      <c r="AJ125" s="1067"/>
      <c r="AK125" s="1075"/>
      <c r="AL125" s="1067"/>
      <c r="AM125" s="1069"/>
      <c r="AN125" s="220"/>
    </row>
    <row r="126" spans="1:119" ht="15" customHeight="1" x14ac:dyDescent="0.25">
      <c r="A126" s="1070" t="s">
        <v>691</v>
      </c>
      <c r="B126" s="1070" t="s">
        <v>637</v>
      </c>
      <c r="C126" s="1142">
        <f>SUM(D126:E126)</f>
        <v>0</v>
      </c>
      <c r="D126" s="1140">
        <f>+F126+H126+J126+L126+N126+P126+R126+T126+V126+X126+Z126+AB126+AD126+AF126+AH126+AJ126+AL126</f>
        <v>0</v>
      </c>
      <c r="E126" s="1071">
        <f>+G126+I126+K126+M126+O126+Q126+S126+U126+W126+Y126+AA126+AC126+AE126+AG126+AI126+AK126+AM126</f>
        <v>0</v>
      </c>
      <c r="F126" s="1072"/>
      <c r="G126" s="1073"/>
      <c r="H126" s="1072"/>
      <c r="I126" s="1073"/>
      <c r="J126" s="1072"/>
      <c r="K126" s="1076"/>
      <c r="L126" s="1072"/>
      <c r="M126" s="1076"/>
      <c r="N126" s="1072"/>
      <c r="O126" s="1076"/>
      <c r="P126" s="1072"/>
      <c r="Q126" s="1073"/>
      <c r="R126" s="1072"/>
      <c r="S126" s="1073"/>
      <c r="T126" s="1072"/>
      <c r="U126" s="1076"/>
      <c r="V126" s="1072"/>
      <c r="W126" s="1076"/>
      <c r="X126" s="1072"/>
      <c r="Y126" s="1076"/>
      <c r="Z126" s="1072"/>
      <c r="AA126" s="1073"/>
      <c r="AB126" s="1072"/>
      <c r="AC126" s="1073"/>
      <c r="AD126" s="1072"/>
      <c r="AE126" s="1076"/>
      <c r="AF126" s="1072"/>
      <c r="AG126" s="1076"/>
      <c r="AH126" s="1072"/>
      <c r="AI126" s="1076"/>
      <c r="AJ126" s="1072"/>
      <c r="AK126" s="1076"/>
      <c r="AL126" s="1072"/>
      <c r="AM126" s="107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71">
        <f>SUM(C13:C58,C63:C64,C69,C75:C120,C125:C126)</f>
        <v>3110</v>
      </c>
      <c r="B146" s="193" t="s">
        <v>210</v>
      </c>
    </row>
    <row r="147" spans="1:2" ht="15" hidden="1" customHeight="1" x14ac:dyDescent="0.25">
      <c r="A147" s="1471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abSelected="1" zoomScale="110" zoomScaleNormal="110" workbookViewId="0">
      <selection activeCell="M11" sqref="M11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2" t="s">
        <v>710</v>
      </c>
      <c r="B7" s="2142"/>
      <c r="C7" s="2142"/>
      <c r="D7" s="2142"/>
      <c r="E7" s="2142"/>
      <c r="F7" s="2142"/>
      <c r="G7" s="2142"/>
      <c r="H7" s="2142"/>
      <c r="I7" s="2142"/>
      <c r="J7" s="2142"/>
      <c r="K7" s="1106"/>
      <c r="L7" s="1091"/>
      <c r="M7" s="107"/>
    </row>
    <row r="8" spans="1:72" ht="17.100000000000001" customHeight="1" x14ac:dyDescent="0.15">
      <c r="A8" s="2156" t="s">
        <v>711</v>
      </c>
      <c r="B8" s="2156"/>
      <c r="C8" s="2156"/>
      <c r="D8" s="2156"/>
      <c r="E8" s="2156"/>
      <c r="F8" s="2156"/>
      <c r="G8" s="2156"/>
      <c r="H8" s="2156"/>
      <c r="I8" s="2156"/>
      <c r="J8" s="2156"/>
    </row>
    <row r="9" spans="1:72" ht="20.100000000000001" customHeight="1" x14ac:dyDescent="0.15">
      <c r="A9" s="1535" t="s">
        <v>712</v>
      </c>
      <c r="B9" s="1482" t="s">
        <v>54</v>
      </c>
      <c r="C9" s="1380" t="s">
        <v>713</v>
      </c>
      <c r="D9" s="818" t="s">
        <v>714</v>
      </c>
      <c r="E9" s="818" t="s">
        <v>715</v>
      </c>
      <c r="F9" s="818" t="s">
        <v>716</v>
      </c>
      <c r="G9" s="818" t="s">
        <v>717</v>
      </c>
      <c r="H9" s="818" t="s">
        <v>718</v>
      </c>
      <c r="I9" s="818" t="s">
        <v>719</v>
      </c>
      <c r="J9" s="984" t="s">
        <v>720</v>
      </c>
    </row>
    <row r="10" spans="1:72" ht="15" customHeight="1" x14ac:dyDescent="0.15">
      <c r="A10" s="196" t="s">
        <v>721</v>
      </c>
      <c r="B10" s="551">
        <f>SUM(C10:J10)</f>
        <v>6331</v>
      </c>
      <c r="C10" s="262">
        <v>3263</v>
      </c>
      <c r="D10" s="263">
        <v>3068</v>
      </c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2">
        <f>SUM(C11:J11)</f>
        <v>911</v>
      </c>
      <c r="C11" s="277">
        <v>481</v>
      </c>
      <c r="D11" s="278">
        <v>430</v>
      </c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8">
        <f>IF(C$10 &lt;(C$11), 1,0)</f>
        <v>0</v>
      </c>
      <c r="BN11" s="1038">
        <f t="shared" ref="BN11:BT11" si="0">IF(D$10 &lt;(D$11), 1,0)</f>
        <v>0</v>
      </c>
      <c r="BO11" s="1038">
        <f t="shared" si="0"/>
        <v>0</v>
      </c>
      <c r="BP11" s="1038">
        <f t="shared" si="0"/>
        <v>0</v>
      </c>
      <c r="BQ11" s="1038">
        <f t="shared" si="0"/>
        <v>0</v>
      </c>
      <c r="BR11" s="1038">
        <f t="shared" si="0"/>
        <v>0</v>
      </c>
      <c r="BS11" s="1038">
        <f t="shared" si="0"/>
        <v>0</v>
      </c>
      <c r="BT11" s="1038">
        <f t="shared" si="0"/>
        <v>0</v>
      </c>
    </row>
    <row r="12" spans="1:72" ht="15" customHeight="1" x14ac:dyDescent="0.15">
      <c r="A12" s="199" t="s">
        <v>723</v>
      </c>
      <c r="B12" s="552">
        <f>SUM(C12:J12)</f>
        <v>230</v>
      </c>
      <c r="C12" s="277">
        <v>119</v>
      </c>
      <c r="D12" s="278">
        <v>111</v>
      </c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724</v>
      </c>
      <c r="B13" s="552">
        <f>SUM(C13:J13)</f>
        <v>367</v>
      </c>
      <c r="C13" s="277">
        <v>184</v>
      </c>
      <c r="D13" s="278">
        <v>183</v>
      </c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725</v>
      </c>
      <c r="B14" s="307">
        <f>SUM(C14:J14)</f>
        <v>314</v>
      </c>
      <c r="C14" s="268">
        <v>178</v>
      </c>
      <c r="D14" s="269">
        <v>136</v>
      </c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57" t="s">
        <v>726</v>
      </c>
      <c r="B15" s="2157"/>
      <c r="C15" s="2157"/>
      <c r="D15" s="2157"/>
      <c r="E15" s="2157"/>
      <c r="F15" s="2157"/>
      <c r="G15" s="2157"/>
      <c r="H15" s="2157"/>
      <c r="I15" s="2157"/>
      <c r="J15" s="2157"/>
      <c r="K15" s="73"/>
    </row>
    <row r="16" spans="1:72" ht="15.75" customHeight="1" x14ac:dyDescent="0.15">
      <c r="A16" s="1535" t="s">
        <v>712</v>
      </c>
      <c r="B16" s="1482" t="s">
        <v>54</v>
      </c>
      <c r="C16" s="1380" t="s">
        <v>713</v>
      </c>
      <c r="D16" s="818" t="s">
        <v>714</v>
      </c>
      <c r="E16" s="818" t="s">
        <v>715</v>
      </c>
      <c r="F16" s="818" t="s">
        <v>716</v>
      </c>
      <c r="G16" s="818" t="s">
        <v>717</v>
      </c>
      <c r="H16" s="818" t="s">
        <v>718</v>
      </c>
      <c r="I16" s="818" t="s">
        <v>719</v>
      </c>
      <c r="J16" s="1400" t="s">
        <v>720</v>
      </c>
      <c r="K16" s="73"/>
    </row>
    <row r="17" spans="1:72" ht="15" customHeight="1" x14ac:dyDescent="0.15">
      <c r="A17" s="196" t="s">
        <v>721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8">
        <f>IF(C$17 &lt;(C$18), 1,0)</f>
        <v>0</v>
      </c>
      <c r="BN18" s="1038">
        <f t="shared" ref="BN18:BS18" si="2">IF(D17 &lt;(D18), 1,0)</f>
        <v>0</v>
      </c>
      <c r="BO18" s="1038">
        <f t="shared" si="2"/>
        <v>0</v>
      </c>
      <c r="BP18" s="1038">
        <f t="shared" si="2"/>
        <v>0</v>
      </c>
      <c r="BQ18" s="1038">
        <f t="shared" si="2"/>
        <v>0</v>
      </c>
      <c r="BR18" s="1038">
        <f t="shared" si="2"/>
        <v>0</v>
      </c>
      <c r="BS18" s="1038">
        <f t="shared" si="2"/>
        <v>0</v>
      </c>
      <c r="BT18" s="1038">
        <f>IF(J17 &lt;(J18), 1,0)</f>
        <v>0</v>
      </c>
    </row>
    <row r="19" spans="1:72" ht="15" customHeight="1" x14ac:dyDescent="0.15">
      <c r="A19" s="199" t="s">
        <v>723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6" t="s">
        <v>727</v>
      </c>
      <c r="B22" s="2156"/>
      <c r="C22" s="2156"/>
      <c r="D22" s="2156"/>
      <c r="E22" s="2156"/>
      <c r="F22" s="2156"/>
      <c r="G22" s="2156"/>
      <c r="H22" s="2156"/>
      <c r="I22" s="2156"/>
      <c r="J22" s="2156"/>
      <c r="K22" s="2156"/>
      <c r="L22" s="2156"/>
    </row>
    <row r="23" spans="1:72" ht="20.100000000000001" customHeight="1" x14ac:dyDescent="0.15">
      <c r="A23" s="2143" t="s">
        <v>728</v>
      </c>
      <c r="B23" s="2144"/>
      <c r="C23" s="2145"/>
      <c r="D23" s="1536" t="s">
        <v>54</v>
      </c>
      <c r="E23" s="1225" t="s">
        <v>713</v>
      </c>
      <c r="F23" s="1036" t="s">
        <v>714</v>
      </c>
      <c r="G23" s="1036" t="s">
        <v>715</v>
      </c>
      <c r="H23" s="1036" t="s">
        <v>716</v>
      </c>
      <c r="I23" s="1036" t="s">
        <v>717</v>
      </c>
      <c r="J23" s="1036" t="s">
        <v>718</v>
      </c>
      <c r="K23" s="1537" t="s">
        <v>719</v>
      </c>
      <c r="L23" s="1538" t="s">
        <v>720</v>
      </c>
      <c r="M23" s="33"/>
    </row>
    <row r="24" spans="1:72" ht="15" customHeight="1" x14ac:dyDescent="0.15">
      <c r="A24" s="2152" t="s">
        <v>729</v>
      </c>
      <c r="B24" s="2152"/>
      <c r="C24" s="2153"/>
      <c r="D24" s="548">
        <f t="shared" ref="D24:D32" si="3">SUM(E24:L24)</f>
        <v>295</v>
      </c>
      <c r="E24" s="553">
        <v>162</v>
      </c>
      <c r="F24" s="554">
        <v>133</v>
      </c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54" t="s">
        <v>730</v>
      </c>
      <c r="B25" s="2148" t="s">
        <v>547</v>
      </c>
      <c r="C25" s="2149"/>
      <c r="D25" s="549">
        <f t="shared" si="3"/>
        <v>179</v>
      </c>
      <c r="E25" s="556">
        <v>92</v>
      </c>
      <c r="F25" s="557">
        <v>87</v>
      </c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55"/>
      <c r="B26" s="2146" t="s">
        <v>731</v>
      </c>
      <c r="C26" s="2147"/>
      <c r="D26" s="549">
        <f t="shared" si="3"/>
        <v>256</v>
      </c>
      <c r="E26" s="556">
        <v>130</v>
      </c>
      <c r="F26" s="557">
        <v>126</v>
      </c>
      <c r="G26" s="557"/>
      <c r="H26" s="557"/>
      <c r="I26" s="557"/>
      <c r="J26" s="557"/>
      <c r="K26" s="557"/>
      <c r="L26" s="558"/>
    </row>
    <row r="27" spans="1:72" ht="15" customHeight="1" x14ac:dyDescent="0.15">
      <c r="A27" s="2153"/>
      <c r="B27" s="2150" t="s">
        <v>549</v>
      </c>
      <c r="C27" s="2151"/>
      <c r="D27" s="548">
        <f t="shared" si="3"/>
        <v>181</v>
      </c>
      <c r="E27" s="553">
        <v>97</v>
      </c>
      <c r="F27" s="554">
        <v>84</v>
      </c>
      <c r="G27" s="554"/>
      <c r="H27" s="554"/>
      <c r="I27" s="554"/>
      <c r="J27" s="554"/>
      <c r="K27" s="554"/>
      <c r="L27" s="555"/>
    </row>
    <row r="28" spans="1:72" ht="15" customHeight="1" x14ac:dyDescent="0.15">
      <c r="A28" s="2154" t="s">
        <v>732</v>
      </c>
      <c r="B28" s="2148" t="s">
        <v>733</v>
      </c>
      <c r="C28" s="2149"/>
      <c r="D28" s="550">
        <f t="shared" si="3"/>
        <v>143</v>
      </c>
      <c r="E28" s="559">
        <v>74</v>
      </c>
      <c r="F28" s="560">
        <v>69</v>
      </c>
      <c r="G28" s="560"/>
      <c r="H28" s="560"/>
      <c r="I28" s="560"/>
      <c r="J28" s="560"/>
      <c r="K28" s="560"/>
      <c r="L28" s="561"/>
    </row>
    <row r="29" spans="1:72" ht="15" customHeight="1" x14ac:dyDescent="0.15">
      <c r="A29" s="2155"/>
      <c r="B29" s="2146" t="s">
        <v>734</v>
      </c>
      <c r="C29" s="2147"/>
      <c r="D29" s="549">
        <f t="shared" si="3"/>
        <v>143</v>
      </c>
      <c r="E29" s="556">
        <v>74</v>
      </c>
      <c r="F29" s="557">
        <v>69</v>
      </c>
      <c r="G29" s="557"/>
      <c r="H29" s="557"/>
      <c r="I29" s="557"/>
      <c r="J29" s="557"/>
      <c r="K29" s="557"/>
      <c r="L29" s="562"/>
    </row>
    <row r="30" spans="1:72" ht="15" customHeight="1" x14ac:dyDescent="0.15">
      <c r="A30" s="2155"/>
      <c r="B30" s="2146" t="s">
        <v>735</v>
      </c>
      <c r="C30" s="2147"/>
      <c r="D30" s="549">
        <f t="shared" si="3"/>
        <v>1</v>
      </c>
      <c r="E30" s="556">
        <v>0</v>
      </c>
      <c r="F30" s="557">
        <v>1</v>
      </c>
      <c r="G30" s="557"/>
      <c r="H30" s="557"/>
      <c r="I30" s="557"/>
      <c r="J30" s="557"/>
      <c r="K30" s="557"/>
      <c r="L30" s="562"/>
    </row>
    <row r="31" spans="1:72" ht="15" customHeight="1" x14ac:dyDescent="0.15">
      <c r="A31" s="2155"/>
      <c r="B31" s="2146" t="s">
        <v>736</v>
      </c>
      <c r="C31" s="2147"/>
      <c r="D31" s="549">
        <f t="shared" si="3"/>
        <v>0</v>
      </c>
      <c r="E31" s="556">
        <v>0</v>
      </c>
      <c r="F31" s="557">
        <v>0</v>
      </c>
      <c r="G31" s="557"/>
      <c r="H31" s="557"/>
      <c r="I31" s="557"/>
      <c r="J31" s="557"/>
      <c r="K31" s="557"/>
      <c r="L31" s="562"/>
    </row>
    <row r="32" spans="1:72" ht="15" customHeight="1" x14ac:dyDescent="0.15">
      <c r="A32" s="2153"/>
      <c r="B32" s="2150" t="s">
        <v>737</v>
      </c>
      <c r="C32" s="2151"/>
      <c r="D32" s="548">
        <f t="shared" si="3"/>
        <v>2</v>
      </c>
      <c r="E32" s="553">
        <v>0</v>
      </c>
      <c r="F32" s="554">
        <v>2</v>
      </c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486">
        <f>SUM(B10:B14,B17:B21,D24:D32)</f>
        <v>9353</v>
      </c>
      <c r="B49" s="189" t="s">
        <v>210</v>
      </c>
    </row>
    <row r="50" spans="1:2" ht="12" hidden="1" customHeight="1" x14ac:dyDescent="0.15">
      <c r="A50" s="1486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="73" zoomScaleNormal="73" workbookViewId="0">
      <selection activeCell="A12" sqref="A12:B12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5" t="s">
        <v>738</v>
      </c>
      <c r="B7" s="2165"/>
      <c r="C7" s="2165"/>
      <c r="D7" s="2165"/>
      <c r="E7" s="2165"/>
      <c r="F7" s="2165"/>
      <c r="G7" s="2165"/>
      <c r="H7" s="2165"/>
      <c r="I7" s="2165"/>
      <c r="J7" s="2165"/>
      <c r="K7" s="2165"/>
      <c r="L7" s="2165"/>
      <c r="M7" s="2165"/>
      <c r="N7" s="2165"/>
      <c r="O7" s="2165"/>
      <c r="P7" s="2165"/>
      <c r="Q7" s="2165"/>
      <c r="S7" s="565"/>
      <c r="T7" s="565"/>
    </row>
    <row r="9" spans="1:46" ht="17.100000000000001" customHeight="1" x14ac:dyDescent="0.15">
      <c r="A9" s="2166" t="s">
        <v>739</v>
      </c>
      <c r="B9" s="2166"/>
      <c r="C9" s="2166"/>
      <c r="D9" s="2166"/>
      <c r="E9" s="2166"/>
      <c r="F9" s="2166"/>
      <c r="G9" s="2166"/>
      <c r="H9" s="2166"/>
      <c r="I9" s="2166"/>
      <c r="J9" s="2166"/>
      <c r="K9" s="2166"/>
      <c r="L9" s="2166"/>
      <c r="M9" s="2166"/>
      <c r="N9" s="2166"/>
      <c r="O9" s="2166"/>
      <c r="P9" s="2166"/>
      <c r="Q9" s="2166"/>
      <c r="AJ9" s="1648" t="s">
        <v>628</v>
      </c>
      <c r="AK9" s="1650"/>
      <c r="AL9" s="1710" t="s">
        <v>629</v>
      </c>
      <c r="AM9" s="1653"/>
    </row>
    <row r="10" spans="1:46" ht="21" customHeight="1" x14ac:dyDescent="0.15">
      <c r="A10" s="2172" t="s">
        <v>740</v>
      </c>
      <c r="B10" s="2173"/>
      <c r="C10" s="1941" t="s">
        <v>54</v>
      </c>
      <c r="D10" s="1941"/>
      <c r="E10" s="1941"/>
      <c r="F10" s="1941" t="s">
        <v>321</v>
      </c>
      <c r="G10" s="1941"/>
      <c r="H10" s="1941"/>
      <c r="I10" s="1941" t="s">
        <v>741</v>
      </c>
      <c r="J10" s="1941"/>
      <c r="K10" s="2176"/>
      <c r="L10" s="2179" t="s">
        <v>742</v>
      </c>
      <c r="M10" s="1941"/>
      <c r="N10" s="1941"/>
      <c r="O10" s="1941" t="s">
        <v>57</v>
      </c>
      <c r="P10" s="1941"/>
      <c r="Q10" s="1941"/>
      <c r="AJ10" s="1440" t="s">
        <v>743</v>
      </c>
      <c r="AK10" s="1440" t="s">
        <v>744</v>
      </c>
      <c r="AL10" s="1440" t="s">
        <v>743</v>
      </c>
      <c r="AM10" s="1440" t="s">
        <v>744</v>
      </c>
    </row>
    <row r="11" spans="1:46" ht="21" x14ac:dyDescent="0.15">
      <c r="A11" s="2174"/>
      <c r="B11" s="2175"/>
      <c r="C11" s="1498" t="s">
        <v>230</v>
      </c>
      <c r="D11" s="1226" t="s">
        <v>91</v>
      </c>
      <c r="E11" s="1539" t="s">
        <v>231</v>
      </c>
      <c r="F11" s="1498" t="s">
        <v>414</v>
      </c>
      <c r="G11" s="1226" t="s">
        <v>91</v>
      </c>
      <c r="H11" s="1539" t="s">
        <v>231</v>
      </c>
      <c r="I11" s="1498" t="s">
        <v>414</v>
      </c>
      <c r="J11" s="1226" t="s">
        <v>91</v>
      </c>
      <c r="K11" s="1540" t="s">
        <v>231</v>
      </c>
      <c r="L11" s="1539" t="s">
        <v>414</v>
      </c>
      <c r="M11" s="1226" t="s">
        <v>91</v>
      </c>
      <c r="N11" s="1539" t="s">
        <v>231</v>
      </c>
      <c r="O11" s="1498" t="s">
        <v>414</v>
      </c>
      <c r="P11" s="1226" t="s">
        <v>91</v>
      </c>
      <c r="Q11" s="1539" t="s">
        <v>231</v>
      </c>
    </row>
    <row r="12" spans="1:46" ht="15" customHeight="1" x14ac:dyDescent="0.15">
      <c r="A12" s="2170" t="s">
        <v>745</v>
      </c>
      <c r="B12" s="2171"/>
      <c r="C12" s="1541">
        <f>SUM(D12:E12)</f>
        <v>568</v>
      </c>
      <c r="D12" s="1227">
        <f>+G12+J12</f>
        <v>196</v>
      </c>
      <c r="E12" s="1542">
        <f>+H12+K12</f>
        <v>372</v>
      </c>
      <c r="F12" s="1541">
        <f>SUM(G12:H12)</f>
        <v>313</v>
      </c>
      <c r="G12" s="1228">
        <v>128</v>
      </c>
      <c r="H12" s="1543">
        <v>185</v>
      </c>
      <c r="I12" s="1541">
        <f>SUM(J12:K12)</f>
        <v>255</v>
      </c>
      <c r="J12" s="1228">
        <v>68</v>
      </c>
      <c r="K12" s="1544">
        <v>187</v>
      </c>
      <c r="L12" s="1542">
        <f>SUM(M12:N12)</f>
        <v>183</v>
      </c>
      <c r="M12" s="1228">
        <v>59</v>
      </c>
      <c r="N12" s="1543">
        <v>124</v>
      </c>
      <c r="O12" s="1541">
        <f>SUM(P12:Q12)</f>
        <v>30</v>
      </c>
      <c r="P12" s="1228">
        <v>13</v>
      </c>
      <c r="Q12" s="1543">
        <v>17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8">
        <f>IF(AND($D12&gt;0,OR(M12="")),1,IF(M12&gt;$D12,1,0))</f>
        <v>0</v>
      </c>
      <c r="AR12" s="1038">
        <f>IF(AND($E12&gt;0,OR(N12="")),1,IF(N12&gt;$E12,1,0))</f>
        <v>0</v>
      </c>
      <c r="AS12" s="1038">
        <f>IF(AND($D12&gt;0,OR(P12="")),1,IF(P12&gt;$D12,1,0))</f>
        <v>0</v>
      </c>
      <c r="AT12" s="1038">
        <f>IF(AND($E12&gt;0,OR(Q12="")),1,IF(Q12&gt;$E12,1,0))</f>
        <v>0</v>
      </c>
    </row>
    <row r="13" spans="1:46" ht="17.100000000000001" customHeight="1" x14ac:dyDescent="0.15">
      <c r="A13" s="2167" t="s">
        <v>746</v>
      </c>
      <c r="B13" s="2167"/>
      <c r="C13" s="2167"/>
      <c r="D13" s="2167"/>
      <c r="E13" s="2167"/>
      <c r="F13" s="2167"/>
      <c r="G13" s="2167"/>
      <c r="H13" s="2167"/>
      <c r="I13" s="2167"/>
      <c r="J13" s="2167"/>
      <c r="K13" s="2167"/>
      <c r="L13" s="2167"/>
      <c r="M13" s="2167"/>
      <c r="N13" s="2167"/>
      <c r="O13" s="2167"/>
      <c r="P13" s="2167"/>
      <c r="Q13" s="2167"/>
    </row>
    <row r="14" spans="1:46" s="172" customFormat="1" ht="27" customHeight="1" x14ac:dyDescent="0.15">
      <c r="A14" s="2201" t="s">
        <v>747</v>
      </c>
      <c r="B14" s="2202"/>
      <c r="C14" s="2177" t="s">
        <v>54</v>
      </c>
      <c r="D14" s="2178"/>
      <c r="E14" s="2179"/>
      <c r="F14" s="2177" t="s">
        <v>748</v>
      </c>
      <c r="G14" s="2178"/>
      <c r="H14" s="2179"/>
      <c r="I14" s="2177" t="s">
        <v>741</v>
      </c>
      <c r="J14" s="2178"/>
      <c r="K14" s="2178"/>
      <c r="L14" s="2185" t="s">
        <v>742</v>
      </c>
      <c r="M14" s="2178"/>
      <c r="N14" s="2179"/>
      <c r="O14" s="2178" t="s">
        <v>57</v>
      </c>
      <c r="P14" s="2178"/>
      <c r="Q14" s="2179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3"/>
      <c r="B15" s="2204"/>
      <c r="C15" s="1498" t="s">
        <v>230</v>
      </c>
      <c r="D15" s="1226" t="s">
        <v>91</v>
      </c>
      <c r="E15" s="1546" t="s">
        <v>231</v>
      </c>
      <c r="F15" s="1226" t="s">
        <v>414</v>
      </c>
      <c r="G15" s="1226" t="s">
        <v>91</v>
      </c>
      <c r="H15" s="1546" t="s">
        <v>231</v>
      </c>
      <c r="I15" s="1226" t="s">
        <v>414</v>
      </c>
      <c r="J15" s="1226" t="s">
        <v>91</v>
      </c>
      <c r="K15" s="1545" t="s">
        <v>231</v>
      </c>
      <c r="L15" s="168" t="s">
        <v>414</v>
      </c>
      <c r="M15" s="1226" t="s">
        <v>91</v>
      </c>
      <c r="N15" s="1539" t="s">
        <v>231</v>
      </c>
      <c r="O15" s="1546" t="s">
        <v>414</v>
      </c>
      <c r="P15" s="1226" t="s">
        <v>91</v>
      </c>
      <c r="Q15" s="1539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0" t="s">
        <v>257</v>
      </c>
      <c r="B16" s="1317" t="s">
        <v>749</v>
      </c>
      <c r="C16" s="235">
        <f t="shared" ref="C16:C42" si="0">SUM(D16:E16)</f>
        <v>32</v>
      </c>
      <c r="D16" s="236">
        <f>+G16+J16</f>
        <v>14</v>
      </c>
      <c r="E16" s="237">
        <f t="shared" ref="E16:E42" si="1">+H16+K16</f>
        <v>18</v>
      </c>
      <c r="F16" s="235">
        <f>SUM(G16:H16)</f>
        <v>18</v>
      </c>
      <c r="G16" s="144">
        <v>12</v>
      </c>
      <c r="H16" s="145">
        <v>6</v>
      </c>
      <c r="I16" s="235">
        <f>SUM(J16:K16)</f>
        <v>14</v>
      </c>
      <c r="J16" s="144">
        <v>2</v>
      </c>
      <c r="K16" s="145">
        <v>12</v>
      </c>
      <c r="L16" s="238">
        <f>SUM(M16:N16)</f>
        <v>16</v>
      </c>
      <c r="M16" s="144">
        <v>8</v>
      </c>
      <c r="N16" s="145">
        <v>8</v>
      </c>
      <c r="O16" s="239">
        <f>SUM(P16:Q16)</f>
        <v>1</v>
      </c>
      <c r="P16" s="144">
        <v>0</v>
      </c>
      <c r="Q16" s="145">
        <v>1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8">
        <f t="shared" ref="AQ16:AQ18" si="5">IF(AND($D16&gt;0,OR(M16="")),1,IF(M16&gt;$D16,1,0))</f>
        <v>0</v>
      </c>
      <c r="AR16" s="1038">
        <f t="shared" ref="AR16:AR18" si="6">IF(AND($E16&gt;0,OR(N16="")),1,IF(N16&gt;$E16,1,0))</f>
        <v>0</v>
      </c>
      <c r="AS16" s="1038">
        <f t="shared" ref="AS16:AS18" si="7">IF(AND($D16&gt;0,OR(P16="")),1,IF(P16&gt;$D16,1,0))</f>
        <v>0</v>
      </c>
      <c r="AT16" s="1038">
        <f t="shared" ref="AT16:AT18" si="8">IF(AND($E16&gt;0,OR(Q16="")),1,IF(Q16&gt;$E16,1,0))</f>
        <v>0</v>
      </c>
    </row>
    <row r="17" spans="1:46" s="172" customFormat="1" ht="15" customHeight="1" x14ac:dyDescent="0.25">
      <c r="A17" s="1720"/>
      <c r="B17" s="113" t="s">
        <v>750</v>
      </c>
      <c r="C17" s="240">
        <f t="shared" si="0"/>
        <v>103</v>
      </c>
      <c r="D17" s="241">
        <f t="shared" ref="D17:D22" si="9">+G17+J17</f>
        <v>34</v>
      </c>
      <c r="E17" s="237">
        <f>+H17+K17</f>
        <v>69</v>
      </c>
      <c r="F17" s="240">
        <f>SUM(G17:H17)</f>
        <v>58</v>
      </c>
      <c r="G17" s="146">
        <v>27</v>
      </c>
      <c r="H17" s="147">
        <v>31</v>
      </c>
      <c r="I17" s="240">
        <f>SUM(J17:K17)</f>
        <v>45</v>
      </c>
      <c r="J17" s="146">
        <v>7</v>
      </c>
      <c r="K17" s="147">
        <v>38</v>
      </c>
      <c r="L17" s="242">
        <f>SUM(M17:N17)</f>
        <v>46</v>
      </c>
      <c r="M17" s="146">
        <v>14</v>
      </c>
      <c r="N17" s="147">
        <v>32</v>
      </c>
      <c r="O17" s="243">
        <f>SUM(P17:Q17)</f>
        <v>1</v>
      </c>
      <c r="P17" s="146">
        <v>0</v>
      </c>
      <c r="Q17" s="147">
        <v>1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8">
        <f t="shared" si="5"/>
        <v>0</v>
      </c>
      <c r="AR17" s="1038">
        <f t="shared" si="6"/>
        <v>0</v>
      </c>
      <c r="AS17" s="1038">
        <f t="shared" si="7"/>
        <v>0</v>
      </c>
      <c r="AT17" s="1038">
        <f t="shared" si="8"/>
        <v>0</v>
      </c>
    </row>
    <row r="18" spans="1:46" s="172" customFormat="1" ht="15" customHeight="1" x14ac:dyDescent="0.15">
      <c r="A18" s="1720"/>
      <c r="B18" s="114" t="s">
        <v>751</v>
      </c>
      <c r="C18" s="244">
        <f t="shared" si="0"/>
        <v>121</v>
      </c>
      <c r="D18" s="245">
        <f t="shared" si="9"/>
        <v>39</v>
      </c>
      <c r="E18" s="246">
        <f t="shared" si="1"/>
        <v>82</v>
      </c>
      <c r="F18" s="244">
        <f>SUM(G18:H18)</f>
        <v>61</v>
      </c>
      <c r="G18" s="148">
        <v>23</v>
      </c>
      <c r="H18" s="149">
        <v>38</v>
      </c>
      <c r="I18" s="244">
        <f>SUM(J18:K18)</f>
        <v>60</v>
      </c>
      <c r="J18" s="148">
        <v>16</v>
      </c>
      <c r="K18" s="149">
        <v>44</v>
      </c>
      <c r="L18" s="247">
        <f>SUM(M18:N18)</f>
        <v>41</v>
      </c>
      <c r="M18" s="148">
        <v>11</v>
      </c>
      <c r="N18" s="149">
        <v>30</v>
      </c>
      <c r="O18" s="246">
        <f>SUM(P18:Q18)</f>
        <v>4</v>
      </c>
      <c r="P18" s="148">
        <v>1</v>
      </c>
      <c r="Q18" s="149">
        <v>3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8">
        <f t="shared" si="5"/>
        <v>0</v>
      </c>
      <c r="AR18" s="1038">
        <f t="shared" si="6"/>
        <v>0</v>
      </c>
      <c r="AS18" s="1038">
        <f t="shared" si="7"/>
        <v>0</v>
      </c>
      <c r="AT18" s="1038">
        <f t="shared" si="8"/>
        <v>0</v>
      </c>
    </row>
    <row r="19" spans="1:46" s="172" customFormat="1" ht="15" customHeight="1" x14ac:dyDescent="0.15">
      <c r="A19" s="1720"/>
      <c r="B19" s="115" t="s">
        <v>752</v>
      </c>
      <c r="C19" s="248">
        <f t="shared" si="0"/>
        <v>256</v>
      </c>
      <c r="D19" s="249">
        <f>+G19+J19</f>
        <v>87</v>
      </c>
      <c r="E19" s="250">
        <f>+H19+K19</f>
        <v>169</v>
      </c>
      <c r="F19" s="248">
        <f t="shared" ref="F19:Q19" si="12">SUM(F16:F18)</f>
        <v>137</v>
      </c>
      <c r="G19" s="249">
        <f t="shared" si="12"/>
        <v>62</v>
      </c>
      <c r="H19" s="250">
        <f t="shared" si="12"/>
        <v>75</v>
      </c>
      <c r="I19" s="248">
        <f t="shared" si="12"/>
        <v>119</v>
      </c>
      <c r="J19" s="249">
        <f t="shared" si="12"/>
        <v>25</v>
      </c>
      <c r="K19" s="251">
        <f t="shared" si="12"/>
        <v>94</v>
      </c>
      <c r="L19" s="252">
        <f t="shared" si="12"/>
        <v>103</v>
      </c>
      <c r="M19" s="249">
        <f t="shared" si="12"/>
        <v>33</v>
      </c>
      <c r="N19" s="250">
        <f t="shared" si="12"/>
        <v>70</v>
      </c>
      <c r="O19" s="250">
        <f t="shared" si="12"/>
        <v>6</v>
      </c>
      <c r="P19" s="249">
        <f t="shared" si="12"/>
        <v>1</v>
      </c>
      <c r="Q19" s="253">
        <f t="shared" si="12"/>
        <v>5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0"/>
      <c r="B20" s="1318" t="s">
        <v>753</v>
      </c>
      <c r="C20" s="235">
        <f t="shared" si="0"/>
        <v>6</v>
      </c>
      <c r="D20" s="236">
        <f t="shared" si="9"/>
        <v>2</v>
      </c>
      <c r="E20" s="237">
        <f t="shared" si="1"/>
        <v>4</v>
      </c>
      <c r="F20" s="235">
        <f>SUM(G20:H20)</f>
        <v>3</v>
      </c>
      <c r="G20" s="134">
        <v>1</v>
      </c>
      <c r="H20" s="135">
        <v>2</v>
      </c>
      <c r="I20" s="235">
        <f>SUM(J20:K20)</f>
        <v>3</v>
      </c>
      <c r="J20" s="134">
        <v>1</v>
      </c>
      <c r="K20" s="156">
        <v>2</v>
      </c>
      <c r="L20" s="254">
        <f>SUM(M20:N20)</f>
        <v>2</v>
      </c>
      <c r="M20" s="134">
        <v>0</v>
      </c>
      <c r="N20" s="135">
        <v>2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8">
        <f>IF(AND($D20&gt;0,OR(M20="")),1,IF(M20&gt;$D20,1,0))</f>
        <v>0</v>
      </c>
      <c r="AR20" s="1038">
        <f>IF(AND($E20&gt;0,OR(N20="")),1,IF(N20&gt;$E20,1,0))</f>
        <v>0</v>
      </c>
      <c r="AS20" s="1038">
        <f>IF(AND($D20&gt;0,OR(P20="")),1,IF(P20&gt;$D20,1,0))</f>
        <v>0</v>
      </c>
      <c r="AT20" s="1038">
        <f>IF(AND($E20&gt;0,OR(Q20="")),1,IF(Q20&gt;$E20,1,0))</f>
        <v>0</v>
      </c>
    </row>
    <row r="21" spans="1:46" s="172" customFormat="1" ht="15" customHeight="1" x14ac:dyDescent="0.15">
      <c r="A21" s="1720"/>
      <c r="B21" s="62" t="s">
        <v>754</v>
      </c>
      <c r="C21" s="255">
        <f t="shared" si="0"/>
        <v>1</v>
      </c>
      <c r="D21" s="256">
        <f t="shared" si="9"/>
        <v>0</v>
      </c>
      <c r="E21" s="151">
        <f t="shared" si="1"/>
        <v>1</v>
      </c>
      <c r="F21" s="255">
        <f>SUM(G21:H21)</f>
        <v>0</v>
      </c>
      <c r="G21" s="136">
        <v>0</v>
      </c>
      <c r="H21" s="137">
        <v>0</v>
      </c>
      <c r="I21" s="255">
        <f>SUM(J21:K21)</f>
        <v>1</v>
      </c>
      <c r="J21" s="136">
        <v>0</v>
      </c>
      <c r="K21" s="167">
        <v>1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8">
        <f>IF(AND($D21&gt;0,OR(M21="")),1,IF(M21&gt;$D21,1,0))</f>
        <v>0</v>
      </c>
      <c r="AR21" s="1038">
        <f>IF(AND($E21&gt;0,OR(N21="")),1,IF(N21&gt;$E21,1,0))</f>
        <v>0</v>
      </c>
      <c r="AS21" s="1038">
        <f>IF(AND($D21&gt;0,OR(P21="")),1,IF(P21&gt;$D21,1,0))</f>
        <v>0</v>
      </c>
      <c r="AT21" s="1038">
        <f>IF(AND($E21&gt;0,OR(Q21="")),1,IF(Q21&gt;$E21,1,0))</f>
        <v>0</v>
      </c>
    </row>
    <row r="22" spans="1:46" s="172" customFormat="1" ht="15" customHeight="1" x14ac:dyDescent="0.15">
      <c r="A22" s="1720"/>
      <c r="B22" s="1443" t="s">
        <v>752</v>
      </c>
      <c r="C22" s="1541">
        <f t="shared" si="0"/>
        <v>7</v>
      </c>
      <c r="D22" s="1227">
        <f t="shared" si="9"/>
        <v>2</v>
      </c>
      <c r="E22" s="1542">
        <f t="shared" si="1"/>
        <v>5</v>
      </c>
      <c r="F22" s="1541">
        <f t="shared" ref="F22:K22" si="13">SUM(F20:F21)</f>
        <v>3</v>
      </c>
      <c r="G22" s="1227">
        <f>SUM(G20:G21)</f>
        <v>1</v>
      </c>
      <c r="H22" s="1542">
        <f>SUM(H20:H21)</f>
        <v>2</v>
      </c>
      <c r="I22" s="1541">
        <f t="shared" si="13"/>
        <v>4</v>
      </c>
      <c r="J22" s="1227">
        <f t="shared" si="13"/>
        <v>1</v>
      </c>
      <c r="K22" s="1547">
        <f t="shared" si="13"/>
        <v>3</v>
      </c>
      <c r="L22" s="234">
        <f t="shared" ref="L22:Q22" si="14">SUM(L20:L21)</f>
        <v>2</v>
      </c>
      <c r="M22" s="1227">
        <f t="shared" si="14"/>
        <v>0</v>
      </c>
      <c r="N22" s="1542">
        <f t="shared" si="14"/>
        <v>2</v>
      </c>
      <c r="O22" s="1542">
        <f t="shared" si="14"/>
        <v>0</v>
      </c>
      <c r="P22" s="1227">
        <f t="shared" si="14"/>
        <v>0</v>
      </c>
      <c r="Q22" s="1197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21"/>
      <c r="B23" s="1462" t="s">
        <v>755</v>
      </c>
      <c r="C23" s="1541">
        <f t="shared" si="0"/>
        <v>305</v>
      </c>
      <c r="D23" s="1227">
        <f>+G23+J23</f>
        <v>107</v>
      </c>
      <c r="E23" s="1542">
        <f t="shared" si="1"/>
        <v>198</v>
      </c>
      <c r="F23" s="1541">
        <f>SUM(G23:H23)</f>
        <v>173</v>
      </c>
      <c r="G23" s="1229">
        <v>65</v>
      </c>
      <c r="H23" s="1198">
        <v>108</v>
      </c>
      <c r="I23" s="1541">
        <f>SUM(J23:K23)</f>
        <v>132</v>
      </c>
      <c r="J23" s="1229">
        <v>42</v>
      </c>
      <c r="K23" s="165">
        <v>90</v>
      </c>
      <c r="L23" s="234">
        <f>SUM(M23:N23)</f>
        <v>78</v>
      </c>
      <c r="M23" s="1229">
        <v>26</v>
      </c>
      <c r="N23" s="1198">
        <v>52</v>
      </c>
      <c r="O23" s="1542">
        <f>SUM(P23:Q23)</f>
        <v>24</v>
      </c>
      <c r="P23" s="1229">
        <v>12</v>
      </c>
      <c r="Q23" s="1198">
        <v>12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83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8">
        <f t="shared" ref="AQ23:AQ25" si="18">IF(AND($D23&gt;0,OR(M23="")),1,IF(M23&gt;$D23,1,0))</f>
        <v>0</v>
      </c>
      <c r="AR23" s="1038">
        <f t="shared" ref="AR23:AR25" si="19">IF(AND($E23&gt;0,OR(N23="")),1,IF(N23&gt;$E23,1,0))</f>
        <v>0</v>
      </c>
      <c r="AS23" s="1038">
        <f t="shared" ref="AS23:AS25" si="20">IF(AND($D23&gt;0,OR(P23="")),1,IF(P23&gt;$D23,1,0))</f>
        <v>0</v>
      </c>
      <c r="AT23" s="1038">
        <f t="shared" ref="AT23:AT25" si="21">IF(AND($E23&gt;0,OR(Q23="")),1,IF(Q23&gt;$E23,1,0))</f>
        <v>0</v>
      </c>
    </row>
    <row r="24" spans="1:46" s="172" customFormat="1" ht="15" customHeight="1" x14ac:dyDescent="0.15">
      <c r="A24" s="1722" t="s">
        <v>239</v>
      </c>
      <c r="B24" s="1548" t="s">
        <v>756</v>
      </c>
      <c r="C24" s="138">
        <f t="shared" si="0"/>
        <v>14</v>
      </c>
      <c r="D24" s="236">
        <f t="shared" ref="D24:D39" si="22">+G24+J24</f>
        <v>7</v>
      </c>
      <c r="E24" s="237">
        <f t="shared" si="1"/>
        <v>7</v>
      </c>
      <c r="F24" s="138">
        <f>SUM(G24:H24)</f>
        <v>10</v>
      </c>
      <c r="G24" s="134">
        <v>6</v>
      </c>
      <c r="H24" s="135">
        <v>4</v>
      </c>
      <c r="I24" s="138">
        <f>SUM(J24:K24)</f>
        <v>4</v>
      </c>
      <c r="J24" s="134">
        <v>1</v>
      </c>
      <c r="K24" s="156">
        <v>3</v>
      </c>
      <c r="L24" s="767">
        <f>SUM(M24:N24)</f>
        <v>4</v>
      </c>
      <c r="M24" s="134">
        <v>3</v>
      </c>
      <c r="N24" s="135">
        <v>1</v>
      </c>
      <c r="O24" s="768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83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8">
        <f t="shared" si="18"/>
        <v>0</v>
      </c>
      <c r="AR24" s="1038">
        <f t="shared" si="19"/>
        <v>0</v>
      </c>
      <c r="AS24" s="1038">
        <f t="shared" si="20"/>
        <v>0</v>
      </c>
      <c r="AT24" s="1038">
        <f t="shared" si="21"/>
        <v>0</v>
      </c>
    </row>
    <row r="25" spans="1:46" s="172" customFormat="1" ht="15" customHeight="1" x14ac:dyDescent="0.15">
      <c r="A25" s="1720"/>
      <c r="B25" s="113" t="s">
        <v>757</v>
      </c>
      <c r="C25" s="139">
        <f t="shared" si="0"/>
        <v>49</v>
      </c>
      <c r="D25" s="256">
        <f t="shared" si="22"/>
        <v>24</v>
      </c>
      <c r="E25" s="151">
        <f t="shared" si="1"/>
        <v>25</v>
      </c>
      <c r="F25" s="139">
        <f>SUM(G25:H25)</f>
        <v>40</v>
      </c>
      <c r="G25" s="148">
        <v>22</v>
      </c>
      <c r="H25" s="149">
        <v>18</v>
      </c>
      <c r="I25" s="185">
        <f>SUM(J25:K25)</f>
        <v>9</v>
      </c>
      <c r="J25" s="148">
        <v>2</v>
      </c>
      <c r="K25" s="157">
        <v>7</v>
      </c>
      <c r="L25" s="769">
        <f>SUM(M25:N25)</f>
        <v>19</v>
      </c>
      <c r="M25" s="148">
        <v>9</v>
      </c>
      <c r="N25" s="149">
        <v>10</v>
      </c>
      <c r="O25" s="770">
        <f>SUM(P25:Q25)</f>
        <v>1</v>
      </c>
      <c r="P25" s="148">
        <v>1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83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8">
        <f t="shared" si="18"/>
        <v>0</v>
      </c>
      <c r="AR25" s="1038">
        <f t="shared" si="19"/>
        <v>0</v>
      </c>
      <c r="AS25" s="1038">
        <f t="shared" si="20"/>
        <v>0</v>
      </c>
      <c r="AT25" s="1038">
        <f t="shared" si="21"/>
        <v>0</v>
      </c>
    </row>
    <row r="26" spans="1:46" s="172" customFormat="1" ht="15" customHeight="1" x14ac:dyDescent="0.15">
      <c r="A26" s="1720"/>
      <c r="B26" s="1549" t="s">
        <v>752</v>
      </c>
      <c r="C26" s="1453">
        <f t="shared" si="0"/>
        <v>63</v>
      </c>
      <c r="D26" s="1227">
        <f t="shared" si="22"/>
        <v>31</v>
      </c>
      <c r="E26" s="1542">
        <f t="shared" si="1"/>
        <v>32</v>
      </c>
      <c r="F26" s="1541">
        <f t="shared" ref="F26:Q26" si="23">SUM(F24:F25)</f>
        <v>50</v>
      </c>
      <c r="G26" s="1227">
        <f>SUM(G24:G25)</f>
        <v>28</v>
      </c>
      <c r="H26" s="1542">
        <f>SUM(H24:H25)</f>
        <v>22</v>
      </c>
      <c r="I26" s="1541">
        <f>SUM(I24:I25)</f>
        <v>13</v>
      </c>
      <c r="J26" s="1227">
        <f t="shared" si="23"/>
        <v>3</v>
      </c>
      <c r="K26" s="1547">
        <f t="shared" si="23"/>
        <v>10</v>
      </c>
      <c r="L26" s="234">
        <f>SUM(L24:L25)</f>
        <v>23</v>
      </c>
      <c r="M26" s="1227">
        <f t="shared" si="23"/>
        <v>12</v>
      </c>
      <c r="N26" s="1542">
        <f t="shared" si="23"/>
        <v>11</v>
      </c>
      <c r="O26" s="1542">
        <f>SUM(O24:O25)</f>
        <v>1</v>
      </c>
      <c r="P26" s="1227">
        <f t="shared" si="23"/>
        <v>1</v>
      </c>
      <c r="Q26" s="1197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0"/>
      <c r="B27" s="1317" t="s">
        <v>758</v>
      </c>
      <c r="C27" s="138">
        <f t="shared" si="0"/>
        <v>96</v>
      </c>
      <c r="D27" s="236">
        <f t="shared" si="22"/>
        <v>25</v>
      </c>
      <c r="E27" s="237">
        <f t="shared" si="1"/>
        <v>71</v>
      </c>
      <c r="F27" s="138">
        <f>SUM(G27:H27)</f>
        <v>33</v>
      </c>
      <c r="G27" s="134">
        <v>12</v>
      </c>
      <c r="H27" s="135">
        <v>21</v>
      </c>
      <c r="I27" s="138">
        <f>SUM(J27:K27)</f>
        <v>63</v>
      </c>
      <c r="J27" s="134">
        <v>13</v>
      </c>
      <c r="K27" s="159">
        <v>50</v>
      </c>
      <c r="L27" s="767">
        <f>SUM(M27:N27)</f>
        <v>33</v>
      </c>
      <c r="M27" s="134">
        <v>7</v>
      </c>
      <c r="N27" s="135">
        <v>26</v>
      </c>
      <c r="O27" s="768">
        <f>SUM(P27:Q27)</f>
        <v>2</v>
      </c>
      <c r="P27" s="134">
        <v>0</v>
      </c>
      <c r="Q27" s="135">
        <v>2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83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8">
        <f t="shared" ref="AQ27:AQ28" si="27">IF(AND($D27&gt;0,OR(M27="")),1,IF(M27&gt;$D27,1,0))</f>
        <v>0</v>
      </c>
      <c r="AR27" s="1038">
        <f t="shared" ref="AR27:AR28" si="28">IF(AND($E27&gt;0,OR(N27="")),1,IF(N27&gt;$E27,1,0))</f>
        <v>0</v>
      </c>
      <c r="AS27" s="1038">
        <f t="shared" ref="AS27:AS28" si="29">IF(AND($D27&gt;0,OR(P27="")),1,IF(P27&gt;$D27,1,0))</f>
        <v>0</v>
      </c>
      <c r="AT27" s="1038">
        <f t="shared" ref="AT27:AT28" si="30">IF(AND($E27&gt;0,OR(Q27="")),1,IF(Q27&gt;$E27,1,0))</f>
        <v>0</v>
      </c>
    </row>
    <row r="28" spans="1:46" s="172" customFormat="1" ht="15" customHeight="1" x14ac:dyDescent="0.15">
      <c r="A28" s="1720"/>
      <c r="B28" s="117" t="s">
        <v>759</v>
      </c>
      <c r="C28" s="139">
        <f t="shared" si="0"/>
        <v>22</v>
      </c>
      <c r="D28" s="256">
        <f t="shared" si="22"/>
        <v>7</v>
      </c>
      <c r="E28" s="151">
        <f t="shared" si="1"/>
        <v>15</v>
      </c>
      <c r="F28" s="139">
        <f>SUM(G28:H28)</f>
        <v>4</v>
      </c>
      <c r="G28" s="136">
        <v>1</v>
      </c>
      <c r="H28" s="137">
        <v>3</v>
      </c>
      <c r="I28" s="139">
        <f>SUM(J28:K28)</f>
        <v>18</v>
      </c>
      <c r="J28" s="136">
        <v>6</v>
      </c>
      <c r="K28" s="157">
        <v>12</v>
      </c>
      <c r="L28" s="771">
        <f>SUM(M28:N28)</f>
        <v>9</v>
      </c>
      <c r="M28" s="136">
        <v>2</v>
      </c>
      <c r="N28" s="137">
        <v>7</v>
      </c>
      <c r="O28" s="772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83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8">
        <f t="shared" si="27"/>
        <v>0</v>
      </c>
      <c r="AR28" s="1038">
        <f t="shared" si="28"/>
        <v>0</v>
      </c>
      <c r="AS28" s="1038">
        <f t="shared" si="29"/>
        <v>0</v>
      </c>
      <c r="AT28" s="1038">
        <f t="shared" si="30"/>
        <v>0</v>
      </c>
    </row>
    <row r="29" spans="1:46" s="172" customFormat="1" ht="15" customHeight="1" x14ac:dyDescent="0.15">
      <c r="A29" s="1720"/>
      <c r="B29" s="1550" t="s">
        <v>752</v>
      </c>
      <c r="C29" s="1541">
        <f t="shared" si="0"/>
        <v>118</v>
      </c>
      <c r="D29" s="1227">
        <f t="shared" si="22"/>
        <v>32</v>
      </c>
      <c r="E29" s="1542">
        <f t="shared" si="1"/>
        <v>86</v>
      </c>
      <c r="F29" s="1541">
        <f t="shared" ref="F29:Q29" si="31">SUM(F27:F28)</f>
        <v>37</v>
      </c>
      <c r="G29" s="1227">
        <f>SUM(G27:G28)</f>
        <v>13</v>
      </c>
      <c r="H29" s="1542">
        <f t="shared" si="31"/>
        <v>24</v>
      </c>
      <c r="I29" s="1541">
        <f>SUM(I27:I28)</f>
        <v>81</v>
      </c>
      <c r="J29" s="1227">
        <f t="shared" si="31"/>
        <v>19</v>
      </c>
      <c r="K29" s="1547">
        <f t="shared" si="31"/>
        <v>62</v>
      </c>
      <c r="L29" s="234">
        <f t="shared" si="31"/>
        <v>42</v>
      </c>
      <c r="M29" s="1227">
        <f t="shared" si="31"/>
        <v>9</v>
      </c>
      <c r="N29" s="1542">
        <f t="shared" si="31"/>
        <v>33</v>
      </c>
      <c r="O29" s="1542">
        <f>SUM(O27:O28)</f>
        <v>2</v>
      </c>
      <c r="P29" s="1227">
        <f t="shared" si="31"/>
        <v>0</v>
      </c>
      <c r="Q29" s="1197">
        <f t="shared" si="31"/>
        <v>2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21"/>
      <c r="B30" s="116" t="s">
        <v>760</v>
      </c>
      <c r="C30" s="773">
        <f t="shared" si="0"/>
        <v>383</v>
      </c>
      <c r="D30" s="249">
        <f t="shared" si="22"/>
        <v>131</v>
      </c>
      <c r="E30" s="250">
        <f>+H30+K30</f>
        <v>252</v>
      </c>
      <c r="F30" s="773">
        <f>SUM(G30:H30)</f>
        <v>226</v>
      </c>
      <c r="G30" s="146">
        <v>87</v>
      </c>
      <c r="H30" s="147">
        <v>139</v>
      </c>
      <c r="I30" s="773">
        <f>SUM(J30:K30)</f>
        <v>157</v>
      </c>
      <c r="J30" s="1229">
        <v>44</v>
      </c>
      <c r="K30" s="165">
        <v>113</v>
      </c>
      <c r="L30" s="774">
        <f>SUM(M30:N30)</f>
        <v>117</v>
      </c>
      <c r="M30" s="1229">
        <v>38</v>
      </c>
      <c r="N30" s="1198">
        <v>79</v>
      </c>
      <c r="O30" s="775">
        <f>SUM(P30:Q30)</f>
        <v>26</v>
      </c>
      <c r="P30" s="1229">
        <v>11</v>
      </c>
      <c r="Q30" s="1198">
        <v>15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83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8">
        <f t="shared" ref="AQ30:AQ33" si="35">IF(AND($D30&gt;0,OR(M30="")),1,IF(M30&gt;$D30,1,0))</f>
        <v>0</v>
      </c>
      <c r="AR30" s="1038">
        <f t="shared" ref="AR30:AR33" si="36">IF(AND($E30&gt;0,OR(N30="")),1,IF(N30&gt;$E30,1,0))</f>
        <v>0</v>
      </c>
      <c r="AS30" s="1038">
        <f t="shared" ref="AS30:AS33" si="37">IF(AND($D30&gt;0,OR(P30="")),1,IF(P30&gt;$D30,1,0))</f>
        <v>0</v>
      </c>
      <c r="AT30" s="1038">
        <f t="shared" ref="AT30:AT33" si="38">IF(AND($E30&gt;0,OR(Q30="")),1,IF(Q30&gt;$E30,1,0))</f>
        <v>0</v>
      </c>
    </row>
    <row r="31" spans="1:46" s="172" customFormat="1" ht="15" customHeight="1" x14ac:dyDescent="0.15">
      <c r="A31" s="1722" t="s">
        <v>761</v>
      </c>
      <c r="B31" s="63" t="s">
        <v>762</v>
      </c>
      <c r="C31" s="138">
        <f t="shared" si="0"/>
        <v>284</v>
      </c>
      <c r="D31" s="236">
        <f t="shared" si="22"/>
        <v>88</v>
      </c>
      <c r="E31" s="237">
        <f t="shared" si="1"/>
        <v>196</v>
      </c>
      <c r="F31" s="138">
        <f>SUM(G31:H31)</f>
        <v>162</v>
      </c>
      <c r="G31" s="144">
        <v>59</v>
      </c>
      <c r="H31" s="145">
        <v>103</v>
      </c>
      <c r="I31" s="186">
        <f>SUM(J31:K31)</f>
        <v>122</v>
      </c>
      <c r="J31" s="144">
        <v>29</v>
      </c>
      <c r="K31" s="159">
        <v>93</v>
      </c>
      <c r="L31" s="776">
        <f>SUM(M31:N31)</f>
        <v>81</v>
      </c>
      <c r="M31" s="144">
        <v>22</v>
      </c>
      <c r="N31" s="145">
        <v>59</v>
      </c>
      <c r="O31" s="777">
        <f>SUM(P31:Q31)</f>
        <v>21</v>
      </c>
      <c r="P31" s="144">
        <v>10</v>
      </c>
      <c r="Q31" s="145">
        <v>11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83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8">
        <f t="shared" si="35"/>
        <v>0</v>
      </c>
      <c r="AR31" s="1038">
        <f t="shared" si="36"/>
        <v>0</v>
      </c>
      <c r="AS31" s="1038">
        <f t="shared" si="37"/>
        <v>0</v>
      </c>
      <c r="AT31" s="1038">
        <f t="shared" si="38"/>
        <v>0</v>
      </c>
    </row>
    <row r="32" spans="1:46" s="172" customFormat="1" ht="15" customHeight="1" x14ac:dyDescent="0.15">
      <c r="A32" s="1720"/>
      <c r="B32" s="118" t="s">
        <v>763</v>
      </c>
      <c r="C32" s="141">
        <f t="shared" si="0"/>
        <v>114</v>
      </c>
      <c r="D32" s="241">
        <f t="shared" si="22"/>
        <v>37</v>
      </c>
      <c r="E32" s="237">
        <f t="shared" si="1"/>
        <v>77</v>
      </c>
      <c r="F32" s="141">
        <f>SUM(G32:H32)</f>
        <v>50</v>
      </c>
      <c r="G32" s="146">
        <v>15</v>
      </c>
      <c r="H32" s="147">
        <v>35</v>
      </c>
      <c r="I32" s="141">
        <f>SUM(J32:K32)</f>
        <v>64</v>
      </c>
      <c r="J32" s="146">
        <v>22</v>
      </c>
      <c r="K32" s="166">
        <v>42</v>
      </c>
      <c r="L32" s="778">
        <f>SUM(M32:N32)</f>
        <v>45</v>
      </c>
      <c r="M32" s="146">
        <v>13</v>
      </c>
      <c r="N32" s="147">
        <v>32</v>
      </c>
      <c r="O32" s="208">
        <f>SUM(P32:Q32)</f>
        <v>4</v>
      </c>
      <c r="P32" s="146">
        <v>2</v>
      </c>
      <c r="Q32" s="147">
        <v>2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83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8">
        <f t="shared" si="35"/>
        <v>0</v>
      </c>
      <c r="AR32" s="1038">
        <f t="shared" si="36"/>
        <v>0</v>
      </c>
      <c r="AS32" s="1038">
        <f t="shared" si="37"/>
        <v>0</v>
      </c>
      <c r="AT32" s="1038">
        <f t="shared" si="38"/>
        <v>0</v>
      </c>
    </row>
    <row r="33" spans="1:46" s="172" customFormat="1" ht="15" customHeight="1" x14ac:dyDescent="0.15">
      <c r="A33" s="1720"/>
      <c r="B33" s="1462" t="s">
        <v>764</v>
      </c>
      <c r="C33" s="139">
        <f t="shared" si="0"/>
        <v>129</v>
      </c>
      <c r="D33" s="256">
        <f t="shared" si="22"/>
        <v>54</v>
      </c>
      <c r="E33" s="151">
        <f t="shared" si="1"/>
        <v>75</v>
      </c>
      <c r="F33" s="139">
        <f>SUM(G33:H33)</f>
        <v>72</v>
      </c>
      <c r="G33" s="148">
        <v>40</v>
      </c>
      <c r="H33" s="149">
        <v>32</v>
      </c>
      <c r="I33" s="185">
        <f>SUM(J33:K33)</f>
        <v>57</v>
      </c>
      <c r="J33" s="148">
        <v>14</v>
      </c>
      <c r="K33" s="157">
        <v>43</v>
      </c>
      <c r="L33" s="769">
        <f>SUM(M33:N33)</f>
        <v>53</v>
      </c>
      <c r="M33" s="148">
        <v>24</v>
      </c>
      <c r="N33" s="149">
        <v>29</v>
      </c>
      <c r="O33" s="770">
        <f>SUM(P33:Q33)</f>
        <v>2</v>
      </c>
      <c r="P33" s="148">
        <v>0</v>
      </c>
      <c r="Q33" s="149">
        <v>2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83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8">
        <f t="shared" si="35"/>
        <v>0</v>
      </c>
      <c r="AR33" s="1038">
        <f t="shared" si="36"/>
        <v>0</v>
      </c>
      <c r="AS33" s="1038">
        <f t="shared" si="37"/>
        <v>0</v>
      </c>
      <c r="AT33" s="1038">
        <f t="shared" si="38"/>
        <v>0</v>
      </c>
    </row>
    <row r="34" spans="1:46" s="172" customFormat="1" ht="15" customHeight="1" x14ac:dyDescent="0.15">
      <c r="A34" s="1721"/>
      <c r="B34" s="1424" t="s">
        <v>54</v>
      </c>
      <c r="C34" s="1541">
        <f t="shared" si="0"/>
        <v>527</v>
      </c>
      <c r="D34" s="1227">
        <f t="shared" si="22"/>
        <v>179</v>
      </c>
      <c r="E34" s="1542">
        <f t="shared" si="1"/>
        <v>348</v>
      </c>
      <c r="F34" s="1541">
        <f>SUM(F31:F33)</f>
        <v>284</v>
      </c>
      <c r="G34" s="1227">
        <f>SUM(G31:G33)</f>
        <v>114</v>
      </c>
      <c r="H34" s="1542">
        <f t="shared" ref="H34:Q34" si="39">SUM(H31:H33)</f>
        <v>170</v>
      </c>
      <c r="I34" s="1541">
        <f>SUM(I31:I33)</f>
        <v>243</v>
      </c>
      <c r="J34" s="1227">
        <f t="shared" si="39"/>
        <v>65</v>
      </c>
      <c r="K34" s="1551">
        <f t="shared" si="39"/>
        <v>178</v>
      </c>
      <c r="L34" s="234">
        <f>SUM(L31:L33)</f>
        <v>179</v>
      </c>
      <c r="M34" s="1227">
        <f t="shared" si="39"/>
        <v>59</v>
      </c>
      <c r="N34" s="1542">
        <f t="shared" si="39"/>
        <v>120</v>
      </c>
      <c r="O34" s="1542">
        <f>SUM(O31:O33)</f>
        <v>27</v>
      </c>
      <c r="P34" s="1227">
        <f t="shared" si="39"/>
        <v>12</v>
      </c>
      <c r="Q34" s="1197">
        <f t="shared" si="39"/>
        <v>15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0" t="s">
        <v>765</v>
      </c>
      <c r="B35" s="119" t="s">
        <v>766</v>
      </c>
      <c r="C35" s="138">
        <f t="shared" si="0"/>
        <v>15</v>
      </c>
      <c r="D35" s="236">
        <f>+G35+J35</f>
        <v>4</v>
      </c>
      <c r="E35" s="237">
        <f>+H35+K35</f>
        <v>11</v>
      </c>
      <c r="F35" s="138">
        <f t="shared" ref="F35:F40" si="40">SUM(G35:H35)</f>
        <v>5</v>
      </c>
      <c r="G35" s="146">
        <v>1</v>
      </c>
      <c r="H35" s="147">
        <v>4</v>
      </c>
      <c r="I35" s="186">
        <f t="shared" ref="I35:I40" si="41">SUM(J35:K35)</f>
        <v>10</v>
      </c>
      <c r="J35" s="146">
        <v>3</v>
      </c>
      <c r="K35" s="170">
        <v>7</v>
      </c>
      <c r="L35" s="776">
        <f t="shared" ref="L35:L40" si="42">SUM(M35:N35)</f>
        <v>5</v>
      </c>
      <c r="M35" s="146">
        <v>1</v>
      </c>
      <c r="N35" s="145">
        <v>4</v>
      </c>
      <c r="O35" s="777">
        <f t="shared" ref="O35:O40" si="43">SUM(P35:Q35)</f>
        <v>1</v>
      </c>
      <c r="P35" s="146">
        <v>1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83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8">
        <f t="shared" ref="AQ35:AQ40" si="48">IF(AND($D35&gt;0,OR(M35="")),1,IF(M35&gt;$D35,1,0))</f>
        <v>0</v>
      </c>
      <c r="AR35" s="1038">
        <f t="shared" ref="AR35:AR40" si="49">IF(AND($E35&gt;0,OR(N35="")),1,IF(N35&gt;$E35,1,0))</f>
        <v>0</v>
      </c>
      <c r="AS35" s="1038">
        <f t="shared" ref="AS35:AS40" si="50">IF(AND($D35&gt;0,OR(P35="")),1,IF(P35&gt;$D35,1,0))</f>
        <v>0</v>
      </c>
      <c r="AT35" s="1038">
        <f t="shared" ref="AT35:AT40" si="51">IF(AND($E35&gt;0,OR(Q35="")),1,IF(Q35&gt;$E35,1,0))</f>
        <v>0</v>
      </c>
    </row>
    <row r="36" spans="1:46" s="172" customFormat="1" ht="15" customHeight="1" x14ac:dyDescent="0.15">
      <c r="A36" s="1720"/>
      <c r="B36" s="60" t="s">
        <v>243</v>
      </c>
      <c r="C36" s="141">
        <f t="shared" si="0"/>
        <v>5</v>
      </c>
      <c r="D36" s="241">
        <f t="shared" si="22"/>
        <v>3</v>
      </c>
      <c r="E36" s="237">
        <f t="shared" si="1"/>
        <v>2</v>
      </c>
      <c r="F36" s="141">
        <f t="shared" si="40"/>
        <v>3</v>
      </c>
      <c r="G36" s="146">
        <v>1</v>
      </c>
      <c r="H36" s="147">
        <v>2</v>
      </c>
      <c r="I36" s="141">
        <f t="shared" si="41"/>
        <v>2</v>
      </c>
      <c r="J36" s="146">
        <v>2</v>
      </c>
      <c r="K36" s="170">
        <v>0</v>
      </c>
      <c r="L36" s="778">
        <f t="shared" si="42"/>
        <v>2</v>
      </c>
      <c r="M36" s="146">
        <v>1</v>
      </c>
      <c r="N36" s="147">
        <v>1</v>
      </c>
      <c r="O36" s="208">
        <f t="shared" si="43"/>
        <v>1</v>
      </c>
      <c r="P36" s="146">
        <v>0</v>
      </c>
      <c r="Q36" s="147">
        <v>1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83" t="str">
        <f t="shared" si="47"/>
        <v/>
      </c>
      <c r="AN36" s="107"/>
      <c r="AO36" s="107"/>
      <c r="AP36" s="107"/>
      <c r="AQ36" s="1038">
        <f t="shared" si="48"/>
        <v>0</v>
      </c>
      <c r="AR36" s="1038">
        <f t="shared" si="49"/>
        <v>0</v>
      </c>
      <c r="AS36" s="1038">
        <f t="shared" si="50"/>
        <v>0</v>
      </c>
      <c r="AT36" s="1038">
        <f t="shared" si="51"/>
        <v>0</v>
      </c>
    </row>
    <row r="37" spans="1:46" s="172" customFormat="1" ht="15" customHeight="1" x14ac:dyDescent="0.15">
      <c r="A37" s="1720"/>
      <c r="B37" s="118" t="s">
        <v>767</v>
      </c>
      <c r="C37" s="141">
        <f t="shared" si="0"/>
        <v>131</v>
      </c>
      <c r="D37" s="241">
        <f t="shared" si="22"/>
        <v>42</v>
      </c>
      <c r="E37" s="237">
        <f t="shared" si="1"/>
        <v>89</v>
      </c>
      <c r="F37" s="141">
        <f t="shared" si="40"/>
        <v>65</v>
      </c>
      <c r="G37" s="146">
        <v>21</v>
      </c>
      <c r="H37" s="147">
        <v>44</v>
      </c>
      <c r="I37" s="141">
        <f t="shared" si="41"/>
        <v>66</v>
      </c>
      <c r="J37" s="146">
        <v>21</v>
      </c>
      <c r="K37" s="170">
        <v>45</v>
      </c>
      <c r="L37" s="778">
        <f t="shared" si="42"/>
        <v>43</v>
      </c>
      <c r="M37" s="146">
        <v>10</v>
      </c>
      <c r="N37" s="147">
        <v>33</v>
      </c>
      <c r="O37" s="208">
        <f t="shared" si="43"/>
        <v>4</v>
      </c>
      <c r="P37" s="146">
        <v>1</v>
      </c>
      <c r="Q37" s="147">
        <v>3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83" t="str">
        <f t="shared" si="47"/>
        <v/>
      </c>
      <c r="AN37" s="107"/>
      <c r="AO37" s="107"/>
      <c r="AP37" s="107"/>
      <c r="AQ37" s="1038">
        <f t="shared" si="48"/>
        <v>0</v>
      </c>
      <c r="AR37" s="1038">
        <f t="shared" si="49"/>
        <v>0</v>
      </c>
      <c r="AS37" s="1038">
        <f t="shared" si="50"/>
        <v>0</v>
      </c>
      <c r="AT37" s="1038">
        <f t="shared" si="51"/>
        <v>0</v>
      </c>
    </row>
    <row r="38" spans="1:46" s="172" customFormat="1" ht="15" customHeight="1" x14ac:dyDescent="0.15">
      <c r="A38" s="1720"/>
      <c r="B38" s="60" t="s">
        <v>245</v>
      </c>
      <c r="C38" s="141">
        <f t="shared" si="0"/>
        <v>139</v>
      </c>
      <c r="D38" s="241">
        <f t="shared" si="22"/>
        <v>53</v>
      </c>
      <c r="E38" s="237">
        <f t="shared" si="1"/>
        <v>86</v>
      </c>
      <c r="F38" s="141">
        <f t="shared" si="40"/>
        <v>78</v>
      </c>
      <c r="G38" s="146">
        <v>38</v>
      </c>
      <c r="H38" s="147">
        <v>40</v>
      </c>
      <c r="I38" s="141">
        <f t="shared" si="41"/>
        <v>61</v>
      </c>
      <c r="J38" s="146">
        <v>15</v>
      </c>
      <c r="K38" s="170">
        <v>46</v>
      </c>
      <c r="L38" s="778">
        <f t="shared" si="42"/>
        <v>62</v>
      </c>
      <c r="M38" s="146">
        <v>24</v>
      </c>
      <c r="N38" s="147">
        <v>38</v>
      </c>
      <c r="O38" s="208">
        <f t="shared" si="43"/>
        <v>1</v>
      </c>
      <c r="P38" s="146">
        <v>0</v>
      </c>
      <c r="Q38" s="147">
        <v>1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83" t="str">
        <f t="shared" si="47"/>
        <v/>
      </c>
      <c r="AN38" s="107"/>
      <c r="AO38" s="107"/>
      <c r="AP38" s="107"/>
      <c r="AQ38" s="1038">
        <f t="shared" si="48"/>
        <v>0</v>
      </c>
      <c r="AR38" s="1038">
        <f t="shared" si="49"/>
        <v>0</v>
      </c>
      <c r="AS38" s="1038">
        <f t="shared" si="50"/>
        <v>0</v>
      </c>
      <c r="AT38" s="1038">
        <f t="shared" si="51"/>
        <v>0</v>
      </c>
    </row>
    <row r="39" spans="1:46" s="172" customFormat="1" ht="15" customHeight="1" x14ac:dyDescent="0.15">
      <c r="A39" s="1720"/>
      <c r="B39" s="60" t="s">
        <v>768</v>
      </c>
      <c r="C39" s="141">
        <f t="shared" si="0"/>
        <v>29</v>
      </c>
      <c r="D39" s="241">
        <f t="shared" si="22"/>
        <v>13</v>
      </c>
      <c r="E39" s="237">
        <f t="shared" si="1"/>
        <v>16</v>
      </c>
      <c r="F39" s="141">
        <f t="shared" si="40"/>
        <v>17</v>
      </c>
      <c r="G39" s="146">
        <v>12</v>
      </c>
      <c r="H39" s="147">
        <v>5</v>
      </c>
      <c r="I39" s="141">
        <f t="shared" si="41"/>
        <v>12</v>
      </c>
      <c r="J39" s="146">
        <v>1</v>
      </c>
      <c r="K39" s="170">
        <v>11</v>
      </c>
      <c r="L39" s="778">
        <f t="shared" si="42"/>
        <v>9</v>
      </c>
      <c r="M39" s="146">
        <v>5</v>
      </c>
      <c r="N39" s="147">
        <v>4</v>
      </c>
      <c r="O39" s="208">
        <f t="shared" si="43"/>
        <v>1</v>
      </c>
      <c r="P39" s="146">
        <v>0</v>
      </c>
      <c r="Q39" s="147">
        <v>1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83" t="str">
        <f t="shared" si="47"/>
        <v/>
      </c>
      <c r="AN39" s="107"/>
      <c r="AO39" s="107"/>
      <c r="AP39" s="107"/>
      <c r="AQ39" s="1038">
        <f t="shared" si="48"/>
        <v>0</v>
      </c>
      <c r="AR39" s="1038">
        <f t="shared" si="49"/>
        <v>0</v>
      </c>
      <c r="AS39" s="1038">
        <f t="shared" si="50"/>
        <v>0</v>
      </c>
      <c r="AT39" s="1038">
        <f t="shared" si="51"/>
        <v>0</v>
      </c>
    </row>
    <row r="40" spans="1:46" s="172" customFormat="1" ht="15" customHeight="1" x14ac:dyDescent="0.15">
      <c r="A40" s="1720"/>
      <c r="B40" s="61" t="s">
        <v>769</v>
      </c>
      <c r="C40" s="139">
        <f t="shared" si="0"/>
        <v>247</v>
      </c>
      <c r="D40" s="256">
        <f>+G40+J40</f>
        <v>81</v>
      </c>
      <c r="E40" s="151">
        <f t="shared" si="1"/>
        <v>166</v>
      </c>
      <c r="F40" s="139">
        <f t="shared" si="40"/>
        <v>144</v>
      </c>
      <c r="G40" s="146">
        <v>55</v>
      </c>
      <c r="H40" s="147">
        <v>89</v>
      </c>
      <c r="I40" s="185">
        <f t="shared" si="41"/>
        <v>103</v>
      </c>
      <c r="J40" s="146">
        <v>26</v>
      </c>
      <c r="K40" s="170">
        <v>77</v>
      </c>
      <c r="L40" s="769">
        <f t="shared" si="42"/>
        <v>60</v>
      </c>
      <c r="M40" s="146">
        <v>18</v>
      </c>
      <c r="N40" s="149">
        <v>42</v>
      </c>
      <c r="O40" s="770">
        <f t="shared" si="43"/>
        <v>22</v>
      </c>
      <c r="P40" s="146">
        <v>11</v>
      </c>
      <c r="Q40" s="147">
        <v>11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83" t="str">
        <f t="shared" si="47"/>
        <v/>
      </c>
      <c r="AN40" s="107"/>
      <c r="AO40" s="107"/>
      <c r="AP40" s="107"/>
      <c r="AQ40" s="1038">
        <f t="shared" si="48"/>
        <v>0</v>
      </c>
      <c r="AR40" s="1038">
        <f t="shared" si="49"/>
        <v>0</v>
      </c>
      <c r="AS40" s="1038">
        <f t="shared" si="50"/>
        <v>0</v>
      </c>
      <c r="AT40" s="1038">
        <f t="shared" si="51"/>
        <v>0</v>
      </c>
    </row>
    <row r="41" spans="1:46" s="172" customFormat="1" ht="15" customHeight="1" x14ac:dyDescent="0.15">
      <c r="A41" s="1720"/>
      <c r="B41" s="1429" t="s">
        <v>246</v>
      </c>
      <c r="C41" s="1541">
        <f t="shared" si="0"/>
        <v>566</v>
      </c>
      <c r="D41" s="1227">
        <f>+G41+J41</f>
        <v>196</v>
      </c>
      <c r="E41" s="1542">
        <f t="shared" si="1"/>
        <v>370</v>
      </c>
      <c r="F41" s="1541">
        <f t="shared" ref="F41:Q41" si="52">SUM(F35:F40)</f>
        <v>312</v>
      </c>
      <c r="G41" s="1227">
        <f>SUM(G35:G40)</f>
        <v>128</v>
      </c>
      <c r="H41" s="1542">
        <f t="shared" si="52"/>
        <v>184</v>
      </c>
      <c r="I41" s="1541">
        <f>SUM(I35:I40)</f>
        <v>254</v>
      </c>
      <c r="J41" s="1227">
        <f>SUM(J35:J40)</f>
        <v>68</v>
      </c>
      <c r="K41" s="259">
        <f t="shared" si="52"/>
        <v>186</v>
      </c>
      <c r="L41" s="234">
        <f t="shared" si="52"/>
        <v>181</v>
      </c>
      <c r="M41" s="1227">
        <f>SUM(M35:M40)</f>
        <v>59</v>
      </c>
      <c r="N41" s="1197">
        <f>SUM(N35:N40)</f>
        <v>122</v>
      </c>
      <c r="O41" s="1542">
        <f>SUM(O35:O40)</f>
        <v>30</v>
      </c>
      <c r="P41" s="1227">
        <f t="shared" si="52"/>
        <v>13</v>
      </c>
      <c r="Q41" s="1197">
        <f t="shared" si="52"/>
        <v>17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0"/>
      <c r="B42" s="1319" t="s">
        <v>770</v>
      </c>
      <c r="C42" s="1320">
        <f t="shared" si="0"/>
        <v>2</v>
      </c>
      <c r="D42" s="150">
        <f>+G42+J42</f>
        <v>0</v>
      </c>
      <c r="E42" s="151">
        <f t="shared" si="1"/>
        <v>2</v>
      </c>
      <c r="F42" s="1321">
        <f>SUM(G42:H42)</f>
        <v>1</v>
      </c>
      <c r="G42" s="142">
        <v>0</v>
      </c>
      <c r="H42" s="143">
        <v>1</v>
      </c>
      <c r="I42" s="1321">
        <f>SUM(J42:K42)</f>
        <v>1</v>
      </c>
      <c r="J42" s="142">
        <v>0</v>
      </c>
      <c r="K42" s="1552">
        <v>1</v>
      </c>
      <c r="L42" s="779">
        <f>SUM(M42:N42)</f>
        <v>2</v>
      </c>
      <c r="M42" s="142">
        <v>0</v>
      </c>
      <c r="N42" s="143">
        <v>2</v>
      </c>
      <c r="O42" s="1553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83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8">
        <f>IF(AND($D42&gt;0,OR(M42="")),1,IF(M42&gt;$D42,1,0))</f>
        <v>0</v>
      </c>
      <c r="AR42" s="1038">
        <f>IF(AND($E42&gt;0,OR(N42="")),1,IF(N42&gt;$E42,1,0))</f>
        <v>0</v>
      </c>
      <c r="AS42" s="1038">
        <f>IF(AND($D42&gt;0,OR(P42="")),1,IF(P42&gt;$D42,1,0))</f>
        <v>0</v>
      </c>
      <c r="AT42" s="1038">
        <f>IF(AND($E42&gt;0,OR(Q42="")),1,IF(Q42&gt;$E42,1,0))</f>
        <v>0</v>
      </c>
    </row>
    <row r="43" spans="1:46" s="172" customFormat="1" ht="15" customHeight="1" x14ac:dyDescent="0.15">
      <c r="A43" s="1721"/>
      <c r="B43" s="1443" t="s">
        <v>621</v>
      </c>
      <c r="C43" s="1541">
        <f>SUM(C35:C40)+C42</f>
        <v>568</v>
      </c>
      <c r="D43" s="1227">
        <f t="shared" ref="D43:I43" si="53">SUM(D35:D40)+D42</f>
        <v>196</v>
      </c>
      <c r="E43" s="1554">
        <f t="shared" si="53"/>
        <v>372</v>
      </c>
      <c r="F43" s="1541">
        <f t="shared" si="53"/>
        <v>313</v>
      </c>
      <c r="G43" s="1227">
        <f>SUM(G35:G40)+G42</f>
        <v>128</v>
      </c>
      <c r="H43" s="1554">
        <f t="shared" si="53"/>
        <v>185</v>
      </c>
      <c r="I43" s="1541">
        <f t="shared" si="53"/>
        <v>255</v>
      </c>
      <c r="J43" s="1227">
        <f t="shared" ref="J43:Q43" si="54">SUM(J35:J40)+J42</f>
        <v>68</v>
      </c>
      <c r="K43" s="259">
        <f t="shared" si="54"/>
        <v>187</v>
      </c>
      <c r="L43" s="234">
        <f t="shared" si="54"/>
        <v>183</v>
      </c>
      <c r="M43" s="1227">
        <f t="shared" si="54"/>
        <v>59</v>
      </c>
      <c r="N43" s="1197">
        <f t="shared" si="54"/>
        <v>124</v>
      </c>
      <c r="O43" s="1542">
        <f t="shared" si="54"/>
        <v>30</v>
      </c>
      <c r="P43" s="1227">
        <f t="shared" si="54"/>
        <v>13</v>
      </c>
      <c r="Q43" s="1197">
        <f t="shared" si="54"/>
        <v>17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7" t="s">
        <v>771</v>
      </c>
      <c r="B44" s="2167"/>
      <c r="C44" s="2167"/>
      <c r="D44" s="2167"/>
      <c r="E44" s="2167"/>
      <c r="F44" s="2167"/>
      <c r="G44" s="2167"/>
      <c r="H44" s="2167"/>
      <c r="I44" s="2167"/>
      <c r="J44" s="2167"/>
      <c r="K44" s="2167"/>
      <c r="L44" s="2167"/>
      <c r="M44" s="2167"/>
      <c r="N44" s="2167"/>
      <c r="O44" s="2167"/>
      <c r="P44" s="2167"/>
      <c r="Q44" s="216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1" t="s">
        <v>772</v>
      </c>
      <c r="B45" s="2162"/>
      <c r="C45" s="1950" t="s">
        <v>54</v>
      </c>
      <c r="D45" s="1951"/>
      <c r="E45" s="1952"/>
      <c r="F45" s="2131" t="s">
        <v>773</v>
      </c>
      <c r="G45" s="2138"/>
      <c r="H45" s="2128"/>
      <c r="I45" s="2131" t="s">
        <v>774</v>
      </c>
      <c r="J45" s="2138"/>
      <c r="K45" s="2186"/>
      <c r="L45" s="2127" t="s">
        <v>742</v>
      </c>
      <c r="M45" s="2138"/>
      <c r="N45" s="2128"/>
      <c r="O45" s="2138" t="s">
        <v>57</v>
      </c>
      <c r="P45" s="2138"/>
      <c r="Q45" s="2128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8"/>
      <c r="B46" s="2199"/>
      <c r="C46" s="1985"/>
      <c r="D46" s="2191"/>
      <c r="E46" s="1986"/>
      <c r="F46" s="2193"/>
      <c r="G46" s="2192"/>
      <c r="H46" s="2137"/>
      <c r="I46" s="2193"/>
      <c r="J46" s="2192"/>
      <c r="K46" s="2194"/>
      <c r="L46" s="2136"/>
      <c r="M46" s="2192"/>
      <c r="N46" s="2137"/>
      <c r="O46" s="2192"/>
      <c r="P46" s="2192"/>
      <c r="Q46" s="213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8"/>
      <c r="B47" s="2199"/>
      <c r="C47" s="1985"/>
      <c r="D47" s="2191"/>
      <c r="E47" s="1986"/>
      <c r="F47" s="2132"/>
      <c r="G47" s="2139"/>
      <c r="H47" s="2130"/>
      <c r="I47" s="2132"/>
      <c r="J47" s="2139"/>
      <c r="K47" s="2195"/>
      <c r="L47" s="2129"/>
      <c r="M47" s="2139"/>
      <c r="N47" s="2130"/>
      <c r="O47" s="2139"/>
      <c r="P47" s="2139"/>
      <c r="Q47" s="2130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3"/>
      <c r="B48" s="2164"/>
      <c r="C48" s="1226" t="s">
        <v>230</v>
      </c>
      <c r="D48" s="1226" t="s">
        <v>775</v>
      </c>
      <c r="E48" s="1546" t="s">
        <v>90</v>
      </c>
      <c r="F48" s="1226" t="s">
        <v>230</v>
      </c>
      <c r="G48" s="1226" t="s">
        <v>775</v>
      </c>
      <c r="H48" s="1546" t="s">
        <v>90</v>
      </c>
      <c r="I48" s="1226" t="s">
        <v>230</v>
      </c>
      <c r="J48" s="1226" t="s">
        <v>775</v>
      </c>
      <c r="K48" s="1540" t="s">
        <v>90</v>
      </c>
      <c r="L48" s="1226" t="s">
        <v>230</v>
      </c>
      <c r="M48" s="1226" t="s">
        <v>775</v>
      </c>
      <c r="N48" s="1539" t="s">
        <v>90</v>
      </c>
      <c r="O48" s="1555" t="s">
        <v>230</v>
      </c>
      <c r="P48" s="1226" t="s">
        <v>775</v>
      </c>
      <c r="Q48" s="1539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9" t="s">
        <v>776</v>
      </c>
      <c r="B49" s="2190"/>
      <c r="C49" s="784">
        <f t="shared" ref="C49:C54" si="55">SUM(D49:E49)</f>
        <v>550</v>
      </c>
      <c r="D49" s="897">
        <f>+G49+J49</f>
        <v>194</v>
      </c>
      <c r="E49" s="784">
        <f>+H49+K49</f>
        <v>356</v>
      </c>
      <c r="F49" s="782">
        <f t="shared" ref="F49:F54" si="56">SUM(G49:H49)</f>
        <v>318</v>
      </c>
      <c r="G49" s="898">
        <v>129</v>
      </c>
      <c r="H49" s="145">
        <v>189</v>
      </c>
      <c r="I49" s="782">
        <f t="shared" ref="I49:I54" si="57">SUM(J49:K49)</f>
        <v>232</v>
      </c>
      <c r="J49" s="898">
        <v>65</v>
      </c>
      <c r="K49" s="899">
        <v>167</v>
      </c>
      <c r="L49" s="783">
        <f t="shared" ref="L49:L54" si="58">SUM(M49:N49)</f>
        <v>170</v>
      </c>
      <c r="M49" s="898">
        <v>56</v>
      </c>
      <c r="N49" s="145">
        <v>114</v>
      </c>
      <c r="O49" s="777">
        <f t="shared" ref="O49:O54" si="59">SUM(P49:Q49)</f>
        <v>31</v>
      </c>
      <c r="P49" s="898">
        <v>15</v>
      </c>
      <c r="Q49" s="145">
        <v>16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83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8">
        <f t="shared" ref="AQ49:AQ54" si="65">IF(AND($D49&gt;0,OR(M49="")),1,IF(M49&gt;$D49,1,0))</f>
        <v>0</v>
      </c>
      <c r="AR49" s="1038">
        <f t="shared" ref="AR49:AR54" si="66">IF(AND($E49&gt;0,OR(N49="")),1,IF(N49&gt;$E49,1,0))</f>
        <v>0</v>
      </c>
      <c r="AS49" s="1038">
        <f t="shared" ref="AS49:AS54" si="67">IF(AND($D49&gt;0,OR(P49="")),1,IF(P49&gt;$D49,1,0))</f>
        <v>0</v>
      </c>
      <c r="AT49" s="1038">
        <f t="shared" ref="AT49:AT54" si="68">IF(AND($E49&gt;0,OR(Q49="")),1,IF(Q49&gt;$E49,1,0))</f>
        <v>0</v>
      </c>
    </row>
    <row r="50" spans="1:46" s="172" customFormat="1" ht="15" customHeight="1" x14ac:dyDescent="0.15">
      <c r="A50" s="2168" t="s">
        <v>777</v>
      </c>
      <c r="B50" s="2169"/>
      <c r="C50" s="204">
        <f t="shared" si="55"/>
        <v>7</v>
      </c>
      <c r="D50" s="205">
        <f>+G50+J50</f>
        <v>4</v>
      </c>
      <c r="E50" s="204">
        <f t="shared" ref="D50:E54" si="69">+H50+K50</f>
        <v>3</v>
      </c>
      <c r="F50" s="206">
        <f t="shared" si="56"/>
        <v>4</v>
      </c>
      <c r="G50" s="152">
        <v>2</v>
      </c>
      <c r="H50" s="135">
        <v>2</v>
      </c>
      <c r="I50" s="206">
        <f t="shared" si="57"/>
        <v>3</v>
      </c>
      <c r="J50" s="152">
        <v>2</v>
      </c>
      <c r="K50" s="140">
        <v>1</v>
      </c>
      <c r="L50" s="207">
        <f t="shared" si="58"/>
        <v>2</v>
      </c>
      <c r="M50" s="152">
        <v>1</v>
      </c>
      <c r="N50" s="135">
        <v>1</v>
      </c>
      <c r="O50" s="208">
        <f t="shared" si="59"/>
        <v>1</v>
      </c>
      <c r="P50" s="152">
        <v>0</v>
      </c>
      <c r="Q50" s="135">
        <v>1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83" t="str">
        <f t="shared" si="64"/>
        <v/>
      </c>
      <c r="AN50" s="107"/>
      <c r="AO50" s="107"/>
      <c r="AP50" s="107"/>
      <c r="AQ50" s="1038">
        <f t="shared" si="65"/>
        <v>0</v>
      </c>
      <c r="AR50" s="1038">
        <f t="shared" si="66"/>
        <v>0</v>
      </c>
      <c r="AS50" s="1038">
        <f t="shared" si="67"/>
        <v>0</v>
      </c>
      <c r="AT50" s="1038">
        <f t="shared" si="68"/>
        <v>0</v>
      </c>
    </row>
    <row r="51" spans="1:46" s="172" customFormat="1" ht="15" customHeight="1" x14ac:dyDescent="0.15">
      <c r="A51" s="2168" t="s">
        <v>778</v>
      </c>
      <c r="B51" s="2169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1"/>
      <c r="K51" s="98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83" t="str">
        <f t="shared" si="64"/>
        <v/>
      </c>
      <c r="AN51" s="107"/>
      <c r="AO51" s="107"/>
      <c r="AP51" s="107"/>
      <c r="AQ51" s="1038">
        <f t="shared" si="65"/>
        <v>0</v>
      </c>
      <c r="AR51" s="1038">
        <f t="shared" si="66"/>
        <v>0</v>
      </c>
      <c r="AS51" s="1038">
        <f t="shared" si="67"/>
        <v>0</v>
      </c>
      <c r="AT51" s="1038">
        <f t="shared" si="68"/>
        <v>0</v>
      </c>
    </row>
    <row r="52" spans="1:46" s="172" customFormat="1" ht="15" customHeight="1" x14ac:dyDescent="0.15">
      <c r="A52" s="2168" t="s">
        <v>779</v>
      </c>
      <c r="B52" s="2169"/>
      <c r="C52" s="204">
        <f>SUM(D52:E52)</f>
        <v>21</v>
      </c>
      <c r="D52" s="205">
        <f>+J52</f>
        <v>6</v>
      </c>
      <c r="E52" s="204">
        <f>+K52</f>
        <v>15</v>
      </c>
      <c r="F52" s="206">
        <f>SUM(G52:H52)</f>
        <v>0</v>
      </c>
      <c r="G52" s="981"/>
      <c r="H52" s="983"/>
      <c r="I52" s="206">
        <f t="shared" si="57"/>
        <v>21</v>
      </c>
      <c r="J52" s="152">
        <v>6</v>
      </c>
      <c r="K52" s="140">
        <v>15</v>
      </c>
      <c r="L52" s="207">
        <f t="shared" si="58"/>
        <v>8</v>
      </c>
      <c r="M52" s="152">
        <v>4</v>
      </c>
      <c r="N52" s="135">
        <v>4</v>
      </c>
      <c r="O52" s="208">
        <f t="shared" si="59"/>
        <v>1</v>
      </c>
      <c r="P52" s="152">
        <v>0</v>
      </c>
      <c r="Q52" s="135">
        <v>1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83" t="str">
        <f t="shared" si="64"/>
        <v/>
      </c>
      <c r="AN52" s="107"/>
      <c r="AO52" s="107"/>
      <c r="AP52" s="107"/>
      <c r="AQ52" s="1038">
        <f t="shared" si="65"/>
        <v>0</v>
      </c>
      <c r="AR52" s="1038">
        <f t="shared" si="66"/>
        <v>0</v>
      </c>
      <c r="AS52" s="1038">
        <f t="shared" si="67"/>
        <v>0</v>
      </c>
      <c r="AT52" s="1038">
        <f t="shared" si="68"/>
        <v>0</v>
      </c>
    </row>
    <row r="53" spans="1:46" s="172" customFormat="1" ht="15" customHeight="1" x14ac:dyDescent="0.15">
      <c r="A53" s="2168" t="s">
        <v>780</v>
      </c>
      <c r="B53" s="2169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8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83" t="str">
        <f t="shared" si="64"/>
        <v/>
      </c>
      <c r="AN53" s="107"/>
      <c r="AO53" s="107"/>
      <c r="AP53" s="107"/>
      <c r="AQ53" s="1038">
        <f t="shared" si="65"/>
        <v>0</v>
      </c>
      <c r="AR53" s="1038">
        <f t="shared" si="66"/>
        <v>0</v>
      </c>
      <c r="AS53" s="1038">
        <f t="shared" si="67"/>
        <v>0</v>
      </c>
      <c r="AT53" s="1038">
        <f t="shared" si="68"/>
        <v>0</v>
      </c>
    </row>
    <row r="54" spans="1:46" s="172" customFormat="1" ht="15" customHeight="1" x14ac:dyDescent="0.15">
      <c r="A54" s="2187" t="s">
        <v>781</v>
      </c>
      <c r="B54" s="2188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69">
        <f t="shared" si="58"/>
        <v>0</v>
      </c>
      <c r="M54" s="162">
        <v>0</v>
      </c>
      <c r="N54" s="149">
        <v>0</v>
      </c>
      <c r="O54" s="770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83" t="str">
        <f t="shared" si="64"/>
        <v/>
      </c>
      <c r="AN54" s="107"/>
      <c r="AO54" s="107"/>
      <c r="AP54" s="107"/>
      <c r="AQ54" s="1038">
        <f t="shared" si="65"/>
        <v>0</v>
      </c>
      <c r="AR54" s="1038">
        <f t="shared" si="66"/>
        <v>0</v>
      </c>
      <c r="AS54" s="1038">
        <f t="shared" si="67"/>
        <v>0</v>
      </c>
      <c r="AT54" s="1038">
        <f t="shared" si="68"/>
        <v>0</v>
      </c>
    </row>
    <row r="55" spans="1:46" s="172" customFormat="1" ht="17.100000000000001" customHeight="1" x14ac:dyDescent="0.15">
      <c r="A55" s="2167" t="s">
        <v>782</v>
      </c>
      <c r="B55" s="2167"/>
      <c r="C55" s="2167"/>
      <c r="D55" s="2167"/>
      <c r="E55" s="2167"/>
      <c r="F55" s="2167"/>
      <c r="G55" s="2167"/>
      <c r="H55" s="2167"/>
      <c r="I55" s="2167"/>
      <c r="J55" s="2167"/>
      <c r="K55" s="2167"/>
      <c r="L55" s="2167"/>
      <c r="M55" s="2167"/>
      <c r="N55" s="2167"/>
      <c r="O55" s="2167"/>
      <c r="P55" s="2167"/>
      <c r="Q55" s="216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0" t="s">
        <v>783</v>
      </c>
      <c r="B56" s="2200"/>
      <c r="C56" s="1950" t="s">
        <v>54</v>
      </c>
      <c r="D56" s="1951"/>
      <c r="E56" s="1952"/>
      <c r="F56" s="2131" t="s">
        <v>773</v>
      </c>
      <c r="G56" s="2138"/>
      <c r="H56" s="2128"/>
      <c r="I56" s="2131" t="s">
        <v>774</v>
      </c>
      <c r="J56" s="2138"/>
      <c r="K56" s="2186"/>
      <c r="L56" s="2138" t="s">
        <v>742</v>
      </c>
      <c r="M56" s="2138"/>
      <c r="N56" s="2128"/>
      <c r="O56" s="2131" t="s">
        <v>57</v>
      </c>
      <c r="P56" s="2138"/>
      <c r="Q56" s="2128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0"/>
      <c r="B57" s="2200"/>
      <c r="C57" s="1226" t="s">
        <v>230</v>
      </c>
      <c r="D57" s="1226" t="s">
        <v>775</v>
      </c>
      <c r="E57" s="1546" t="s">
        <v>90</v>
      </c>
      <c r="F57" s="1226" t="s">
        <v>230</v>
      </c>
      <c r="G57" s="1226" t="s">
        <v>775</v>
      </c>
      <c r="H57" s="1546" t="s">
        <v>90</v>
      </c>
      <c r="I57" s="1226" t="s">
        <v>230</v>
      </c>
      <c r="J57" s="1226" t="s">
        <v>775</v>
      </c>
      <c r="K57" s="1540" t="s">
        <v>90</v>
      </c>
      <c r="L57" s="1546" t="s">
        <v>230</v>
      </c>
      <c r="M57" s="1226" t="s">
        <v>775</v>
      </c>
      <c r="N57" s="1539" t="s">
        <v>90</v>
      </c>
      <c r="O57" s="1555" t="s">
        <v>230</v>
      </c>
      <c r="P57" s="1226" t="s">
        <v>775</v>
      </c>
      <c r="Q57" s="108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9" t="s">
        <v>784</v>
      </c>
      <c r="B58" s="2190"/>
      <c r="C58" s="203">
        <f t="shared" ref="C58:C67" si="70">SUM(D58:E58)</f>
        <v>65</v>
      </c>
      <c r="D58" s="202">
        <f>+G58+J58</f>
        <v>12</v>
      </c>
      <c r="E58" s="201">
        <f t="shared" ref="E58:E67" si="71">+H58+K58</f>
        <v>53</v>
      </c>
      <c r="F58" s="203">
        <f t="shared" ref="F58:F67" si="72">SUM(G58:H58)</f>
        <v>7</v>
      </c>
      <c r="G58" s="152">
        <v>0</v>
      </c>
      <c r="H58" s="135">
        <v>7</v>
      </c>
      <c r="I58" s="203">
        <f t="shared" ref="I58:I67" si="73">SUM(J58:K58)</f>
        <v>58</v>
      </c>
      <c r="J58" s="152">
        <v>12</v>
      </c>
      <c r="K58" s="156">
        <v>46</v>
      </c>
      <c r="L58" s="780">
        <f t="shared" ref="L58:L67" si="74">SUM(M58:N58)</f>
        <v>17</v>
      </c>
      <c r="M58" s="152">
        <v>5</v>
      </c>
      <c r="N58" s="135">
        <v>12</v>
      </c>
      <c r="O58" s="201">
        <f t="shared" ref="O58:O67" si="75">SUM(P58:Q58)</f>
        <v>3</v>
      </c>
      <c r="P58" s="152">
        <v>1</v>
      </c>
      <c r="Q58" s="135">
        <v>2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83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8">
        <f t="shared" ref="AQ58:AQ67" si="81">IF(AND($D58&gt;0,OR(M58="")),1,IF(M58&gt;$D58,1,0))</f>
        <v>0</v>
      </c>
      <c r="AR58" s="1038">
        <f t="shared" ref="AR58:AR67" si="82">IF(AND($E58&gt;0,OR(N58="")),1,IF(N58&gt;$E58,1,0))</f>
        <v>0</v>
      </c>
      <c r="AS58" s="1038">
        <f t="shared" ref="AS58:AS67" si="83">IF(AND($D58&gt;0,OR(P58="")),1,IF(P58&gt;$D58,1,0))</f>
        <v>0</v>
      </c>
      <c r="AT58" s="1038">
        <f t="shared" ref="AT58:AT67" si="84">IF(AND($E58&gt;0,OR(Q58="")),1,IF(Q58&gt;$E58,1,0))</f>
        <v>0</v>
      </c>
    </row>
    <row r="59" spans="1:46" s="172" customFormat="1" ht="15" customHeight="1" x14ac:dyDescent="0.15">
      <c r="A59" s="1771" t="s">
        <v>785</v>
      </c>
      <c r="B59" s="1772"/>
      <c r="C59" s="212">
        <f t="shared" si="70"/>
        <v>4</v>
      </c>
      <c r="D59" s="213">
        <f t="shared" ref="D59:D67" si="85">+G59+J59</f>
        <v>1</v>
      </c>
      <c r="E59" s="208">
        <f>+H59+K59</f>
        <v>3</v>
      </c>
      <c r="F59" s="212">
        <f t="shared" si="72"/>
        <v>3</v>
      </c>
      <c r="G59" s="152">
        <v>1</v>
      </c>
      <c r="H59" s="135">
        <v>2</v>
      </c>
      <c r="I59" s="206">
        <f t="shared" si="73"/>
        <v>1</v>
      </c>
      <c r="J59" s="152">
        <v>0</v>
      </c>
      <c r="K59" s="156">
        <v>1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83" t="str">
        <f t="shared" si="80"/>
        <v/>
      </c>
      <c r="AN59" s="107"/>
      <c r="AO59" s="107"/>
      <c r="AP59" s="107"/>
      <c r="AQ59" s="1038">
        <f t="shared" si="81"/>
        <v>0</v>
      </c>
      <c r="AR59" s="1038">
        <f t="shared" si="82"/>
        <v>0</v>
      </c>
      <c r="AS59" s="1038">
        <f t="shared" si="83"/>
        <v>0</v>
      </c>
      <c r="AT59" s="1038">
        <f t="shared" si="84"/>
        <v>0</v>
      </c>
    </row>
    <row r="60" spans="1:46" s="172" customFormat="1" ht="15" customHeight="1" x14ac:dyDescent="0.15">
      <c r="A60" s="1771" t="s">
        <v>786</v>
      </c>
      <c r="B60" s="1772"/>
      <c r="C60" s="208">
        <f t="shared" si="70"/>
        <v>7</v>
      </c>
      <c r="D60" s="213">
        <f t="shared" si="85"/>
        <v>2</v>
      </c>
      <c r="E60" s="208">
        <f t="shared" si="71"/>
        <v>5</v>
      </c>
      <c r="F60" s="208">
        <f t="shared" si="72"/>
        <v>5</v>
      </c>
      <c r="G60" s="152">
        <v>0</v>
      </c>
      <c r="H60" s="135">
        <v>5</v>
      </c>
      <c r="I60" s="206">
        <f t="shared" si="73"/>
        <v>2</v>
      </c>
      <c r="J60" s="152">
        <v>2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2</v>
      </c>
      <c r="P60" s="152">
        <v>0</v>
      </c>
      <c r="Q60" s="135">
        <v>2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83" t="str">
        <f t="shared" si="80"/>
        <v/>
      </c>
      <c r="AN60" s="107"/>
      <c r="AO60" s="107"/>
      <c r="AP60" s="107"/>
      <c r="AQ60" s="1038">
        <f t="shared" si="81"/>
        <v>0</v>
      </c>
      <c r="AR60" s="1038">
        <f t="shared" si="82"/>
        <v>0</v>
      </c>
      <c r="AS60" s="1038">
        <f t="shared" si="83"/>
        <v>0</v>
      </c>
      <c r="AT60" s="1038">
        <f t="shared" si="84"/>
        <v>0</v>
      </c>
    </row>
    <row r="61" spans="1:46" s="172" customFormat="1" ht="15" customHeight="1" x14ac:dyDescent="0.15">
      <c r="A61" s="1771" t="s">
        <v>787</v>
      </c>
      <c r="B61" s="1772"/>
      <c r="C61" s="208">
        <f t="shared" si="70"/>
        <v>54</v>
      </c>
      <c r="D61" s="213">
        <f t="shared" si="85"/>
        <v>8</v>
      </c>
      <c r="E61" s="208">
        <f t="shared" si="71"/>
        <v>46</v>
      </c>
      <c r="F61" s="208">
        <f t="shared" si="72"/>
        <v>27</v>
      </c>
      <c r="G61" s="152">
        <v>6</v>
      </c>
      <c r="H61" s="135">
        <v>21</v>
      </c>
      <c r="I61" s="206">
        <f>SUM(J61:K61)</f>
        <v>27</v>
      </c>
      <c r="J61" s="152">
        <v>2</v>
      </c>
      <c r="K61" s="156">
        <v>25</v>
      </c>
      <c r="L61" s="207">
        <f t="shared" si="74"/>
        <v>17</v>
      </c>
      <c r="M61" s="152">
        <v>5</v>
      </c>
      <c r="N61" s="135">
        <v>12</v>
      </c>
      <c r="O61" s="204">
        <f t="shared" si="75"/>
        <v>1</v>
      </c>
      <c r="P61" s="152">
        <v>0</v>
      </c>
      <c r="Q61" s="135">
        <v>1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83" t="str">
        <f t="shared" si="80"/>
        <v/>
      </c>
      <c r="AN61" s="107"/>
      <c r="AO61" s="107"/>
      <c r="AP61" s="107"/>
      <c r="AQ61" s="1038">
        <f t="shared" si="81"/>
        <v>0</v>
      </c>
      <c r="AR61" s="1038">
        <f t="shared" si="82"/>
        <v>0</v>
      </c>
      <c r="AS61" s="1038">
        <f t="shared" si="83"/>
        <v>0</v>
      </c>
      <c r="AT61" s="1038">
        <f t="shared" si="84"/>
        <v>0</v>
      </c>
    </row>
    <row r="62" spans="1:46" s="172" customFormat="1" ht="15" customHeight="1" x14ac:dyDescent="0.15">
      <c r="A62" s="1771" t="s">
        <v>788</v>
      </c>
      <c r="B62" s="1772"/>
      <c r="C62" s="208">
        <f>SUM(D62:E62)</f>
        <v>3</v>
      </c>
      <c r="D62" s="213">
        <f t="shared" ref="D62" si="86">+G62+J62</f>
        <v>0</v>
      </c>
      <c r="E62" s="208">
        <f t="shared" ref="E62" si="87">+H62+K62</f>
        <v>3</v>
      </c>
      <c r="F62" s="208">
        <f>SUM(G62:H62)</f>
        <v>1</v>
      </c>
      <c r="G62" s="152">
        <v>0</v>
      </c>
      <c r="H62" s="135">
        <v>1</v>
      </c>
      <c r="I62" s="206">
        <f>SUM(J62:K62)</f>
        <v>2</v>
      </c>
      <c r="J62" s="152">
        <v>0</v>
      </c>
      <c r="K62" s="156">
        <v>2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83" t="str">
        <f t="shared" si="80"/>
        <v/>
      </c>
      <c r="AN62" s="107"/>
      <c r="AO62" s="107"/>
      <c r="AP62" s="107"/>
      <c r="AQ62" s="1038">
        <f t="shared" si="81"/>
        <v>0</v>
      </c>
      <c r="AR62" s="1038">
        <f t="shared" si="82"/>
        <v>0</v>
      </c>
      <c r="AS62" s="1038">
        <f t="shared" si="83"/>
        <v>0</v>
      </c>
      <c r="AT62" s="1038">
        <f t="shared" si="84"/>
        <v>0</v>
      </c>
    </row>
    <row r="63" spans="1:46" s="172" customFormat="1" ht="15" customHeight="1" x14ac:dyDescent="0.15">
      <c r="A63" s="1771" t="s">
        <v>789</v>
      </c>
      <c r="B63" s="1772"/>
      <c r="C63" s="208">
        <f t="shared" si="70"/>
        <v>8</v>
      </c>
      <c r="D63" s="213">
        <f t="shared" si="85"/>
        <v>3</v>
      </c>
      <c r="E63" s="208">
        <f t="shared" si="71"/>
        <v>5</v>
      </c>
      <c r="F63" s="208">
        <f t="shared" si="72"/>
        <v>0</v>
      </c>
      <c r="G63" s="152">
        <v>0</v>
      </c>
      <c r="H63" s="135">
        <v>0</v>
      </c>
      <c r="I63" s="206">
        <f t="shared" si="73"/>
        <v>8</v>
      </c>
      <c r="J63" s="152">
        <v>3</v>
      </c>
      <c r="K63" s="156">
        <v>5</v>
      </c>
      <c r="L63" s="207">
        <f t="shared" si="74"/>
        <v>2</v>
      </c>
      <c r="M63" s="152">
        <v>1</v>
      </c>
      <c r="N63" s="135">
        <v>1</v>
      </c>
      <c r="O63" s="204">
        <f t="shared" si="75"/>
        <v>1</v>
      </c>
      <c r="P63" s="152">
        <v>0</v>
      </c>
      <c r="Q63" s="135">
        <v>1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83" t="str">
        <f t="shared" si="80"/>
        <v/>
      </c>
      <c r="AN63" s="107"/>
      <c r="AO63" s="107"/>
      <c r="AP63" s="107"/>
      <c r="AQ63" s="1038">
        <f t="shared" si="81"/>
        <v>0</v>
      </c>
      <c r="AR63" s="1038">
        <f t="shared" si="82"/>
        <v>0</v>
      </c>
      <c r="AS63" s="1038">
        <f t="shared" si="83"/>
        <v>0</v>
      </c>
      <c r="AT63" s="1038">
        <f t="shared" si="84"/>
        <v>0</v>
      </c>
    </row>
    <row r="64" spans="1:46" s="172" customFormat="1" ht="15" customHeight="1" x14ac:dyDescent="0.15">
      <c r="A64" s="2168" t="s">
        <v>790</v>
      </c>
      <c r="B64" s="2169"/>
      <c r="C64" s="206">
        <f t="shared" si="70"/>
        <v>21</v>
      </c>
      <c r="D64" s="205">
        <f t="shared" si="85"/>
        <v>6</v>
      </c>
      <c r="E64" s="204">
        <f t="shared" si="71"/>
        <v>15</v>
      </c>
      <c r="F64" s="206">
        <f t="shared" si="72"/>
        <v>8</v>
      </c>
      <c r="G64" s="152">
        <v>1</v>
      </c>
      <c r="H64" s="135">
        <v>7</v>
      </c>
      <c r="I64" s="206">
        <f t="shared" si="73"/>
        <v>13</v>
      </c>
      <c r="J64" s="152">
        <v>5</v>
      </c>
      <c r="K64" s="156">
        <v>8</v>
      </c>
      <c r="L64" s="207">
        <f t="shared" si="74"/>
        <v>7</v>
      </c>
      <c r="M64" s="152">
        <v>2</v>
      </c>
      <c r="N64" s="135">
        <v>5</v>
      </c>
      <c r="O64" s="204">
        <f t="shared" si="75"/>
        <v>1</v>
      </c>
      <c r="P64" s="152">
        <v>0</v>
      </c>
      <c r="Q64" s="135">
        <v>1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83" t="str">
        <f t="shared" si="80"/>
        <v/>
      </c>
      <c r="AN64" s="107"/>
      <c r="AO64" s="107"/>
      <c r="AP64" s="107"/>
      <c r="AQ64" s="1038">
        <f t="shared" si="81"/>
        <v>0</v>
      </c>
      <c r="AR64" s="1038">
        <f t="shared" si="82"/>
        <v>0</v>
      </c>
      <c r="AS64" s="1038">
        <f t="shared" si="83"/>
        <v>0</v>
      </c>
      <c r="AT64" s="1038">
        <f t="shared" si="84"/>
        <v>0</v>
      </c>
    </row>
    <row r="65" spans="1:46" s="172" customFormat="1" ht="15" customHeight="1" x14ac:dyDescent="0.15">
      <c r="A65" s="2168" t="s">
        <v>791</v>
      </c>
      <c r="B65" s="2169"/>
      <c r="C65" s="206">
        <f t="shared" si="70"/>
        <v>178</v>
      </c>
      <c r="D65" s="205">
        <f t="shared" si="85"/>
        <v>63</v>
      </c>
      <c r="E65" s="204">
        <f t="shared" si="71"/>
        <v>115</v>
      </c>
      <c r="F65" s="206">
        <f t="shared" si="72"/>
        <v>92</v>
      </c>
      <c r="G65" s="153">
        <v>42</v>
      </c>
      <c r="H65" s="147">
        <v>50</v>
      </c>
      <c r="I65" s="206">
        <f t="shared" si="73"/>
        <v>86</v>
      </c>
      <c r="J65" s="153">
        <v>21</v>
      </c>
      <c r="K65" s="166">
        <v>65</v>
      </c>
      <c r="L65" s="207">
        <f t="shared" si="74"/>
        <v>68</v>
      </c>
      <c r="M65" s="153">
        <v>20</v>
      </c>
      <c r="N65" s="147">
        <v>48</v>
      </c>
      <c r="O65" s="204">
        <f t="shared" si="75"/>
        <v>3</v>
      </c>
      <c r="P65" s="153">
        <v>1</v>
      </c>
      <c r="Q65" s="147">
        <v>2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83" t="str">
        <f t="shared" si="80"/>
        <v/>
      </c>
      <c r="AN65" s="107"/>
      <c r="AO65" s="107"/>
      <c r="AP65" s="107"/>
      <c r="AQ65" s="1038">
        <f t="shared" si="81"/>
        <v>0</v>
      </c>
      <c r="AR65" s="1038">
        <f t="shared" si="82"/>
        <v>0</v>
      </c>
      <c r="AS65" s="1038">
        <f t="shared" si="83"/>
        <v>0</v>
      </c>
      <c r="AT65" s="1038">
        <f t="shared" si="84"/>
        <v>0</v>
      </c>
    </row>
    <row r="66" spans="1:46" s="172" customFormat="1" ht="15" customHeight="1" x14ac:dyDescent="0.15">
      <c r="A66" s="2168" t="s">
        <v>792</v>
      </c>
      <c r="B66" s="2169"/>
      <c r="C66" s="206">
        <f t="shared" si="70"/>
        <v>6</v>
      </c>
      <c r="D66" s="205">
        <f>+G66+J66</f>
        <v>4</v>
      </c>
      <c r="E66" s="204">
        <f t="shared" si="71"/>
        <v>2</v>
      </c>
      <c r="F66" s="206">
        <f t="shared" si="72"/>
        <v>4</v>
      </c>
      <c r="G66" s="153">
        <v>2</v>
      </c>
      <c r="H66" s="147">
        <v>2</v>
      </c>
      <c r="I66" s="206">
        <f t="shared" si="73"/>
        <v>2</v>
      </c>
      <c r="J66" s="153">
        <v>2</v>
      </c>
      <c r="K66" s="166">
        <v>0</v>
      </c>
      <c r="L66" s="207">
        <f t="shared" si="74"/>
        <v>3</v>
      </c>
      <c r="M66" s="153">
        <v>1</v>
      </c>
      <c r="N66" s="147">
        <v>2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83" t="str">
        <f t="shared" si="80"/>
        <v/>
      </c>
      <c r="AN66" s="107"/>
      <c r="AO66" s="107"/>
      <c r="AP66" s="107"/>
      <c r="AQ66" s="1038">
        <f t="shared" si="81"/>
        <v>0</v>
      </c>
      <c r="AR66" s="1038">
        <f t="shared" si="82"/>
        <v>0</v>
      </c>
      <c r="AS66" s="1038">
        <f t="shared" si="83"/>
        <v>0</v>
      </c>
      <c r="AT66" s="1038">
        <f t="shared" si="84"/>
        <v>0</v>
      </c>
    </row>
    <row r="67" spans="1:46" s="172" customFormat="1" ht="15" customHeight="1" x14ac:dyDescent="0.15">
      <c r="A67" s="2187" t="s">
        <v>793</v>
      </c>
      <c r="B67" s="2188"/>
      <c r="C67" s="214">
        <f t="shared" si="70"/>
        <v>31</v>
      </c>
      <c r="D67" s="215">
        <f t="shared" si="85"/>
        <v>14</v>
      </c>
      <c r="E67" s="216">
        <f t="shared" si="71"/>
        <v>17</v>
      </c>
      <c r="F67" s="214">
        <f t="shared" si="72"/>
        <v>20</v>
      </c>
      <c r="G67" s="154">
        <v>10</v>
      </c>
      <c r="H67" s="155">
        <v>10</v>
      </c>
      <c r="I67" s="214">
        <f t="shared" si="73"/>
        <v>11</v>
      </c>
      <c r="J67" s="588">
        <v>4</v>
      </c>
      <c r="K67" s="160">
        <v>7</v>
      </c>
      <c r="L67" s="781">
        <f t="shared" si="74"/>
        <v>6</v>
      </c>
      <c r="M67" s="588">
        <v>3</v>
      </c>
      <c r="N67" s="155">
        <v>3</v>
      </c>
      <c r="O67" s="216">
        <f t="shared" si="75"/>
        <v>4</v>
      </c>
      <c r="P67" s="588">
        <v>4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83" t="str">
        <f t="shared" si="80"/>
        <v/>
      </c>
      <c r="AN67" s="107"/>
      <c r="AO67" s="107"/>
      <c r="AP67" s="107"/>
      <c r="AQ67" s="1038">
        <f t="shared" si="81"/>
        <v>0</v>
      </c>
      <c r="AR67" s="1038">
        <f t="shared" si="82"/>
        <v>0</v>
      </c>
      <c r="AS67" s="1038">
        <f t="shared" si="83"/>
        <v>0</v>
      </c>
      <c r="AT67" s="1038">
        <f t="shared" si="84"/>
        <v>0</v>
      </c>
    </row>
    <row r="68" spans="1:46" s="172" customFormat="1" ht="17.100000000000001" customHeight="1" x14ac:dyDescent="0.15">
      <c r="A68" s="2167" t="s">
        <v>794</v>
      </c>
      <c r="B68" s="2167"/>
      <c r="C68" s="2167"/>
      <c r="D68" s="2167"/>
      <c r="E68" s="2167"/>
      <c r="F68" s="2167"/>
      <c r="G68" s="2167"/>
      <c r="H68" s="2167"/>
      <c r="I68" s="2167"/>
      <c r="J68" s="2167"/>
      <c r="K68" s="2167"/>
      <c r="L68" s="2167"/>
      <c r="M68" s="2167"/>
      <c r="N68" s="2167"/>
      <c r="O68" s="2167"/>
      <c r="P68" s="2167"/>
      <c r="Q68" s="216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1" t="s">
        <v>795</v>
      </c>
      <c r="B69" s="2162"/>
      <c r="C69" s="2177" t="s">
        <v>54</v>
      </c>
      <c r="D69" s="2178"/>
      <c r="E69" s="2179"/>
      <c r="F69" s="2158" t="s">
        <v>796</v>
      </c>
      <c r="G69" s="2159"/>
      <c r="H69" s="2160"/>
      <c r="I69" s="2158" t="s">
        <v>797</v>
      </c>
      <c r="J69" s="2159"/>
      <c r="K69" s="2180"/>
      <c r="L69" s="2159" t="s">
        <v>742</v>
      </c>
      <c r="M69" s="2159"/>
      <c r="N69" s="2160"/>
      <c r="O69" s="2158" t="s">
        <v>57</v>
      </c>
      <c r="P69" s="2159"/>
      <c r="Q69" s="2160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3"/>
      <c r="B70" s="2164"/>
      <c r="C70" s="1226" t="s">
        <v>230</v>
      </c>
      <c r="D70" s="1226" t="s">
        <v>775</v>
      </c>
      <c r="E70" s="1080" t="s">
        <v>90</v>
      </c>
      <c r="F70" s="1226" t="s">
        <v>230</v>
      </c>
      <c r="G70" s="1226" t="s">
        <v>775</v>
      </c>
      <c r="H70" s="1080" t="s">
        <v>90</v>
      </c>
      <c r="I70" s="1226" t="s">
        <v>230</v>
      </c>
      <c r="J70" s="1226" t="s">
        <v>775</v>
      </c>
      <c r="K70" s="1167" t="s">
        <v>90</v>
      </c>
      <c r="L70" s="1546" t="s">
        <v>230</v>
      </c>
      <c r="M70" s="1226" t="s">
        <v>775</v>
      </c>
      <c r="N70" s="1080" t="s">
        <v>90</v>
      </c>
      <c r="O70" s="1226" t="s">
        <v>230</v>
      </c>
      <c r="P70" s="1226" t="s">
        <v>775</v>
      </c>
      <c r="Q70" s="108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9" t="s">
        <v>798</v>
      </c>
      <c r="B71" s="2190"/>
      <c r="C71" s="201">
        <f>SUM(D71:E71)</f>
        <v>342</v>
      </c>
      <c r="D71" s="202">
        <f>+G71+J71</f>
        <v>127</v>
      </c>
      <c r="E71" s="201">
        <f>+H71+K71</f>
        <v>215</v>
      </c>
      <c r="F71" s="208">
        <f>SUM(G71:H71)</f>
        <v>243</v>
      </c>
      <c r="G71" s="134">
        <v>90</v>
      </c>
      <c r="H71" s="135">
        <v>153</v>
      </c>
      <c r="I71" s="208">
        <f>SUM(J71:K71)</f>
        <v>99</v>
      </c>
      <c r="J71" s="134">
        <v>37</v>
      </c>
      <c r="K71" s="156">
        <v>62</v>
      </c>
      <c r="L71" s="767">
        <f>SUM(M71:N71)</f>
        <v>115</v>
      </c>
      <c r="M71" s="134">
        <v>39</v>
      </c>
      <c r="N71" s="135">
        <v>76</v>
      </c>
      <c r="O71" s="768">
        <f>SUM(P71:Q71)</f>
        <v>24</v>
      </c>
      <c r="P71" s="134">
        <v>13</v>
      </c>
      <c r="Q71" s="135">
        <v>11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83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8">
        <f t="shared" ref="AQ71:AQ78" si="93">IF(AND($D71&gt;0,OR(M71="")),1,IF(M71&gt;$D71,1,0))</f>
        <v>0</v>
      </c>
      <c r="AR71" s="1038">
        <f t="shared" ref="AR71:AR78" si="94">IF(AND($E71&gt;0,OR(N71="")),1,IF(N71&gt;$E71,1,0))</f>
        <v>0</v>
      </c>
      <c r="AS71" s="1038">
        <f t="shared" ref="AS71:AS78" si="95">IF(AND($D71&gt;0,OR(P71="")),1,IF(P71&gt;$D71,1,0))</f>
        <v>0</v>
      </c>
      <c r="AT71" s="1038">
        <f t="shared" ref="AT71:AT78" si="96">IF(AND($E71&gt;0,OR(Q71="")),1,IF(Q71&gt;$E71,1,0))</f>
        <v>0</v>
      </c>
    </row>
    <row r="72" spans="1:46" s="172" customFormat="1" ht="15" customHeight="1" x14ac:dyDescent="0.15">
      <c r="A72" s="2168" t="s">
        <v>799</v>
      </c>
      <c r="B72" s="2169"/>
      <c r="C72" s="204">
        <f t="shared" ref="C72:C75" si="97">SUM(D72:E72)</f>
        <v>43</v>
      </c>
      <c r="D72" s="205">
        <f t="shared" ref="D72:D75" si="98">+G72+J72</f>
        <v>12</v>
      </c>
      <c r="E72" s="204">
        <f t="shared" ref="E72:E76" si="99">+H72+K72</f>
        <v>31</v>
      </c>
      <c r="F72" s="208">
        <f t="shared" ref="F72:F76" si="100">SUM(G72:H72)</f>
        <v>7</v>
      </c>
      <c r="G72" s="134">
        <v>3</v>
      </c>
      <c r="H72" s="135">
        <v>4</v>
      </c>
      <c r="I72" s="208">
        <f t="shared" ref="I72:I76" si="101">SUM(J72:K72)</f>
        <v>36</v>
      </c>
      <c r="J72" s="134">
        <v>9</v>
      </c>
      <c r="K72" s="156">
        <v>27</v>
      </c>
      <c r="L72" s="778">
        <f t="shared" ref="L72:L76" si="102">SUM(M72:N72)</f>
        <v>17</v>
      </c>
      <c r="M72" s="134">
        <v>4</v>
      </c>
      <c r="N72" s="135">
        <v>13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83" t="str">
        <f t="shared" si="92"/>
        <v/>
      </c>
      <c r="AN72" s="107"/>
      <c r="AO72" s="107"/>
      <c r="AP72" s="107"/>
      <c r="AQ72" s="1038">
        <f t="shared" si="93"/>
        <v>0</v>
      </c>
      <c r="AR72" s="1038">
        <f t="shared" si="94"/>
        <v>0</v>
      </c>
      <c r="AS72" s="1038">
        <f t="shared" si="95"/>
        <v>0</v>
      </c>
      <c r="AT72" s="1038">
        <f t="shared" si="96"/>
        <v>0</v>
      </c>
    </row>
    <row r="73" spans="1:46" s="172" customFormat="1" ht="15" customHeight="1" x14ac:dyDescent="0.15">
      <c r="A73" s="2168" t="s">
        <v>800</v>
      </c>
      <c r="B73" s="2169"/>
      <c r="C73" s="204">
        <f t="shared" si="97"/>
        <v>123</v>
      </c>
      <c r="D73" s="205">
        <f t="shared" si="98"/>
        <v>23</v>
      </c>
      <c r="E73" s="204">
        <f t="shared" si="99"/>
        <v>100</v>
      </c>
      <c r="F73" s="208">
        <f t="shared" si="100"/>
        <v>3</v>
      </c>
      <c r="G73" s="134">
        <v>0</v>
      </c>
      <c r="H73" s="135">
        <v>3</v>
      </c>
      <c r="I73" s="208">
        <f t="shared" si="101"/>
        <v>120</v>
      </c>
      <c r="J73" s="134">
        <v>23</v>
      </c>
      <c r="K73" s="156">
        <v>97</v>
      </c>
      <c r="L73" s="778">
        <f t="shared" si="102"/>
        <v>34</v>
      </c>
      <c r="M73" s="134">
        <v>8</v>
      </c>
      <c r="N73" s="135">
        <v>26</v>
      </c>
      <c r="O73" s="208">
        <f t="shared" si="103"/>
        <v>2</v>
      </c>
      <c r="P73" s="134">
        <v>0</v>
      </c>
      <c r="Q73" s="135">
        <v>2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83" t="str">
        <f t="shared" si="92"/>
        <v/>
      </c>
      <c r="AN73" s="107"/>
      <c r="AO73" s="107"/>
      <c r="AP73" s="107"/>
      <c r="AQ73" s="1038">
        <f t="shared" si="93"/>
        <v>0</v>
      </c>
      <c r="AR73" s="1038">
        <f t="shared" si="94"/>
        <v>0</v>
      </c>
      <c r="AS73" s="1038">
        <f t="shared" si="95"/>
        <v>0</v>
      </c>
      <c r="AT73" s="1038">
        <f t="shared" si="96"/>
        <v>0</v>
      </c>
    </row>
    <row r="74" spans="1:46" s="172" customFormat="1" ht="15" customHeight="1" x14ac:dyDescent="0.15">
      <c r="A74" s="2168" t="s">
        <v>801</v>
      </c>
      <c r="B74" s="2169"/>
      <c r="C74" s="204">
        <f t="shared" si="97"/>
        <v>132</v>
      </c>
      <c r="D74" s="205">
        <f t="shared" si="98"/>
        <v>18</v>
      </c>
      <c r="E74" s="204">
        <f t="shared" si="99"/>
        <v>114</v>
      </c>
      <c r="F74" s="208">
        <f t="shared" si="100"/>
        <v>7</v>
      </c>
      <c r="G74" s="134">
        <v>1</v>
      </c>
      <c r="H74" s="135">
        <v>6</v>
      </c>
      <c r="I74" s="208">
        <f t="shared" si="101"/>
        <v>125</v>
      </c>
      <c r="J74" s="134">
        <v>17</v>
      </c>
      <c r="K74" s="156">
        <v>108</v>
      </c>
      <c r="L74" s="778">
        <f t="shared" si="102"/>
        <v>38</v>
      </c>
      <c r="M74" s="134">
        <v>4</v>
      </c>
      <c r="N74" s="135">
        <v>34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83" t="str">
        <f t="shared" si="92"/>
        <v/>
      </c>
      <c r="AN74" s="107"/>
      <c r="AO74" s="107"/>
      <c r="AP74" s="107"/>
      <c r="AQ74" s="1038">
        <f t="shared" si="93"/>
        <v>0</v>
      </c>
      <c r="AR74" s="1038">
        <f t="shared" si="94"/>
        <v>0</v>
      </c>
      <c r="AS74" s="1038">
        <f t="shared" si="95"/>
        <v>0</v>
      </c>
      <c r="AT74" s="1038">
        <f t="shared" si="96"/>
        <v>0</v>
      </c>
    </row>
    <row r="75" spans="1:46" s="172" customFormat="1" ht="15" customHeight="1" x14ac:dyDescent="0.15">
      <c r="A75" s="1771" t="s">
        <v>802</v>
      </c>
      <c r="B75" s="1772"/>
      <c r="C75" s="208">
        <f t="shared" si="97"/>
        <v>89</v>
      </c>
      <c r="D75" s="213">
        <f t="shared" si="98"/>
        <v>13</v>
      </c>
      <c r="E75" s="208">
        <f t="shared" si="99"/>
        <v>76</v>
      </c>
      <c r="F75" s="208">
        <f t="shared" si="100"/>
        <v>2</v>
      </c>
      <c r="G75" s="134">
        <v>0</v>
      </c>
      <c r="H75" s="135">
        <v>2</v>
      </c>
      <c r="I75" s="208">
        <f t="shared" si="101"/>
        <v>87</v>
      </c>
      <c r="J75" s="134">
        <v>13</v>
      </c>
      <c r="K75" s="156">
        <v>74</v>
      </c>
      <c r="L75" s="778">
        <f t="shared" si="102"/>
        <v>33</v>
      </c>
      <c r="M75" s="134">
        <v>5</v>
      </c>
      <c r="N75" s="135">
        <v>28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83" t="str">
        <f t="shared" si="92"/>
        <v/>
      </c>
      <c r="AN75" s="107"/>
      <c r="AO75" s="107"/>
      <c r="AP75" s="107"/>
      <c r="AQ75" s="1038">
        <f t="shared" si="93"/>
        <v>0</v>
      </c>
      <c r="AR75" s="1038">
        <f t="shared" si="94"/>
        <v>0</v>
      </c>
      <c r="AS75" s="1038">
        <f t="shared" si="95"/>
        <v>0</v>
      </c>
      <c r="AT75" s="1038">
        <f t="shared" si="96"/>
        <v>0</v>
      </c>
    </row>
    <row r="76" spans="1:46" s="172" customFormat="1" ht="15" customHeight="1" x14ac:dyDescent="0.15">
      <c r="A76" s="2168" t="s">
        <v>803</v>
      </c>
      <c r="B76" s="2169"/>
      <c r="C76" s="204">
        <f>SUM(D76:E76)</f>
        <v>6</v>
      </c>
      <c r="D76" s="205">
        <f>+G76+J76</f>
        <v>0</v>
      </c>
      <c r="E76" s="204">
        <f t="shared" si="99"/>
        <v>6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6</v>
      </c>
      <c r="J76" s="134">
        <v>0</v>
      </c>
      <c r="K76" s="156">
        <v>6</v>
      </c>
      <c r="L76" s="778">
        <f t="shared" si="102"/>
        <v>2</v>
      </c>
      <c r="M76" s="134">
        <v>0</v>
      </c>
      <c r="N76" s="135">
        <v>2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83" t="str">
        <f t="shared" si="92"/>
        <v/>
      </c>
      <c r="AN76" s="107"/>
      <c r="AO76" s="107"/>
      <c r="AP76" s="107"/>
      <c r="AQ76" s="1038">
        <f t="shared" si="93"/>
        <v>0</v>
      </c>
      <c r="AR76" s="1038">
        <f t="shared" si="94"/>
        <v>0</v>
      </c>
      <c r="AS76" s="1038">
        <f t="shared" si="95"/>
        <v>0</v>
      </c>
      <c r="AT76" s="1038">
        <f t="shared" si="96"/>
        <v>0</v>
      </c>
    </row>
    <row r="77" spans="1:46" s="172" customFormat="1" ht="15" customHeight="1" x14ac:dyDescent="0.15">
      <c r="A77" s="2168" t="s">
        <v>804</v>
      </c>
      <c r="B77" s="2169"/>
      <c r="C77" s="204">
        <f t="shared" ref="C77:C78" si="104">SUM(D77:E77)</f>
        <v>2</v>
      </c>
      <c r="D77" s="205">
        <f t="shared" ref="D77:D78" si="105">+G77+J77</f>
        <v>0</v>
      </c>
      <c r="E77" s="204">
        <f t="shared" ref="E77:E78" si="106">+H77+K77</f>
        <v>2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2</v>
      </c>
      <c r="J77" s="134">
        <v>0</v>
      </c>
      <c r="K77" s="156">
        <v>2</v>
      </c>
      <c r="L77" s="778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83" t="str">
        <f t="shared" si="92"/>
        <v/>
      </c>
      <c r="AN77" s="107"/>
      <c r="AO77" s="107"/>
      <c r="AP77" s="107"/>
      <c r="AQ77" s="1038">
        <f t="shared" si="93"/>
        <v>0</v>
      </c>
      <c r="AR77" s="1038">
        <f t="shared" si="94"/>
        <v>0</v>
      </c>
      <c r="AS77" s="1038">
        <f t="shared" si="95"/>
        <v>0</v>
      </c>
      <c r="AT77" s="1038">
        <f t="shared" si="96"/>
        <v>0</v>
      </c>
    </row>
    <row r="78" spans="1:46" s="172" customFormat="1" ht="15" customHeight="1" x14ac:dyDescent="0.15">
      <c r="A78" s="2187" t="s">
        <v>805</v>
      </c>
      <c r="B78" s="2188"/>
      <c r="C78" s="209">
        <f t="shared" si="104"/>
        <v>4</v>
      </c>
      <c r="D78" s="210">
        <f t="shared" si="105"/>
        <v>0</v>
      </c>
      <c r="E78" s="209">
        <f t="shared" si="106"/>
        <v>4</v>
      </c>
      <c r="F78" s="770">
        <f t="shared" si="107"/>
        <v>0</v>
      </c>
      <c r="G78" s="148">
        <v>0</v>
      </c>
      <c r="H78" s="149">
        <v>0</v>
      </c>
      <c r="I78" s="770">
        <f t="shared" si="108"/>
        <v>4</v>
      </c>
      <c r="J78" s="148">
        <v>0</v>
      </c>
      <c r="K78" s="157">
        <v>4</v>
      </c>
      <c r="L78" s="769">
        <f t="shared" si="109"/>
        <v>1</v>
      </c>
      <c r="M78" s="148">
        <v>0</v>
      </c>
      <c r="N78" s="149">
        <v>1</v>
      </c>
      <c r="O78" s="770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83" t="str">
        <f t="shared" si="92"/>
        <v/>
      </c>
      <c r="AN78" s="107"/>
      <c r="AO78" s="107"/>
      <c r="AP78" s="107"/>
      <c r="AQ78" s="1038">
        <f t="shared" si="93"/>
        <v>0</v>
      </c>
      <c r="AR78" s="1038">
        <f t="shared" si="94"/>
        <v>0</v>
      </c>
      <c r="AS78" s="1038">
        <f t="shared" si="95"/>
        <v>0</v>
      </c>
      <c r="AT78" s="1038">
        <f t="shared" si="96"/>
        <v>0</v>
      </c>
    </row>
    <row r="79" spans="1:46" s="172" customFormat="1" ht="17.100000000000001" customHeight="1" x14ac:dyDescent="0.15">
      <c r="A79" s="2167" t="s">
        <v>806</v>
      </c>
      <c r="B79" s="2167"/>
      <c r="C79" s="2167"/>
      <c r="D79" s="2167"/>
      <c r="E79" s="2167"/>
      <c r="F79" s="2167"/>
      <c r="G79" s="2167"/>
      <c r="H79" s="2167"/>
      <c r="I79" s="2167"/>
      <c r="J79" s="2167"/>
      <c r="K79" s="2167"/>
      <c r="L79" s="2167"/>
      <c r="M79" s="2167"/>
      <c r="N79" s="2167"/>
      <c r="O79" s="2167"/>
      <c r="P79" s="2167"/>
      <c r="Q79" s="2167"/>
      <c r="R79" s="1284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1" t="s">
        <v>807</v>
      </c>
      <c r="B80" s="2162"/>
      <c r="C80" s="2177" t="s">
        <v>54</v>
      </c>
      <c r="D80" s="2178"/>
      <c r="E80" s="2179"/>
      <c r="F80" s="2177" t="s">
        <v>773</v>
      </c>
      <c r="G80" s="2178"/>
      <c r="H80" s="2179"/>
      <c r="I80" s="2177" t="s">
        <v>774</v>
      </c>
      <c r="J80" s="2178"/>
      <c r="K80" s="2184"/>
      <c r="L80" s="2185" t="s">
        <v>742</v>
      </c>
      <c r="M80" s="2178"/>
      <c r="N80" s="2179"/>
      <c r="O80" s="2177" t="s">
        <v>57</v>
      </c>
      <c r="P80" s="2178"/>
      <c r="Q80" s="2179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3"/>
      <c r="B81" s="2164"/>
      <c r="C81" s="1555" t="s">
        <v>230</v>
      </c>
      <c r="D81" s="1226" t="s">
        <v>775</v>
      </c>
      <c r="E81" s="1080" t="s">
        <v>90</v>
      </c>
      <c r="F81" s="1556" t="s">
        <v>230</v>
      </c>
      <c r="G81" s="1226" t="s">
        <v>775</v>
      </c>
      <c r="H81" s="1080" t="s">
        <v>90</v>
      </c>
      <c r="I81" s="1556" t="s">
        <v>230</v>
      </c>
      <c r="J81" s="1226" t="s">
        <v>775</v>
      </c>
      <c r="K81" s="1285" t="s">
        <v>90</v>
      </c>
      <c r="L81" s="1286" t="s">
        <v>230</v>
      </c>
      <c r="M81" s="1226" t="s">
        <v>775</v>
      </c>
      <c r="N81" s="1080" t="s">
        <v>90</v>
      </c>
      <c r="O81" s="1555" t="s">
        <v>230</v>
      </c>
      <c r="P81" s="1226" t="s">
        <v>775</v>
      </c>
      <c r="Q81" s="108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9" t="s">
        <v>808</v>
      </c>
      <c r="B82" s="2190"/>
      <c r="C82" s="201">
        <f>SUM(D82:E82)</f>
        <v>32</v>
      </c>
      <c r="D82" s="202">
        <f>+G82+J82</f>
        <v>9</v>
      </c>
      <c r="E82" s="201">
        <f t="shared" ref="E82:E86" si="111">+H82+K82</f>
        <v>23</v>
      </c>
      <c r="F82" s="208">
        <f>SUM(G82:H82)</f>
        <v>18</v>
      </c>
      <c r="G82" s="1287">
        <v>6</v>
      </c>
      <c r="H82" s="1288">
        <v>12</v>
      </c>
      <c r="I82" s="208">
        <f t="shared" ref="I82:I86" si="112">SUM(J82:K82)</f>
        <v>14</v>
      </c>
      <c r="J82" s="1287">
        <v>3</v>
      </c>
      <c r="K82" s="1289">
        <v>11</v>
      </c>
      <c r="L82" s="767">
        <f t="shared" ref="L82:L86" si="113">SUM(M82:N82)</f>
        <v>6</v>
      </c>
      <c r="M82" s="1287">
        <v>1</v>
      </c>
      <c r="N82" s="1288">
        <v>5</v>
      </c>
      <c r="O82" s="768">
        <f t="shared" ref="O82:O86" si="114">SUM(P82:Q82)</f>
        <v>2</v>
      </c>
      <c r="P82" s="1287">
        <v>0</v>
      </c>
      <c r="Q82" s="1288">
        <v>2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83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8">
        <f t="shared" ref="AQ82:AQ86" si="116">IF(AND($D82&gt;0,OR(M82="")),1,IF(M82&gt;$D82,1,0))</f>
        <v>0</v>
      </c>
      <c r="AR82" s="1038">
        <f t="shared" ref="AR82:AR86" si="117">IF(AND($E82&gt;0,OR(N82="")),1,IF(N82&gt;$E82,1,0))</f>
        <v>0</v>
      </c>
      <c r="AS82" s="1038">
        <f t="shared" ref="AS82:AS86" si="118">IF(AND($D82&gt;0,OR(P82="")),1,IF(P82&gt;$D82,1,0))</f>
        <v>0</v>
      </c>
      <c r="AT82" s="1038">
        <f t="shared" ref="AT82:AT86" si="119">IF(AND($E82&gt;0,OR(Q82="")),1,IF(Q82&gt;$E82,1,0))</f>
        <v>0</v>
      </c>
    </row>
    <row r="83" spans="1:48" s="172" customFormat="1" ht="15" customHeight="1" x14ac:dyDescent="0.15">
      <c r="A83" s="2168" t="s">
        <v>809</v>
      </c>
      <c r="B83" s="2169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87">
        <v>0</v>
      </c>
      <c r="H83" s="1288">
        <v>0</v>
      </c>
      <c r="I83" s="208">
        <f t="shared" si="112"/>
        <v>0</v>
      </c>
      <c r="J83" s="1287">
        <v>0</v>
      </c>
      <c r="K83" s="1289">
        <v>0</v>
      </c>
      <c r="L83" s="778">
        <f t="shared" si="113"/>
        <v>0</v>
      </c>
      <c r="M83" s="1287">
        <v>0</v>
      </c>
      <c r="N83" s="1288">
        <v>0</v>
      </c>
      <c r="O83" s="208">
        <f t="shared" si="114"/>
        <v>0</v>
      </c>
      <c r="P83" s="1287">
        <v>0</v>
      </c>
      <c r="Q83" s="1288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83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8">
        <f t="shared" si="116"/>
        <v>0</v>
      </c>
      <c r="AR83" s="1038">
        <f t="shared" si="117"/>
        <v>0</v>
      </c>
      <c r="AS83" s="1038">
        <f t="shared" si="118"/>
        <v>0</v>
      </c>
      <c r="AT83" s="1038">
        <f t="shared" si="119"/>
        <v>0</v>
      </c>
    </row>
    <row r="84" spans="1:48" s="172" customFormat="1" ht="15" customHeight="1" x14ac:dyDescent="0.15">
      <c r="A84" s="2168" t="s">
        <v>642</v>
      </c>
      <c r="B84" s="2169"/>
      <c r="C84" s="204">
        <f t="shared" si="120"/>
        <v>20</v>
      </c>
      <c r="D84" s="205">
        <f t="shared" si="121"/>
        <v>1</v>
      </c>
      <c r="E84" s="204">
        <f t="shared" si="111"/>
        <v>19</v>
      </c>
      <c r="F84" s="208">
        <f t="shared" si="122"/>
        <v>7</v>
      </c>
      <c r="G84" s="1287">
        <v>1</v>
      </c>
      <c r="H84" s="1288">
        <v>6</v>
      </c>
      <c r="I84" s="208">
        <f t="shared" si="112"/>
        <v>13</v>
      </c>
      <c r="J84" s="1287">
        <v>0</v>
      </c>
      <c r="K84" s="1289">
        <v>13</v>
      </c>
      <c r="L84" s="778">
        <f t="shared" si="113"/>
        <v>5</v>
      </c>
      <c r="M84" s="1287">
        <v>0</v>
      </c>
      <c r="N84" s="1288">
        <v>5</v>
      </c>
      <c r="O84" s="208">
        <f t="shared" si="114"/>
        <v>0</v>
      </c>
      <c r="P84" s="1287">
        <v>0</v>
      </c>
      <c r="Q84" s="1288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83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8">
        <f t="shared" si="116"/>
        <v>0</v>
      </c>
      <c r="AR84" s="1038">
        <f t="shared" si="117"/>
        <v>0</v>
      </c>
      <c r="AS84" s="1038">
        <f t="shared" si="118"/>
        <v>0</v>
      </c>
      <c r="AT84" s="1038">
        <f t="shared" si="119"/>
        <v>0</v>
      </c>
    </row>
    <row r="85" spans="1:48" s="172" customFormat="1" ht="15" customHeight="1" x14ac:dyDescent="0.15">
      <c r="A85" s="2168" t="s">
        <v>810</v>
      </c>
      <c r="B85" s="2169"/>
      <c r="C85" s="204">
        <f t="shared" si="120"/>
        <v>60</v>
      </c>
      <c r="D85" s="205">
        <f t="shared" si="121"/>
        <v>25</v>
      </c>
      <c r="E85" s="204">
        <f t="shared" si="111"/>
        <v>35</v>
      </c>
      <c r="F85" s="208">
        <f t="shared" si="122"/>
        <v>35</v>
      </c>
      <c r="G85" s="1287">
        <v>15</v>
      </c>
      <c r="H85" s="1288">
        <v>20</v>
      </c>
      <c r="I85" s="208">
        <f t="shared" si="112"/>
        <v>25</v>
      </c>
      <c r="J85" s="1287">
        <v>10</v>
      </c>
      <c r="K85" s="1289">
        <v>15</v>
      </c>
      <c r="L85" s="778">
        <f t="shared" si="113"/>
        <v>21</v>
      </c>
      <c r="M85" s="1287">
        <v>6</v>
      </c>
      <c r="N85" s="1288">
        <v>15</v>
      </c>
      <c r="O85" s="208">
        <f t="shared" si="114"/>
        <v>2</v>
      </c>
      <c r="P85" s="1287">
        <v>1</v>
      </c>
      <c r="Q85" s="1288">
        <v>1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83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8">
        <f t="shared" si="116"/>
        <v>0</v>
      </c>
      <c r="AR85" s="1038">
        <f t="shared" si="117"/>
        <v>0</v>
      </c>
      <c r="AS85" s="1038">
        <f t="shared" si="118"/>
        <v>0</v>
      </c>
      <c r="AT85" s="1038">
        <f t="shared" si="119"/>
        <v>0</v>
      </c>
    </row>
    <row r="86" spans="1:48" s="172" customFormat="1" ht="15" customHeight="1" x14ac:dyDescent="0.15">
      <c r="A86" s="2196" t="s">
        <v>811</v>
      </c>
      <c r="B86" s="2197"/>
      <c r="C86" s="770">
        <f t="shared" si="120"/>
        <v>14</v>
      </c>
      <c r="D86" s="1290">
        <f t="shared" si="121"/>
        <v>1</v>
      </c>
      <c r="E86" s="770">
        <f t="shared" si="111"/>
        <v>13</v>
      </c>
      <c r="F86" s="770">
        <f t="shared" si="122"/>
        <v>6</v>
      </c>
      <c r="G86" s="1291">
        <v>0</v>
      </c>
      <c r="H86" s="1292">
        <v>6</v>
      </c>
      <c r="I86" s="770">
        <f t="shared" si="112"/>
        <v>8</v>
      </c>
      <c r="J86" s="1291">
        <v>1</v>
      </c>
      <c r="K86" s="1293">
        <v>7</v>
      </c>
      <c r="L86" s="769">
        <f t="shared" si="113"/>
        <v>7</v>
      </c>
      <c r="M86" s="1291">
        <v>1</v>
      </c>
      <c r="N86" s="1292">
        <v>6</v>
      </c>
      <c r="O86" s="770">
        <f t="shared" si="114"/>
        <v>1</v>
      </c>
      <c r="P86" s="1291">
        <v>0</v>
      </c>
      <c r="Q86" s="1292">
        <v>1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83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8">
        <f t="shared" si="116"/>
        <v>0</v>
      </c>
      <c r="AR86" s="1038">
        <f t="shared" si="117"/>
        <v>0</v>
      </c>
      <c r="AS86" s="1038">
        <f t="shared" si="118"/>
        <v>0</v>
      </c>
      <c r="AT86" s="1038">
        <f t="shared" si="119"/>
        <v>0</v>
      </c>
    </row>
    <row r="87" spans="1:48" s="172" customFormat="1" ht="17.100000000000001" customHeight="1" x14ac:dyDescent="0.15">
      <c r="A87" s="2167" t="s">
        <v>812</v>
      </c>
      <c r="B87" s="2167"/>
      <c r="C87" s="2167"/>
      <c r="D87" s="2167"/>
      <c r="E87" s="2167"/>
      <c r="F87" s="2167"/>
      <c r="G87" s="2167"/>
      <c r="H87" s="2167"/>
      <c r="I87" s="2167"/>
      <c r="J87" s="2167"/>
      <c r="K87" s="2167"/>
      <c r="L87" s="2167"/>
      <c r="M87" s="2167"/>
      <c r="N87" s="216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1" t="s">
        <v>813</v>
      </c>
      <c r="B88" s="2181" t="s">
        <v>814</v>
      </c>
      <c r="C88" s="2158" t="s">
        <v>815</v>
      </c>
      <c r="D88" s="2159"/>
      <c r="E88" s="2180"/>
      <c r="F88" s="2183" t="s">
        <v>742</v>
      </c>
      <c r="G88" s="2159"/>
      <c r="H88" s="2160"/>
      <c r="I88" s="2158" t="s">
        <v>57</v>
      </c>
      <c r="J88" s="2159"/>
      <c r="K88" s="2160"/>
      <c r="L88" s="2158" t="s">
        <v>816</v>
      </c>
      <c r="M88" s="2159"/>
      <c r="N88" s="2160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82"/>
      <c r="B89" s="2182"/>
      <c r="C89" s="1226" t="s">
        <v>230</v>
      </c>
      <c r="D89" s="1226" t="s">
        <v>775</v>
      </c>
      <c r="E89" s="1540" t="s">
        <v>90</v>
      </c>
      <c r="F89" s="1546" t="s">
        <v>230</v>
      </c>
      <c r="G89" s="1226" t="s">
        <v>775</v>
      </c>
      <c r="H89" s="1080" t="s">
        <v>90</v>
      </c>
      <c r="I89" s="1226" t="s">
        <v>230</v>
      </c>
      <c r="J89" s="1226" t="s">
        <v>775</v>
      </c>
      <c r="K89" s="1080" t="s">
        <v>90</v>
      </c>
      <c r="L89" s="1226" t="s">
        <v>230</v>
      </c>
      <c r="M89" s="1226" t="s">
        <v>775</v>
      </c>
      <c r="N89" s="108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12" t="s">
        <v>817</v>
      </c>
      <c r="B90" s="217" t="s">
        <v>773</v>
      </c>
      <c r="C90" s="782">
        <f>SUM(D90:E90)</f>
        <v>13</v>
      </c>
      <c r="D90" s="134">
        <v>7</v>
      </c>
      <c r="E90" s="156">
        <v>6</v>
      </c>
      <c r="F90" s="783">
        <f>SUM(G90:H90)</f>
        <v>2</v>
      </c>
      <c r="G90" s="134">
        <v>1</v>
      </c>
      <c r="H90" s="135">
        <v>1</v>
      </c>
      <c r="I90" s="782">
        <f>SUM(J90:K90)</f>
        <v>2</v>
      </c>
      <c r="J90" s="134">
        <v>1</v>
      </c>
      <c r="K90" s="135">
        <v>1</v>
      </c>
      <c r="L90" s="784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8">
        <f>IF(AND($D90&gt;0,OR(G90="")),1,IF(G90&gt;$D90,1,0))</f>
        <v>0</v>
      </c>
      <c r="AR90" s="1038">
        <f>IF(AND($E90&gt;0,OR(H90="")),1,IF(H90&gt;$E90,1,0))</f>
        <v>0</v>
      </c>
      <c r="AS90" s="1038">
        <f>IF(AND($D90&gt;0,OR(J90="")),1,IF(J90&gt;$D90,1,0))</f>
        <v>0</v>
      </c>
      <c r="AT90" s="1038">
        <f>IF(AND($E90&gt;0,OR(K90="")),1,IF(K90&gt;$E90,1,0))</f>
        <v>0</v>
      </c>
      <c r="AU90" s="1038">
        <f>IF(AND($D90&gt;0,OR(M90="")),1,IF(M90&gt;$D90,1,0))</f>
        <v>0</v>
      </c>
      <c r="AV90" s="1038">
        <f>IF(AND($E90&gt;0,OR(N90="")),1,IF(N90&gt;$E90,1,0))</f>
        <v>0</v>
      </c>
    </row>
    <row r="91" spans="1:48" s="172" customFormat="1" ht="15" customHeight="1" x14ac:dyDescent="0.15">
      <c r="A91" s="1914"/>
      <c r="B91" s="1322" t="s">
        <v>818</v>
      </c>
      <c r="C91" s="785">
        <f>SUM(D91:E91)</f>
        <v>8</v>
      </c>
      <c r="D91" s="142">
        <v>2</v>
      </c>
      <c r="E91" s="158">
        <v>6</v>
      </c>
      <c r="F91" s="786">
        <f t="shared" ref="F91:F103" si="124">SUM(G91:H91)</f>
        <v>4</v>
      </c>
      <c r="G91" s="142">
        <v>1</v>
      </c>
      <c r="H91" s="143">
        <v>3</v>
      </c>
      <c r="I91" s="785">
        <f t="shared" ref="I91:I103" si="125">SUM(J91:K91)</f>
        <v>1</v>
      </c>
      <c r="J91" s="142">
        <v>0</v>
      </c>
      <c r="K91" s="143">
        <v>1</v>
      </c>
      <c r="L91" s="787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8">
        <f t="shared" ref="AQ91:AQ103" si="134">IF(AND($D91&gt;0,OR(G91="")),1,IF(G91&gt;$D91,1,0))</f>
        <v>0</v>
      </c>
      <c r="AR91" s="1038">
        <f t="shared" ref="AR91:AR103" si="135">IF(AND($E91&gt;0,OR(H91="")),1,IF(H91&gt;$E91,1,0))</f>
        <v>0</v>
      </c>
      <c r="AS91" s="1038">
        <f t="shared" ref="AS91:AS103" si="136">IF(AND($D91&gt;0,OR(J91="")),1,IF(J91&gt;$D91,1,0))</f>
        <v>0</v>
      </c>
      <c r="AT91" s="1038">
        <f t="shared" ref="AT91:AT103" si="137">IF(AND($E91&gt;0,OR(K91="")),1,IF(K91&gt;$E91,1,0))</f>
        <v>0</v>
      </c>
      <c r="AU91" s="1038">
        <f t="shared" ref="AU91:AU103" si="138">IF(AND($D91&gt;0,OR(M91="")),1,IF(M91&gt;$D91,1,0))</f>
        <v>0</v>
      </c>
      <c r="AV91" s="1038">
        <f t="shared" ref="AV91:AV103" si="139">IF(AND($E91&gt;0,OR(N91="")),1,IF(N91&gt;$E91,1,0))</f>
        <v>0</v>
      </c>
    </row>
    <row r="92" spans="1:48" s="172" customFormat="1" ht="15" customHeight="1" x14ac:dyDescent="0.25">
      <c r="A92" s="1912" t="s">
        <v>819</v>
      </c>
      <c r="B92" s="217" t="s">
        <v>773</v>
      </c>
      <c r="C92" s="788">
        <f t="shared" ref="C92:C103" si="140">SUM(D92:E92)</f>
        <v>29</v>
      </c>
      <c r="D92" s="144">
        <v>11</v>
      </c>
      <c r="E92" s="159">
        <v>18</v>
      </c>
      <c r="F92" s="776">
        <f t="shared" si="124"/>
        <v>10</v>
      </c>
      <c r="G92" s="144">
        <v>5</v>
      </c>
      <c r="H92" s="145">
        <v>5</v>
      </c>
      <c r="I92" s="788">
        <f t="shared" si="125"/>
        <v>0</v>
      </c>
      <c r="J92" s="144">
        <v>0</v>
      </c>
      <c r="K92" s="145">
        <v>0</v>
      </c>
      <c r="L92" s="777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8">
        <f t="shared" si="134"/>
        <v>0</v>
      </c>
      <c r="AR92" s="1038">
        <f t="shared" si="135"/>
        <v>0</v>
      </c>
      <c r="AS92" s="1038">
        <f t="shared" si="136"/>
        <v>0</v>
      </c>
      <c r="AT92" s="1038">
        <f t="shared" si="137"/>
        <v>0</v>
      </c>
      <c r="AU92" s="1038">
        <f t="shared" si="138"/>
        <v>0</v>
      </c>
      <c r="AV92" s="1038">
        <f t="shared" si="139"/>
        <v>0</v>
      </c>
    </row>
    <row r="93" spans="1:48" s="172" customFormat="1" ht="15" customHeight="1" x14ac:dyDescent="0.15">
      <c r="A93" s="1914"/>
      <c r="B93" s="1322" t="s">
        <v>818</v>
      </c>
      <c r="C93" s="789">
        <f t="shared" si="140"/>
        <v>6</v>
      </c>
      <c r="D93" s="154">
        <v>4</v>
      </c>
      <c r="E93" s="160">
        <v>2</v>
      </c>
      <c r="F93" s="769">
        <f t="shared" si="124"/>
        <v>3</v>
      </c>
      <c r="G93" s="154">
        <v>2</v>
      </c>
      <c r="H93" s="155">
        <v>1</v>
      </c>
      <c r="I93" s="789">
        <f t="shared" si="125"/>
        <v>0</v>
      </c>
      <c r="J93" s="154">
        <v>0</v>
      </c>
      <c r="K93" s="155">
        <v>0</v>
      </c>
      <c r="L93" s="770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8">
        <f t="shared" si="134"/>
        <v>0</v>
      </c>
      <c r="AR93" s="1038">
        <f t="shared" si="135"/>
        <v>0</v>
      </c>
      <c r="AS93" s="1038">
        <f t="shared" si="136"/>
        <v>0</v>
      </c>
      <c r="AT93" s="1038">
        <f t="shared" si="137"/>
        <v>0</v>
      </c>
      <c r="AU93" s="1038">
        <f t="shared" si="138"/>
        <v>0</v>
      </c>
      <c r="AV93" s="1038">
        <f>IF(AND($E93&gt;0,OR(N93="")),1,IF(N93&gt;$E93,1,0))</f>
        <v>0</v>
      </c>
    </row>
    <row r="94" spans="1:48" s="172" customFormat="1" ht="15" customHeight="1" x14ac:dyDescent="0.15">
      <c r="A94" s="1912" t="s">
        <v>820</v>
      </c>
      <c r="B94" s="217" t="s">
        <v>773</v>
      </c>
      <c r="C94" s="788">
        <f t="shared" si="140"/>
        <v>0</v>
      </c>
      <c r="D94" s="144">
        <v>0</v>
      </c>
      <c r="E94" s="159">
        <v>0</v>
      </c>
      <c r="F94" s="776">
        <f t="shared" si="124"/>
        <v>0</v>
      </c>
      <c r="G94" s="144">
        <v>0</v>
      </c>
      <c r="H94" s="145">
        <v>0</v>
      </c>
      <c r="I94" s="788">
        <f t="shared" si="125"/>
        <v>0</v>
      </c>
      <c r="J94" s="144">
        <v>0</v>
      </c>
      <c r="K94" s="145">
        <v>0</v>
      </c>
      <c r="L94" s="777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8">
        <f t="shared" si="134"/>
        <v>0</v>
      </c>
      <c r="AR94" s="1038">
        <f t="shared" si="135"/>
        <v>0</v>
      </c>
      <c r="AS94" s="1038">
        <f t="shared" si="136"/>
        <v>0</v>
      </c>
      <c r="AT94" s="1038">
        <f t="shared" si="137"/>
        <v>0</v>
      </c>
      <c r="AU94" s="1038">
        <f t="shared" si="138"/>
        <v>0</v>
      </c>
      <c r="AV94" s="1038">
        <f t="shared" si="139"/>
        <v>0</v>
      </c>
    </row>
    <row r="95" spans="1:48" s="172" customFormat="1" ht="15" customHeight="1" x14ac:dyDescent="0.25">
      <c r="A95" s="1914"/>
      <c r="B95" s="1322" t="s">
        <v>818</v>
      </c>
      <c r="C95" s="789">
        <f t="shared" si="140"/>
        <v>0</v>
      </c>
      <c r="D95" s="154">
        <v>0</v>
      </c>
      <c r="E95" s="160">
        <v>0</v>
      </c>
      <c r="F95" s="769">
        <f t="shared" si="124"/>
        <v>0</v>
      </c>
      <c r="G95" s="154">
        <v>0</v>
      </c>
      <c r="H95" s="155">
        <v>0</v>
      </c>
      <c r="I95" s="789">
        <f t="shared" si="125"/>
        <v>0</v>
      </c>
      <c r="J95" s="154">
        <v>0</v>
      </c>
      <c r="K95" s="155">
        <v>0</v>
      </c>
      <c r="L95" s="770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8">
        <f t="shared" si="134"/>
        <v>0</v>
      </c>
      <c r="AR95" s="1038">
        <f t="shared" si="135"/>
        <v>0</v>
      </c>
      <c r="AS95" s="1038">
        <f t="shared" si="136"/>
        <v>0</v>
      </c>
      <c r="AT95" s="1038">
        <f t="shared" si="137"/>
        <v>0</v>
      </c>
      <c r="AU95" s="1038">
        <f t="shared" si="138"/>
        <v>0</v>
      </c>
      <c r="AV95" s="1038">
        <f t="shared" si="139"/>
        <v>0</v>
      </c>
    </row>
    <row r="96" spans="1:48" s="172" customFormat="1" ht="15" customHeight="1" x14ac:dyDescent="0.15">
      <c r="A96" s="1912" t="s">
        <v>821</v>
      </c>
      <c r="B96" s="217" t="s">
        <v>773</v>
      </c>
      <c r="C96" s="788">
        <f t="shared" si="140"/>
        <v>3</v>
      </c>
      <c r="D96" s="144">
        <v>1</v>
      </c>
      <c r="E96" s="159">
        <v>2</v>
      </c>
      <c r="F96" s="776">
        <f t="shared" si="124"/>
        <v>1</v>
      </c>
      <c r="G96" s="144">
        <v>0</v>
      </c>
      <c r="H96" s="145">
        <v>1</v>
      </c>
      <c r="I96" s="788">
        <f t="shared" si="125"/>
        <v>0</v>
      </c>
      <c r="J96" s="144">
        <v>0</v>
      </c>
      <c r="K96" s="145">
        <v>0</v>
      </c>
      <c r="L96" s="777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8">
        <f t="shared" si="134"/>
        <v>0</v>
      </c>
      <c r="AR96" s="1038">
        <f t="shared" si="135"/>
        <v>0</v>
      </c>
      <c r="AS96" s="1038">
        <f t="shared" si="136"/>
        <v>0</v>
      </c>
      <c r="AT96" s="1038">
        <f t="shared" si="137"/>
        <v>0</v>
      </c>
      <c r="AU96" s="1038">
        <f t="shared" si="138"/>
        <v>0</v>
      </c>
      <c r="AV96" s="1038">
        <f t="shared" si="139"/>
        <v>0</v>
      </c>
    </row>
    <row r="97" spans="1:48" s="172" customFormat="1" ht="15" customHeight="1" x14ac:dyDescent="0.15">
      <c r="A97" s="1914"/>
      <c r="B97" s="1322" t="s">
        <v>818</v>
      </c>
      <c r="C97" s="789">
        <f t="shared" si="140"/>
        <v>1</v>
      </c>
      <c r="D97" s="154">
        <v>0</v>
      </c>
      <c r="E97" s="160">
        <v>1</v>
      </c>
      <c r="F97" s="769">
        <f t="shared" si="124"/>
        <v>0</v>
      </c>
      <c r="G97" s="154">
        <v>0</v>
      </c>
      <c r="H97" s="155">
        <v>0</v>
      </c>
      <c r="I97" s="789">
        <f t="shared" si="125"/>
        <v>0</v>
      </c>
      <c r="J97" s="154">
        <v>0</v>
      </c>
      <c r="K97" s="155">
        <v>0</v>
      </c>
      <c r="L97" s="770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8">
        <f t="shared" si="134"/>
        <v>0</v>
      </c>
      <c r="AR97" s="1038">
        <f t="shared" si="135"/>
        <v>0</v>
      </c>
      <c r="AS97" s="1038">
        <f t="shared" si="136"/>
        <v>0</v>
      </c>
      <c r="AT97" s="1038">
        <f t="shared" si="137"/>
        <v>0</v>
      </c>
      <c r="AU97" s="1038">
        <f t="shared" si="138"/>
        <v>0</v>
      </c>
      <c r="AV97" s="1038">
        <f t="shared" si="139"/>
        <v>0</v>
      </c>
    </row>
    <row r="98" spans="1:48" s="172" customFormat="1" ht="15" customHeight="1" x14ac:dyDescent="0.15">
      <c r="A98" s="1912" t="s">
        <v>822</v>
      </c>
      <c r="B98" s="217" t="s">
        <v>773</v>
      </c>
      <c r="C98" s="788">
        <f t="shared" si="140"/>
        <v>166</v>
      </c>
      <c r="D98" s="144">
        <v>56</v>
      </c>
      <c r="E98" s="159">
        <v>110</v>
      </c>
      <c r="F98" s="776">
        <f t="shared" si="124"/>
        <v>62</v>
      </c>
      <c r="G98" s="144">
        <v>18</v>
      </c>
      <c r="H98" s="145">
        <v>44</v>
      </c>
      <c r="I98" s="788">
        <f t="shared" si="125"/>
        <v>5</v>
      </c>
      <c r="J98" s="144">
        <v>1</v>
      </c>
      <c r="K98" s="145">
        <v>4</v>
      </c>
      <c r="L98" s="777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8">
        <f t="shared" si="134"/>
        <v>0</v>
      </c>
      <c r="AR98" s="1038">
        <f t="shared" si="135"/>
        <v>0</v>
      </c>
      <c r="AS98" s="1038">
        <f t="shared" si="136"/>
        <v>0</v>
      </c>
      <c r="AT98" s="1038">
        <f t="shared" si="137"/>
        <v>0</v>
      </c>
      <c r="AU98" s="1038">
        <f t="shared" si="138"/>
        <v>0</v>
      </c>
      <c r="AV98" s="1038">
        <f t="shared" si="139"/>
        <v>0</v>
      </c>
    </row>
    <row r="99" spans="1:48" s="172" customFormat="1" ht="15" customHeight="1" x14ac:dyDescent="0.15">
      <c r="A99" s="1914"/>
      <c r="B99" s="1322" t="s">
        <v>818</v>
      </c>
      <c r="C99" s="789">
        <f t="shared" si="140"/>
        <v>189</v>
      </c>
      <c r="D99" s="154">
        <v>38</v>
      </c>
      <c r="E99" s="160">
        <v>151</v>
      </c>
      <c r="F99" s="769">
        <f t="shared" si="124"/>
        <v>56</v>
      </c>
      <c r="G99" s="154">
        <v>9</v>
      </c>
      <c r="H99" s="155">
        <v>47</v>
      </c>
      <c r="I99" s="789">
        <f t="shared" si="125"/>
        <v>9</v>
      </c>
      <c r="J99" s="154">
        <v>4</v>
      </c>
      <c r="K99" s="155">
        <v>5</v>
      </c>
      <c r="L99" s="770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8">
        <f t="shared" si="134"/>
        <v>0</v>
      </c>
      <c r="AR99" s="1038">
        <f t="shared" si="135"/>
        <v>0</v>
      </c>
      <c r="AS99" s="1038">
        <f t="shared" si="136"/>
        <v>0</v>
      </c>
      <c r="AT99" s="1038">
        <f t="shared" si="137"/>
        <v>0</v>
      </c>
      <c r="AU99" s="1038">
        <f t="shared" si="138"/>
        <v>0</v>
      </c>
      <c r="AV99" s="1038">
        <f t="shared" si="139"/>
        <v>0</v>
      </c>
    </row>
    <row r="100" spans="1:48" s="172" customFormat="1" ht="15" customHeight="1" x14ac:dyDescent="0.15">
      <c r="A100" s="1912" t="s">
        <v>823</v>
      </c>
      <c r="B100" s="217" t="s">
        <v>773</v>
      </c>
      <c r="C100" s="788">
        <f t="shared" si="140"/>
        <v>0</v>
      </c>
      <c r="D100" s="144">
        <v>0</v>
      </c>
      <c r="E100" s="159">
        <v>0</v>
      </c>
      <c r="F100" s="776">
        <f t="shared" si="124"/>
        <v>0</v>
      </c>
      <c r="G100" s="144">
        <v>0</v>
      </c>
      <c r="H100" s="145">
        <v>0</v>
      </c>
      <c r="I100" s="788">
        <f t="shared" si="125"/>
        <v>0</v>
      </c>
      <c r="J100" s="144">
        <v>0</v>
      </c>
      <c r="K100" s="145">
        <v>0</v>
      </c>
      <c r="L100" s="777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8">
        <f t="shared" si="134"/>
        <v>0</v>
      </c>
      <c r="AR100" s="1038">
        <f t="shared" si="135"/>
        <v>0</v>
      </c>
      <c r="AS100" s="1038">
        <f t="shared" si="136"/>
        <v>0</v>
      </c>
      <c r="AT100" s="1038">
        <f t="shared" si="137"/>
        <v>0</v>
      </c>
      <c r="AU100" s="1038">
        <f t="shared" si="138"/>
        <v>0</v>
      </c>
      <c r="AV100" s="1038">
        <f t="shared" si="139"/>
        <v>0</v>
      </c>
    </row>
    <row r="101" spans="1:48" s="172" customFormat="1" ht="15" customHeight="1" x14ac:dyDescent="0.15">
      <c r="A101" s="1914"/>
      <c r="B101" s="1085" t="s">
        <v>818</v>
      </c>
      <c r="C101" s="789">
        <f t="shared" si="140"/>
        <v>3</v>
      </c>
      <c r="D101" s="154">
        <v>0</v>
      </c>
      <c r="E101" s="160">
        <v>3</v>
      </c>
      <c r="F101" s="769">
        <f t="shared" si="124"/>
        <v>1</v>
      </c>
      <c r="G101" s="154">
        <v>0</v>
      </c>
      <c r="H101" s="155">
        <v>1</v>
      </c>
      <c r="I101" s="789">
        <f t="shared" si="125"/>
        <v>0</v>
      </c>
      <c r="J101" s="154">
        <v>0</v>
      </c>
      <c r="K101" s="155">
        <v>0</v>
      </c>
      <c r="L101" s="770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8">
        <f t="shared" si="134"/>
        <v>0</v>
      </c>
      <c r="AR101" s="1038">
        <f t="shared" si="135"/>
        <v>0</v>
      </c>
      <c r="AS101" s="1038">
        <f t="shared" si="136"/>
        <v>0</v>
      </c>
      <c r="AT101" s="1038">
        <f t="shared" si="137"/>
        <v>0</v>
      </c>
      <c r="AU101" s="1038">
        <f t="shared" si="138"/>
        <v>0</v>
      </c>
      <c r="AV101" s="1038">
        <f t="shared" si="139"/>
        <v>0</v>
      </c>
    </row>
    <row r="102" spans="1:48" s="172" customFormat="1" ht="15" customHeight="1" x14ac:dyDescent="0.15">
      <c r="A102" s="1912" t="s">
        <v>824</v>
      </c>
      <c r="B102" s="218" t="s">
        <v>773</v>
      </c>
      <c r="C102" s="790">
        <f t="shared" si="140"/>
        <v>0</v>
      </c>
      <c r="D102" s="134">
        <v>0</v>
      </c>
      <c r="E102" s="156">
        <v>0</v>
      </c>
      <c r="F102" s="767">
        <f t="shared" si="124"/>
        <v>0</v>
      </c>
      <c r="G102" s="134">
        <v>0</v>
      </c>
      <c r="H102" s="135">
        <v>0</v>
      </c>
      <c r="I102" s="790">
        <f t="shared" si="125"/>
        <v>0</v>
      </c>
      <c r="J102" s="134">
        <v>0</v>
      </c>
      <c r="K102" s="135">
        <v>0</v>
      </c>
      <c r="L102" s="768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8">
        <f t="shared" si="134"/>
        <v>0</v>
      </c>
      <c r="AR102" s="1038">
        <f t="shared" si="135"/>
        <v>0</v>
      </c>
      <c r="AS102" s="1038">
        <f t="shared" si="136"/>
        <v>0</v>
      </c>
      <c r="AT102" s="1038">
        <f t="shared" si="137"/>
        <v>0</v>
      </c>
      <c r="AU102" s="1038">
        <f t="shared" si="138"/>
        <v>0</v>
      </c>
      <c r="AV102" s="1038">
        <f t="shared" si="139"/>
        <v>0</v>
      </c>
    </row>
    <row r="103" spans="1:48" s="172" customFormat="1" ht="15" customHeight="1" x14ac:dyDescent="0.15">
      <c r="A103" s="1914"/>
      <c r="B103" s="1085" t="s">
        <v>818</v>
      </c>
      <c r="C103" s="773">
        <f t="shared" si="140"/>
        <v>17</v>
      </c>
      <c r="D103" s="154">
        <v>3</v>
      </c>
      <c r="E103" s="161">
        <v>14</v>
      </c>
      <c r="F103" s="774">
        <f t="shared" si="124"/>
        <v>6</v>
      </c>
      <c r="G103" s="154">
        <v>0</v>
      </c>
      <c r="H103" s="155">
        <v>6</v>
      </c>
      <c r="I103" s="773">
        <f t="shared" si="125"/>
        <v>0</v>
      </c>
      <c r="J103" s="154">
        <v>0</v>
      </c>
      <c r="K103" s="155">
        <v>0</v>
      </c>
      <c r="L103" s="775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1"/>
      <c r="Q103" s="791"/>
      <c r="R103" s="791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8">
        <f t="shared" si="134"/>
        <v>0</v>
      </c>
      <c r="AR103" s="1038">
        <f t="shared" si="135"/>
        <v>0</v>
      </c>
      <c r="AS103" s="1038">
        <f t="shared" si="136"/>
        <v>0</v>
      </c>
      <c r="AT103" s="1038">
        <f t="shared" si="137"/>
        <v>0</v>
      </c>
      <c r="AU103" s="1038">
        <f t="shared" si="138"/>
        <v>0</v>
      </c>
      <c r="AV103" s="103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86">
        <f>SUM(C16:C42,C12,,C49:C54,C58:C67,C71:C78,C82:C86,C90:C103)</f>
        <v>6589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86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="80" zoomScaleNormal="80" workbookViewId="0">
      <selection activeCell="CR1" sqref="BZ1:CR104857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5" t="s">
        <v>825</v>
      </c>
      <c r="B7" s="2205"/>
      <c r="C7" s="2205"/>
      <c r="D7" s="2205"/>
      <c r="E7" s="2205"/>
      <c r="F7" s="2205"/>
      <c r="G7" s="2205"/>
      <c r="H7" s="2205"/>
      <c r="I7" s="2205"/>
      <c r="J7" s="2205"/>
      <c r="K7" s="2205"/>
      <c r="L7" s="2205"/>
      <c r="M7" s="2205"/>
      <c r="N7" s="2205"/>
      <c r="O7" s="2205"/>
      <c r="P7" s="2205"/>
      <c r="Q7" s="2205"/>
      <c r="R7" s="2205"/>
      <c r="S7" s="2205"/>
      <c r="T7" s="2205"/>
      <c r="U7" s="2205"/>
      <c r="V7" s="2205"/>
      <c r="W7" s="2205"/>
      <c r="X7" s="2205"/>
      <c r="Y7" s="2205"/>
      <c r="Z7" s="2205"/>
      <c r="AA7" s="2205"/>
      <c r="AB7" s="2205"/>
      <c r="AC7" s="1092"/>
      <c r="AD7" s="1092"/>
      <c r="AE7" s="1092"/>
      <c r="AF7" s="1092"/>
      <c r="AG7" s="1092"/>
      <c r="AH7" s="1092"/>
      <c r="AI7" s="1092"/>
      <c r="AJ7" s="1092"/>
      <c r="AK7" s="1092"/>
      <c r="AL7" s="1092"/>
      <c r="AM7" s="1092"/>
      <c r="AN7" s="1092"/>
      <c r="AO7" s="1092"/>
      <c r="AP7" s="1092"/>
      <c r="AQ7" s="1092"/>
      <c r="AR7" s="1092"/>
    </row>
    <row r="8" spans="1:100" ht="17.100000000000001" customHeight="1" x14ac:dyDescent="0.25">
      <c r="A8" s="2208" t="s">
        <v>826</v>
      </c>
      <c r="B8" s="2208"/>
      <c r="C8" s="2208"/>
      <c r="D8" s="2208"/>
      <c r="E8" s="2208"/>
      <c r="F8" s="2208"/>
      <c r="G8" s="2208"/>
      <c r="H8" s="2208"/>
      <c r="I8" s="2208"/>
      <c r="J8" s="2208"/>
      <c r="K8" s="233"/>
      <c r="L8" s="233"/>
    </row>
    <row r="9" spans="1:100" ht="15" customHeight="1" x14ac:dyDescent="0.25">
      <c r="A9" s="2230" t="s">
        <v>827</v>
      </c>
      <c r="B9" s="2230"/>
      <c r="C9" s="2231"/>
      <c r="D9" s="2219" t="s">
        <v>54</v>
      </c>
      <c r="E9" s="2220"/>
      <c r="F9" s="2221"/>
      <c r="G9" s="2217" t="s">
        <v>381</v>
      </c>
      <c r="H9" s="1928"/>
      <c r="I9" s="1928"/>
      <c r="J9" s="1928"/>
      <c r="K9" s="1928"/>
      <c r="L9" s="1928"/>
      <c r="M9" s="1928"/>
      <c r="N9" s="1928"/>
      <c r="O9" s="1928"/>
      <c r="P9" s="1928"/>
      <c r="Q9" s="1928"/>
      <c r="R9" s="1928"/>
      <c r="S9" s="1928"/>
      <c r="T9" s="1928"/>
      <c r="U9" s="1928"/>
      <c r="V9" s="1928"/>
      <c r="W9" s="1928"/>
      <c r="X9" s="1928"/>
      <c r="Y9" s="1928"/>
      <c r="Z9" s="1928"/>
      <c r="AA9" s="1928"/>
      <c r="AB9" s="1928"/>
      <c r="AC9" s="1928"/>
      <c r="AD9" s="1928"/>
      <c r="AE9" s="1928"/>
      <c r="AF9" s="1928"/>
      <c r="AG9" s="1928"/>
      <c r="AH9" s="1928"/>
      <c r="AI9" s="1928"/>
      <c r="AJ9" s="1928"/>
      <c r="AK9" s="1928"/>
      <c r="AL9" s="1928"/>
      <c r="AM9" s="1928"/>
      <c r="AN9" s="1928"/>
      <c r="AO9" s="1928"/>
      <c r="AP9" s="1928"/>
      <c r="AQ9" s="1928"/>
      <c r="AR9" s="2218"/>
      <c r="AS9" s="1696" t="s">
        <v>633</v>
      </c>
      <c r="AT9" s="1653"/>
      <c r="AU9" s="1697" t="s">
        <v>56</v>
      </c>
      <c r="AV9" s="2212" t="s">
        <v>113</v>
      </c>
      <c r="AW9" s="2212" t="s">
        <v>624</v>
      </c>
      <c r="AX9" s="1651" t="s">
        <v>383</v>
      </c>
      <c r="CA9" s="1710" t="s">
        <v>633</v>
      </c>
      <c r="CB9" s="1653"/>
      <c r="CC9" s="1655" t="s">
        <v>56</v>
      </c>
      <c r="CD9" s="1655" t="s">
        <v>583</v>
      </c>
      <c r="CE9" s="1655" t="s">
        <v>828</v>
      </c>
      <c r="CF9" s="1655" t="s">
        <v>829</v>
      </c>
      <c r="CG9" s="1992"/>
      <c r="CH9" s="1992"/>
      <c r="CI9" s="1992"/>
      <c r="CJ9" s="1992"/>
      <c r="CK9" s="1992"/>
      <c r="CL9" s="1710" t="s">
        <v>633</v>
      </c>
      <c r="CM9" s="1653"/>
      <c r="CN9" s="1655" t="s">
        <v>56</v>
      </c>
      <c r="CO9" s="1655" t="s">
        <v>583</v>
      </c>
      <c r="CP9" s="1655" t="s">
        <v>828</v>
      </c>
      <c r="CQ9" s="1710" t="s">
        <v>829</v>
      </c>
      <c r="CR9" s="1992"/>
      <c r="CS9" s="1992"/>
      <c r="CT9" s="1992"/>
      <c r="CU9" s="1992"/>
      <c r="CV9" s="1992"/>
    </row>
    <row r="10" spans="1:100" ht="15" customHeight="1" x14ac:dyDescent="0.25">
      <c r="A10" s="2232"/>
      <c r="B10" s="2232"/>
      <c r="C10" s="2233"/>
      <c r="D10" s="2222"/>
      <c r="E10" s="2223"/>
      <c r="F10" s="2224"/>
      <c r="G10" s="1648" t="s">
        <v>830</v>
      </c>
      <c r="H10" s="1650"/>
      <c r="I10" s="1649" t="s">
        <v>385</v>
      </c>
      <c r="J10" s="1649"/>
      <c r="K10" s="2064" t="s">
        <v>831</v>
      </c>
      <c r="L10" s="2228"/>
      <c r="M10" s="1649" t="s">
        <v>410</v>
      </c>
      <c r="N10" s="1649"/>
      <c r="O10" s="1648" t="s">
        <v>321</v>
      </c>
      <c r="P10" s="1650"/>
      <c r="Q10" s="1649" t="s">
        <v>62</v>
      </c>
      <c r="R10" s="1649"/>
      <c r="S10" s="2210" t="s">
        <v>63</v>
      </c>
      <c r="T10" s="2214"/>
      <c r="U10" s="2211" t="s">
        <v>64</v>
      </c>
      <c r="V10" s="2211"/>
      <c r="W10" s="2210" t="s">
        <v>65</v>
      </c>
      <c r="X10" s="2214"/>
      <c r="Y10" s="2211" t="s">
        <v>66</v>
      </c>
      <c r="Z10" s="2211"/>
      <c r="AA10" s="2210" t="s">
        <v>67</v>
      </c>
      <c r="AB10" s="2214"/>
      <c r="AC10" s="2211" t="s">
        <v>68</v>
      </c>
      <c r="AD10" s="2211"/>
      <c r="AE10" s="2210" t="s">
        <v>69</v>
      </c>
      <c r="AF10" s="2214"/>
      <c r="AG10" s="2210" t="s">
        <v>70</v>
      </c>
      <c r="AH10" s="2214"/>
      <c r="AI10" s="2211" t="s">
        <v>71</v>
      </c>
      <c r="AJ10" s="2211"/>
      <c r="AK10" s="2210" t="s">
        <v>72</v>
      </c>
      <c r="AL10" s="2214"/>
      <c r="AM10" s="1649" t="s">
        <v>411</v>
      </c>
      <c r="AN10" s="1649"/>
      <c r="AO10" s="1648" t="s">
        <v>412</v>
      </c>
      <c r="AP10" s="1650"/>
      <c r="AQ10" s="1649" t="s">
        <v>413</v>
      </c>
      <c r="AR10" s="2065"/>
      <c r="AS10" s="1698"/>
      <c r="AT10" s="1654"/>
      <c r="AU10" s="2216"/>
      <c r="AV10" s="2213"/>
      <c r="AW10" s="2213"/>
      <c r="AX10" s="2209"/>
      <c r="CA10" s="1711"/>
      <c r="CB10" s="1654"/>
      <c r="CC10" s="1930"/>
      <c r="CD10" s="1930"/>
      <c r="CE10" s="1930"/>
      <c r="CF10" s="1930"/>
      <c r="CG10" s="1992"/>
      <c r="CH10" s="1992"/>
      <c r="CI10" s="1992"/>
      <c r="CJ10" s="1992"/>
      <c r="CK10" s="1992"/>
      <c r="CL10" s="1711"/>
      <c r="CM10" s="1654"/>
      <c r="CN10" s="1930"/>
      <c r="CO10" s="1930"/>
      <c r="CP10" s="1930"/>
      <c r="CQ10" s="2236"/>
      <c r="CR10" s="1992"/>
      <c r="CS10" s="1992"/>
      <c r="CT10" s="1992"/>
      <c r="CU10" s="1992"/>
      <c r="CV10" s="1992"/>
    </row>
    <row r="11" spans="1:100" ht="15" customHeight="1" x14ac:dyDescent="0.25">
      <c r="A11" s="2234"/>
      <c r="B11" s="2234"/>
      <c r="C11" s="2235"/>
      <c r="D11" s="1557" t="s">
        <v>230</v>
      </c>
      <c r="E11" s="1558" t="s">
        <v>91</v>
      </c>
      <c r="F11" s="1559" t="s">
        <v>231</v>
      </c>
      <c r="G11" s="1210" t="s">
        <v>415</v>
      </c>
      <c r="H11" s="1081" t="s">
        <v>231</v>
      </c>
      <c r="I11" s="1446" t="s">
        <v>415</v>
      </c>
      <c r="J11" s="123" t="s">
        <v>231</v>
      </c>
      <c r="K11" s="1210" t="s">
        <v>415</v>
      </c>
      <c r="L11" s="1081" t="s">
        <v>231</v>
      </c>
      <c r="M11" s="1446" t="s">
        <v>415</v>
      </c>
      <c r="N11" s="123" t="s">
        <v>231</v>
      </c>
      <c r="O11" s="1210" t="s">
        <v>415</v>
      </c>
      <c r="P11" s="1081" t="s">
        <v>231</v>
      </c>
      <c r="Q11" s="1446" t="s">
        <v>415</v>
      </c>
      <c r="R11" s="123" t="s">
        <v>231</v>
      </c>
      <c r="S11" s="1210" t="s">
        <v>415</v>
      </c>
      <c r="T11" s="1081" t="s">
        <v>231</v>
      </c>
      <c r="U11" s="1446" t="s">
        <v>415</v>
      </c>
      <c r="V11" s="123" t="s">
        <v>231</v>
      </c>
      <c r="W11" s="1210" t="s">
        <v>415</v>
      </c>
      <c r="X11" s="1081" t="s">
        <v>231</v>
      </c>
      <c r="Y11" s="1446" t="s">
        <v>415</v>
      </c>
      <c r="Z11" s="123" t="s">
        <v>231</v>
      </c>
      <c r="AA11" s="1210" t="s">
        <v>415</v>
      </c>
      <c r="AB11" s="1081" t="s">
        <v>231</v>
      </c>
      <c r="AC11" s="1446" t="s">
        <v>415</v>
      </c>
      <c r="AD11" s="123" t="s">
        <v>231</v>
      </c>
      <c r="AE11" s="1210" t="s">
        <v>415</v>
      </c>
      <c r="AF11" s="1081" t="s">
        <v>231</v>
      </c>
      <c r="AG11" s="1210" t="s">
        <v>415</v>
      </c>
      <c r="AH11" s="1081" t="s">
        <v>231</v>
      </c>
      <c r="AI11" s="1446" t="s">
        <v>415</v>
      </c>
      <c r="AJ11" s="123" t="s">
        <v>231</v>
      </c>
      <c r="AK11" s="1210" t="s">
        <v>415</v>
      </c>
      <c r="AL11" s="1081" t="s">
        <v>231</v>
      </c>
      <c r="AM11" s="1446" t="s">
        <v>415</v>
      </c>
      <c r="AN11" s="123" t="s">
        <v>231</v>
      </c>
      <c r="AO11" s="1210" t="s">
        <v>415</v>
      </c>
      <c r="AP11" s="1081" t="s">
        <v>231</v>
      </c>
      <c r="AQ11" s="1446" t="s">
        <v>415</v>
      </c>
      <c r="AR11" s="124" t="s">
        <v>231</v>
      </c>
      <c r="AS11" s="175" t="s">
        <v>634</v>
      </c>
      <c r="AT11" s="1081" t="s">
        <v>636</v>
      </c>
      <c r="AU11" s="1699"/>
      <c r="AV11" s="1785"/>
      <c r="AW11" s="1785"/>
      <c r="AX11" s="1652"/>
      <c r="CA11" s="1440" t="s">
        <v>634</v>
      </c>
      <c r="CB11" s="1440" t="s">
        <v>832</v>
      </c>
      <c r="CC11" s="1656"/>
      <c r="CD11" s="1656"/>
      <c r="CE11" s="1656"/>
      <c r="CF11" s="1656"/>
      <c r="CG11" s="184"/>
      <c r="CH11" s="184"/>
      <c r="CI11" s="184"/>
      <c r="CJ11" s="184"/>
      <c r="CK11" s="184"/>
      <c r="CL11" s="1440" t="s">
        <v>634</v>
      </c>
      <c r="CM11" s="1440" t="s">
        <v>832</v>
      </c>
      <c r="CN11" s="1656"/>
      <c r="CO11" s="1656"/>
      <c r="CP11" s="1656"/>
      <c r="CQ11" s="1711"/>
      <c r="CR11" s="184"/>
      <c r="CS11" s="184"/>
      <c r="CT11" s="184"/>
      <c r="CU11" s="184"/>
      <c r="CV11" s="184"/>
    </row>
    <row r="12" spans="1:100" ht="15" customHeight="1" x14ac:dyDescent="0.25">
      <c r="A12" s="1653" t="s">
        <v>833</v>
      </c>
      <c r="B12" s="2229" t="s">
        <v>622</v>
      </c>
      <c r="C12" s="594" t="s">
        <v>834</v>
      </c>
      <c r="D12" s="1123">
        <f>SUM(F12)</f>
        <v>0</v>
      </c>
      <c r="E12" s="1119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8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8">
        <f>IF(AND($F12&gt;0,OR($AS12="")),1,IF($AS12&gt;$F12,1,0))</f>
        <v>0</v>
      </c>
      <c r="CM12" s="1082"/>
      <c r="CN12" s="1038">
        <f t="shared" ref="CN12:CN17" si="0">IF(AND($D12&gt;0,OR($AU12="")),1,IF($AU12&gt;$D12,1,0))</f>
        <v>0</v>
      </c>
      <c r="CO12" s="1038">
        <f>IF(AND($D12&gt;0,OR($AV12="")),1,IF($AV12&gt;$D12,1,0))</f>
        <v>0</v>
      </c>
      <c r="CP12" s="1038">
        <f>IF(AND($D12&gt;0,OR($AW12="")),1,IF($AW12&gt;$D12,1,0))</f>
        <v>0</v>
      </c>
      <c r="CQ12" s="1038">
        <f>IF(AND($D12&gt;0,OR($AX12="")),1,IF($AX12&gt;$D12,1,0))</f>
        <v>0</v>
      </c>
      <c r="CR12" s="1083"/>
    </row>
    <row r="13" spans="1:100" ht="15" customHeight="1" x14ac:dyDescent="0.25">
      <c r="A13" s="2215"/>
      <c r="B13" s="2227"/>
      <c r="C13" s="596" t="s">
        <v>835</v>
      </c>
      <c r="D13" s="1124">
        <f>SUM(F13)</f>
        <v>0</v>
      </c>
      <c r="E13" s="1120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2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8">
        <f t="shared" ref="CL13:CL17" si="7">IF(AND($F13&gt;0,OR($AS13="")),1,IF($AS13&gt;$F13,1,0))</f>
        <v>0</v>
      </c>
      <c r="CM13" s="1082"/>
      <c r="CN13" s="1038">
        <f t="shared" si="0"/>
        <v>0</v>
      </c>
      <c r="CO13" s="1038">
        <f t="shared" ref="CO13:CO17" si="8">IF(AND($D13&gt;0,OR($AV13="")),1,IF($AV13&gt;$D13,1,0))</f>
        <v>0</v>
      </c>
      <c r="CP13" s="1038">
        <f t="shared" ref="CP13:CP17" si="9">IF(AND($D13&gt;0,OR($AW13="")),1,IF($AW13&gt;$D13,1,0))</f>
        <v>0</v>
      </c>
      <c r="CQ13" s="1038">
        <f t="shared" ref="CQ13:CQ17" si="10">IF(AND($D13&gt;0,OR($AX13="")),1,IF($AX13&gt;$D13,1,0))</f>
        <v>0</v>
      </c>
      <c r="CR13" s="1083"/>
    </row>
    <row r="14" spans="1:100" ht="15" customHeight="1" x14ac:dyDescent="0.25">
      <c r="A14" s="2215"/>
      <c r="B14" s="2226" t="s">
        <v>836</v>
      </c>
      <c r="C14" s="598" t="s">
        <v>837</v>
      </c>
      <c r="D14" s="1123">
        <f>SUM(E14:F14)</f>
        <v>0</v>
      </c>
      <c r="E14" s="1121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8">
        <f t="shared" si="7"/>
        <v>0</v>
      </c>
      <c r="CM14" s="1038">
        <f>IF(AND($E14&gt;0,OR($AT14="")),1,IF($AT14&gt;$E14,1,0))</f>
        <v>0</v>
      </c>
      <c r="CN14" s="1038">
        <f t="shared" si="0"/>
        <v>0</v>
      </c>
      <c r="CO14" s="1038">
        <f t="shared" si="8"/>
        <v>0</v>
      </c>
      <c r="CP14" s="1038">
        <f t="shared" si="9"/>
        <v>0</v>
      </c>
      <c r="CQ14" s="1038">
        <f t="shared" si="10"/>
        <v>0</v>
      </c>
      <c r="CR14" s="1083"/>
    </row>
    <row r="15" spans="1:100" ht="15" customHeight="1" x14ac:dyDescent="0.25">
      <c r="A15" s="1654"/>
      <c r="B15" s="2227"/>
      <c r="C15" s="596" t="s">
        <v>838</v>
      </c>
      <c r="D15" s="1125">
        <f>SUM(E15:F15)</f>
        <v>0</v>
      </c>
      <c r="E15" s="1122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8">
        <f t="shared" si="7"/>
        <v>0</v>
      </c>
      <c r="CM15" s="1038">
        <f>IF(AND($E15&gt;0,OR($AT15="")),1,IF($AT15&gt;$E15,1,0))</f>
        <v>0</v>
      </c>
      <c r="CN15" s="1038">
        <f t="shared" si="0"/>
        <v>0</v>
      </c>
      <c r="CO15" s="1038">
        <f t="shared" si="8"/>
        <v>0</v>
      </c>
      <c r="CP15" s="1038">
        <f t="shared" si="9"/>
        <v>0</v>
      </c>
      <c r="CQ15" s="1038">
        <f t="shared" si="10"/>
        <v>0</v>
      </c>
      <c r="CR15" s="1083"/>
    </row>
    <row r="16" spans="1:100" ht="15" customHeight="1" x14ac:dyDescent="0.25">
      <c r="A16" s="1653" t="s">
        <v>839</v>
      </c>
      <c r="B16" s="1105" t="s">
        <v>622</v>
      </c>
      <c r="C16" s="708" t="s">
        <v>840</v>
      </c>
      <c r="D16" s="1126">
        <f>SUM(F16)</f>
        <v>0</v>
      </c>
      <c r="E16" s="1119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8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2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8">
        <f t="shared" si="7"/>
        <v>0</v>
      </c>
      <c r="CM16" s="1082"/>
      <c r="CN16" s="1038">
        <f t="shared" si="0"/>
        <v>0</v>
      </c>
      <c r="CO16" s="1038">
        <f t="shared" si="8"/>
        <v>0</v>
      </c>
      <c r="CP16" s="1038">
        <f t="shared" si="9"/>
        <v>0</v>
      </c>
      <c r="CQ16" s="1038">
        <f t="shared" si="10"/>
        <v>0</v>
      </c>
      <c r="CR16" s="1083"/>
    </row>
    <row r="17" spans="1:105" ht="15" customHeight="1" x14ac:dyDescent="0.25">
      <c r="A17" s="1654"/>
      <c r="B17" s="1104" t="s">
        <v>836</v>
      </c>
      <c r="C17" s="709" t="s">
        <v>840</v>
      </c>
      <c r="D17" s="1125">
        <f>SUM(E17:F17)</f>
        <v>0</v>
      </c>
      <c r="E17" s="1122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8">
        <f t="shared" si="7"/>
        <v>0</v>
      </c>
      <c r="CM17" s="1038">
        <f>IF(AND($E17&gt;0,OR($AT17="")),1,IF($AT17&gt;$E17,1,0))</f>
        <v>0</v>
      </c>
      <c r="CN17" s="1038">
        <f t="shared" si="0"/>
        <v>0</v>
      </c>
      <c r="CO17" s="1038">
        <f t="shared" si="8"/>
        <v>0</v>
      </c>
      <c r="CP17" s="1038">
        <f t="shared" si="9"/>
        <v>0</v>
      </c>
      <c r="CQ17" s="1038">
        <f t="shared" si="10"/>
        <v>0</v>
      </c>
      <c r="CR17" s="1083"/>
    </row>
    <row r="18" spans="1:105" ht="17.100000000000001" customHeight="1" x14ac:dyDescent="0.25">
      <c r="A18" s="2206" t="s">
        <v>841</v>
      </c>
      <c r="B18" s="2206"/>
      <c r="C18" s="2206"/>
      <c r="D18" s="2206"/>
      <c r="E18" s="2206"/>
      <c r="F18" s="2207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5" t="s">
        <v>827</v>
      </c>
      <c r="B19" s="2219" t="s">
        <v>54</v>
      </c>
      <c r="C19" s="2220"/>
      <c r="D19" s="2221"/>
      <c r="E19" s="2217" t="s">
        <v>381</v>
      </c>
      <c r="F19" s="1928"/>
      <c r="G19" s="1928"/>
      <c r="H19" s="1928"/>
      <c r="I19" s="1928"/>
      <c r="J19" s="1928"/>
      <c r="K19" s="1928"/>
      <c r="L19" s="1928"/>
      <c r="M19" s="1928"/>
      <c r="N19" s="1928"/>
      <c r="O19" s="1928"/>
      <c r="P19" s="1928"/>
      <c r="Q19" s="1928"/>
      <c r="R19" s="1928"/>
      <c r="S19" s="1928"/>
      <c r="T19" s="1928"/>
      <c r="U19" s="1928"/>
      <c r="V19" s="1928"/>
      <c r="W19" s="1928"/>
      <c r="X19" s="1928"/>
      <c r="Y19" s="1928"/>
      <c r="Z19" s="1928"/>
      <c r="AA19" s="1928"/>
      <c r="AB19" s="1928"/>
      <c r="AC19" s="1928"/>
      <c r="AD19" s="1928"/>
      <c r="AE19" s="1928"/>
      <c r="AF19" s="2218"/>
      <c r="AG19" s="1696" t="s">
        <v>633</v>
      </c>
      <c r="AH19" s="1653"/>
      <c r="AI19" s="1697" t="s">
        <v>56</v>
      </c>
      <c r="AJ19" s="1653" t="s">
        <v>113</v>
      </c>
      <c r="CB19" s="1992"/>
      <c r="CC19" s="1992"/>
      <c r="CD19" s="1992"/>
      <c r="CE19" s="1992"/>
      <c r="CF19" s="1992"/>
      <c r="CG19" s="1992"/>
      <c r="CH19" s="1992"/>
      <c r="CM19" s="1992"/>
      <c r="CN19" s="1992"/>
      <c r="CO19" s="1992"/>
      <c r="CP19" s="1992"/>
      <c r="CQ19" s="1992"/>
      <c r="CR19" s="1992"/>
      <c r="CS19" s="1992"/>
      <c r="CT19" s="1992"/>
      <c r="CU19" s="1992"/>
    </row>
    <row r="20" spans="1:105" ht="15" customHeight="1" x14ac:dyDescent="0.25">
      <c r="A20" s="2225"/>
      <c r="B20" s="2222"/>
      <c r="C20" s="2223"/>
      <c r="D20" s="2224"/>
      <c r="E20" s="1648" t="s">
        <v>62</v>
      </c>
      <c r="F20" s="1650"/>
      <c r="G20" s="1648" t="s">
        <v>63</v>
      </c>
      <c r="H20" s="1650"/>
      <c r="I20" s="1648" t="s">
        <v>64</v>
      </c>
      <c r="J20" s="1650"/>
      <c r="K20" s="2210" t="s">
        <v>65</v>
      </c>
      <c r="L20" s="2211"/>
      <c r="M20" s="2210" t="s">
        <v>66</v>
      </c>
      <c r="N20" s="2211"/>
      <c r="O20" s="2210" t="s">
        <v>67</v>
      </c>
      <c r="P20" s="2211"/>
      <c r="Q20" s="2210" t="s">
        <v>68</v>
      </c>
      <c r="R20" s="2211"/>
      <c r="S20" s="2210" t="s">
        <v>69</v>
      </c>
      <c r="T20" s="2211"/>
      <c r="U20" s="2210" t="s">
        <v>70</v>
      </c>
      <c r="V20" s="2211"/>
      <c r="W20" s="2210" t="s">
        <v>71</v>
      </c>
      <c r="X20" s="2211"/>
      <c r="Y20" s="2210" t="s">
        <v>72</v>
      </c>
      <c r="Z20" s="2211"/>
      <c r="AA20" s="1648" t="s">
        <v>411</v>
      </c>
      <c r="AB20" s="1649"/>
      <c r="AC20" s="1648" t="s">
        <v>412</v>
      </c>
      <c r="AD20" s="1649"/>
      <c r="AE20" s="1648" t="s">
        <v>413</v>
      </c>
      <c r="AF20" s="2065"/>
      <c r="AG20" s="1698"/>
      <c r="AH20" s="1654"/>
      <c r="AI20" s="2216"/>
      <c r="AJ20" s="2215"/>
      <c r="CB20" s="1992"/>
      <c r="CC20" s="1992"/>
      <c r="CD20" s="1992"/>
      <c r="CE20" s="1992"/>
      <c r="CF20" s="1992"/>
      <c r="CG20" s="1992"/>
      <c r="CH20" s="1992"/>
      <c r="CM20" s="1992"/>
      <c r="CN20" s="1992"/>
      <c r="CO20" s="1992"/>
      <c r="CP20" s="1992"/>
      <c r="CQ20" s="1992"/>
      <c r="CR20" s="1992"/>
      <c r="CS20" s="1992"/>
      <c r="CT20" s="1992"/>
      <c r="CU20" s="1992"/>
      <c r="DA20" s="107" t="s">
        <v>842</v>
      </c>
    </row>
    <row r="21" spans="1:105" ht="15" customHeight="1" x14ac:dyDescent="0.25">
      <c r="A21" s="2225"/>
      <c r="B21" s="1498" t="s">
        <v>230</v>
      </c>
      <c r="C21" s="1558" t="s">
        <v>91</v>
      </c>
      <c r="D21" s="1559" t="s">
        <v>231</v>
      </c>
      <c r="E21" s="1210" t="s">
        <v>415</v>
      </c>
      <c r="F21" s="1081" t="s">
        <v>231</v>
      </c>
      <c r="G21" s="1210" t="s">
        <v>415</v>
      </c>
      <c r="H21" s="1081" t="s">
        <v>231</v>
      </c>
      <c r="I21" s="1210" t="s">
        <v>415</v>
      </c>
      <c r="J21" s="1081" t="s">
        <v>231</v>
      </c>
      <c r="K21" s="1210" t="s">
        <v>415</v>
      </c>
      <c r="L21" s="1081" t="s">
        <v>231</v>
      </c>
      <c r="M21" s="1210" t="s">
        <v>415</v>
      </c>
      <c r="N21" s="1081" t="s">
        <v>231</v>
      </c>
      <c r="O21" s="1210" t="s">
        <v>415</v>
      </c>
      <c r="P21" s="1081" t="s">
        <v>231</v>
      </c>
      <c r="Q21" s="1210" t="s">
        <v>415</v>
      </c>
      <c r="R21" s="1081" t="s">
        <v>231</v>
      </c>
      <c r="S21" s="1210" t="s">
        <v>415</v>
      </c>
      <c r="T21" s="1081" t="s">
        <v>231</v>
      </c>
      <c r="U21" s="1210" t="s">
        <v>415</v>
      </c>
      <c r="V21" s="1081" t="s">
        <v>231</v>
      </c>
      <c r="W21" s="1210" t="s">
        <v>415</v>
      </c>
      <c r="X21" s="1081" t="s">
        <v>231</v>
      </c>
      <c r="Y21" s="1210" t="s">
        <v>415</v>
      </c>
      <c r="Z21" s="1081" t="s">
        <v>231</v>
      </c>
      <c r="AA21" s="1210" t="s">
        <v>415</v>
      </c>
      <c r="AB21" s="1081" t="s">
        <v>231</v>
      </c>
      <c r="AC21" s="1210" t="s">
        <v>415</v>
      </c>
      <c r="AD21" s="1081" t="s">
        <v>231</v>
      </c>
      <c r="AE21" s="1210" t="s">
        <v>415</v>
      </c>
      <c r="AF21" s="124" t="s">
        <v>231</v>
      </c>
      <c r="AG21" s="175" t="s">
        <v>634</v>
      </c>
      <c r="AH21" s="1081" t="s">
        <v>636</v>
      </c>
      <c r="AI21" s="1699"/>
      <c r="AJ21" s="1654"/>
      <c r="CB21" s="184"/>
      <c r="CC21" s="184"/>
      <c r="CD21" s="1992"/>
      <c r="CE21" s="1992"/>
      <c r="CF21" s="184"/>
      <c r="CG21" s="184"/>
      <c r="CH21" s="184"/>
      <c r="CM21" s="184"/>
      <c r="CN21" s="184"/>
      <c r="CO21" s="184"/>
      <c r="CP21" s="184"/>
      <c r="CQ21" s="1992"/>
      <c r="CR21" s="1992"/>
      <c r="CS21" s="184"/>
      <c r="CT21" s="184"/>
      <c r="CU21" s="184"/>
    </row>
    <row r="22" spans="1:105" ht="15" customHeight="1" x14ac:dyDescent="0.25">
      <c r="A22" s="1560" t="s">
        <v>843</v>
      </c>
      <c r="B22" s="1561">
        <f>SUM(C22:D22)</f>
        <v>0</v>
      </c>
      <c r="C22" s="1562">
        <f>+E22+G22+I22+K22+M22+O22+Q22+S22+U22+W22+Y22+AA22+AC22+AE22</f>
        <v>0</v>
      </c>
      <c r="D22" s="1199">
        <f>+F22+H22+J22+L22+N22+P22+R22+T22+V22+X22+Z22+AB22+AD22+AF22</f>
        <v>0</v>
      </c>
      <c r="E22" s="1229"/>
      <c r="F22" s="1563"/>
      <c r="G22" s="1229"/>
      <c r="H22" s="1563"/>
      <c r="I22" s="1229"/>
      <c r="J22" s="1563"/>
      <c r="K22" s="1229"/>
      <c r="L22" s="1563"/>
      <c r="M22" s="1229"/>
      <c r="N22" s="1563"/>
      <c r="O22" s="1229"/>
      <c r="P22" s="1563"/>
      <c r="Q22" s="1229"/>
      <c r="R22" s="1563"/>
      <c r="S22" s="1229"/>
      <c r="T22" s="1563"/>
      <c r="U22" s="1229"/>
      <c r="V22" s="1563"/>
      <c r="W22" s="1229"/>
      <c r="X22" s="1563"/>
      <c r="Y22" s="1229"/>
      <c r="Z22" s="1563"/>
      <c r="AA22" s="1229"/>
      <c r="AB22" s="1563"/>
      <c r="AC22" s="1229"/>
      <c r="AD22" s="1563"/>
      <c r="AE22" s="1229"/>
      <c r="AF22" s="169"/>
      <c r="AG22" s="564"/>
      <c r="AH22" s="1564"/>
      <c r="AI22" s="1563"/>
      <c r="AJ22" s="1564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8">
        <f>IF(AND($F22&gt;0,OR($AG22="")),1,IF($AG22&gt;$F22,1,0))</f>
        <v>0</v>
      </c>
      <c r="CM22" s="1038">
        <f>IF(AND($E22&gt;0,OR($AH22="")),1,IF($AH22&gt;$E22,1,0))</f>
        <v>0</v>
      </c>
      <c r="CN22" s="1038">
        <f>IF(AND($B22&gt;0,OR($AI22="")),1,IF($AI22&gt;B22,1,0))</f>
        <v>0</v>
      </c>
      <c r="CO22" s="103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86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86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="78" zoomScaleNormal="78" workbookViewId="0">
      <selection activeCell="G19" sqref="G19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40"/>
      <c r="O5" s="2240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E5" s="959"/>
      <c r="AF5" s="959"/>
      <c r="AG5" s="959"/>
      <c r="AH5" s="959"/>
      <c r="AI5" s="959"/>
      <c r="AJ5" s="959"/>
      <c r="AK5" s="959"/>
      <c r="AL5" s="959"/>
      <c r="AM5" s="959"/>
      <c r="AN5" s="958"/>
    </row>
    <row r="6" spans="1:117" s="33" customFormat="1" ht="15" customHeight="1" x14ac:dyDescent="0.15">
      <c r="A6" s="81"/>
      <c r="N6" s="958"/>
      <c r="O6" s="958"/>
      <c r="P6" s="958"/>
      <c r="Q6" s="958"/>
      <c r="R6" s="958"/>
      <c r="S6" s="958"/>
      <c r="T6" s="958"/>
      <c r="U6" s="958"/>
      <c r="V6" s="958"/>
      <c r="W6" s="958"/>
      <c r="X6" s="958"/>
      <c r="Y6" s="958"/>
      <c r="Z6" s="958"/>
      <c r="AA6" s="958"/>
      <c r="AB6" s="958"/>
      <c r="AE6" s="958"/>
      <c r="AF6" s="958"/>
      <c r="AG6" s="958"/>
      <c r="AH6" s="958"/>
      <c r="AI6" s="958"/>
      <c r="AJ6" s="958"/>
      <c r="AK6" s="958"/>
      <c r="AL6" s="958"/>
      <c r="AM6" s="958"/>
      <c r="AN6" s="958"/>
    </row>
    <row r="7" spans="1:117" s="33" customFormat="1" ht="32.25" customHeight="1" x14ac:dyDescent="0.15">
      <c r="A7" s="2244" t="s">
        <v>844</v>
      </c>
      <c r="B7" s="2244"/>
      <c r="C7" s="2244"/>
      <c r="D7" s="2244"/>
      <c r="E7" s="2244"/>
      <c r="F7" s="2244"/>
      <c r="G7" s="2244"/>
      <c r="H7" s="1295"/>
      <c r="I7" s="1295"/>
      <c r="J7" s="1295"/>
      <c r="N7" s="958"/>
      <c r="O7" s="958"/>
      <c r="P7" s="958"/>
      <c r="Q7" s="958"/>
      <c r="R7" s="958"/>
      <c r="S7" s="958"/>
      <c r="T7" s="958"/>
      <c r="U7" s="958"/>
      <c r="V7" s="958"/>
      <c r="W7" s="958"/>
      <c r="X7" s="958"/>
      <c r="Y7" s="958"/>
      <c r="Z7" s="958"/>
      <c r="AA7" s="958"/>
      <c r="AB7" s="958"/>
      <c r="AE7" s="958"/>
      <c r="AF7" s="958"/>
      <c r="AG7" s="958"/>
      <c r="AH7" s="958"/>
      <c r="AI7" s="958"/>
      <c r="AJ7" s="958"/>
      <c r="AK7" s="958"/>
      <c r="AL7" s="958"/>
      <c r="AM7" s="958"/>
      <c r="AN7" s="958"/>
    </row>
    <row r="8" spans="1:117" ht="15" customHeight="1" x14ac:dyDescent="0.25">
      <c r="A8" s="2242" t="s">
        <v>845</v>
      </c>
      <c r="B8" s="2242"/>
      <c r="C8" s="2242"/>
      <c r="D8" s="1294"/>
      <c r="E8" s="1294"/>
      <c r="F8" s="1294"/>
      <c r="G8" s="1294"/>
      <c r="H8" s="1294"/>
      <c r="I8" s="1295"/>
      <c r="J8" s="1295"/>
      <c r="K8" s="1295"/>
      <c r="L8" s="960"/>
      <c r="M8" s="960"/>
      <c r="N8" s="960"/>
      <c r="O8" s="960"/>
      <c r="P8" s="960"/>
      <c r="Q8" s="960"/>
      <c r="R8" s="960"/>
      <c r="S8" s="960"/>
      <c r="T8" s="960"/>
      <c r="U8" s="960"/>
      <c r="V8" s="960"/>
      <c r="W8" s="960"/>
      <c r="X8" s="960"/>
      <c r="Y8" s="960"/>
      <c r="Z8" s="960"/>
      <c r="AA8" s="960"/>
      <c r="AB8" s="960"/>
      <c r="AE8" s="960"/>
      <c r="AF8" s="960"/>
      <c r="AG8" s="960"/>
      <c r="AH8" s="960"/>
      <c r="AI8" s="960"/>
      <c r="AJ8" s="960"/>
      <c r="AK8" s="960"/>
      <c r="AL8" s="960"/>
      <c r="AM8" s="960"/>
      <c r="AN8" s="125"/>
    </row>
    <row r="9" spans="1:117" s="976" customFormat="1" ht="15" customHeight="1" x14ac:dyDescent="0.25">
      <c r="A9" s="2243" t="s">
        <v>846</v>
      </c>
      <c r="B9" s="2243"/>
      <c r="C9" s="2243"/>
      <c r="D9" s="1294"/>
      <c r="E9" s="1294"/>
      <c r="F9" s="1294"/>
      <c r="G9" s="1294"/>
      <c r="H9" s="1294"/>
      <c r="I9" s="974"/>
      <c r="J9" s="974"/>
      <c r="K9" s="975"/>
      <c r="L9" s="975"/>
      <c r="M9" s="975"/>
      <c r="AC9" s="803"/>
      <c r="AD9" s="803"/>
    </row>
    <row r="10" spans="1:117" ht="61.5" customHeight="1" x14ac:dyDescent="0.25">
      <c r="A10" s="1565" t="s">
        <v>847</v>
      </c>
      <c r="B10" s="1566" t="s">
        <v>848</v>
      </c>
      <c r="C10" s="1567" t="s">
        <v>849</v>
      </c>
      <c r="D10" s="1567" t="s">
        <v>56</v>
      </c>
      <c r="E10" s="1568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8" t="s">
        <v>850</v>
      </c>
      <c r="B11" s="1297">
        <v>89</v>
      </c>
      <c r="C11" s="1113">
        <v>0</v>
      </c>
      <c r="D11" s="1296">
        <v>21</v>
      </c>
      <c r="E11" s="1296">
        <v>6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8">
        <f>IF(AND($B11+$C11&gt;0,OR(D11="")),1,IF(D11&gt;$B11+$C11,1,0))</f>
        <v>0</v>
      </c>
      <c r="BD11" s="103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9" t="s">
        <v>851</v>
      </c>
      <c r="B12" s="1297">
        <v>528</v>
      </c>
      <c r="C12" s="1113">
        <v>0</v>
      </c>
      <c r="D12" s="1296">
        <v>104</v>
      </c>
      <c r="E12" s="1296">
        <v>29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8">
        <f t="shared" ref="BC12:BC23" si="3">IF(AND($B12+$C12&gt;0,OR(D12="")),1,IF(D12&gt;$B12+$C12,1,0))</f>
        <v>0</v>
      </c>
      <c r="BD12" s="1038">
        <f t="shared" ref="BD12:BD23" si="4">IF(AND($B12+$C12&gt;0,OR(E12="")),1,IF(E12&gt;$B12+$C12,1,0))</f>
        <v>0</v>
      </c>
    </row>
    <row r="13" spans="1:117" ht="15" customHeight="1" x14ac:dyDescent="0.25">
      <c r="A13" s="1109" t="s">
        <v>65</v>
      </c>
      <c r="B13" s="1297">
        <v>635</v>
      </c>
      <c r="C13" s="1113">
        <v>0</v>
      </c>
      <c r="D13" s="1296">
        <v>132</v>
      </c>
      <c r="E13" s="1296">
        <v>45</v>
      </c>
      <c r="F13" s="35" t="str">
        <f t="shared" si="0"/>
        <v/>
      </c>
      <c r="G13" s="126"/>
      <c r="H13" s="126"/>
      <c r="I13" s="126"/>
      <c r="J13" s="126"/>
      <c r="AA13" s="961"/>
      <c r="AE13" s="128"/>
      <c r="AU13" s="191" t="str">
        <f t="shared" si="1"/>
        <v/>
      </c>
      <c r="AV13" s="191" t="str">
        <f t="shared" si="2"/>
        <v/>
      </c>
      <c r="BB13" s="127"/>
      <c r="BC13" s="1038">
        <f t="shared" si="3"/>
        <v>0</v>
      </c>
      <c r="BD13" s="1038">
        <f t="shared" si="4"/>
        <v>0</v>
      </c>
    </row>
    <row r="14" spans="1:117" ht="15" customHeight="1" x14ac:dyDescent="0.25">
      <c r="A14" s="1109" t="s">
        <v>66</v>
      </c>
      <c r="B14" s="1297">
        <v>481</v>
      </c>
      <c r="C14" s="1113">
        <v>0</v>
      </c>
      <c r="D14" s="1296">
        <v>78</v>
      </c>
      <c r="E14" s="1296">
        <v>46</v>
      </c>
      <c r="F14" s="35" t="str">
        <f t="shared" si="0"/>
        <v/>
      </c>
      <c r="G14" s="126"/>
      <c r="H14" s="126"/>
      <c r="I14" s="126"/>
      <c r="J14" s="126"/>
      <c r="AA14" s="961"/>
      <c r="AE14" s="128"/>
      <c r="AU14" s="191" t="str">
        <f t="shared" si="1"/>
        <v/>
      </c>
      <c r="AV14" s="191" t="str">
        <f t="shared" si="2"/>
        <v/>
      </c>
      <c r="BB14" s="127"/>
      <c r="BC14" s="1038">
        <f t="shared" si="3"/>
        <v>0</v>
      </c>
      <c r="BD14" s="1038">
        <f t="shared" si="4"/>
        <v>0</v>
      </c>
    </row>
    <row r="15" spans="1:117" ht="15" customHeight="1" x14ac:dyDescent="0.25">
      <c r="A15" s="1109" t="s">
        <v>67</v>
      </c>
      <c r="B15" s="1297">
        <v>424</v>
      </c>
      <c r="C15" s="1113">
        <v>0</v>
      </c>
      <c r="D15" s="1296">
        <v>73</v>
      </c>
      <c r="E15" s="1296">
        <v>30</v>
      </c>
      <c r="F15" s="35" t="str">
        <f t="shared" si="0"/>
        <v/>
      </c>
      <c r="G15" s="126"/>
      <c r="H15" s="126"/>
      <c r="I15" s="126"/>
      <c r="J15" s="126"/>
      <c r="AA15" s="961"/>
      <c r="AE15" s="128"/>
      <c r="AU15" s="191" t="str">
        <f t="shared" si="1"/>
        <v/>
      </c>
      <c r="AV15" s="191" t="str">
        <f t="shared" si="2"/>
        <v/>
      </c>
      <c r="BB15" s="127"/>
      <c r="BC15" s="1038">
        <f t="shared" si="3"/>
        <v>0</v>
      </c>
      <c r="BD15" s="1038">
        <f t="shared" si="4"/>
        <v>0</v>
      </c>
    </row>
    <row r="16" spans="1:117" ht="15" customHeight="1" x14ac:dyDescent="0.25">
      <c r="A16" s="1109" t="s">
        <v>68</v>
      </c>
      <c r="B16" s="1297">
        <v>368</v>
      </c>
      <c r="C16" s="1113">
        <v>0</v>
      </c>
      <c r="D16" s="1296">
        <v>71</v>
      </c>
      <c r="E16" s="1296">
        <v>12</v>
      </c>
      <c r="F16" s="35" t="str">
        <f t="shared" si="0"/>
        <v/>
      </c>
      <c r="G16" s="126"/>
      <c r="H16" s="126"/>
      <c r="I16" s="126"/>
      <c r="J16" s="126"/>
      <c r="AA16" s="961"/>
      <c r="AE16" s="128"/>
      <c r="AU16" s="191" t="str">
        <f t="shared" si="1"/>
        <v/>
      </c>
      <c r="AV16" s="191" t="str">
        <f t="shared" si="2"/>
        <v/>
      </c>
      <c r="BB16" s="127"/>
      <c r="BC16" s="1038">
        <f t="shared" si="3"/>
        <v>0</v>
      </c>
      <c r="BD16" s="1038">
        <f t="shared" si="4"/>
        <v>0</v>
      </c>
    </row>
    <row r="17" spans="1:56" ht="15" customHeight="1" x14ac:dyDescent="0.25">
      <c r="A17" s="1109" t="s">
        <v>69</v>
      </c>
      <c r="B17" s="1297">
        <v>423</v>
      </c>
      <c r="C17" s="1113">
        <v>0</v>
      </c>
      <c r="D17" s="1296">
        <v>69</v>
      </c>
      <c r="E17" s="1296">
        <v>6</v>
      </c>
      <c r="F17" s="35" t="str">
        <f t="shared" si="0"/>
        <v/>
      </c>
      <c r="G17" s="126"/>
      <c r="H17" s="126"/>
      <c r="I17" s="126"/>
      <c r="J17" s="126"/>
      <c r="AA17" s="961"/>
      <c r="AE17" s="128"/>
      <c r="AU17" s="191" t="str">
        <f t="shared" si="1"/>
        <v/>
      </c>
      <c r="AV17" s="191" t="str">
        <f t="shared" si="2"/>
        <v/>
      </c>
      <c r="BB17" s="127"/>
      <c r="BC17" s="1038">
        <f t="shared" si="3"/>
        <v>0</v>
      </c>
      <c r="BD17" s="1038">
        <f t="shared" si="4"/>
        <v>0</v>
      </c>
    </row>
    <row r="18" spans="1:56" ht="15" customHeight="1" x14ac:dyDescent="0.25">
      <c r="A18" s="1109" t="s">
        <v>70</v>
      </c>
      <c r="B18" s="1297">
        <v>444</v>
      </c>
      <c r="C18" s="1113">
        <v>0</v>
      </c>
      <c r="D18" s="1296">
        <v>78</v>
      </c>
      <c r="E18" s="1296">
        <v>8</v>
      </c>
      <c r="F18" s="35" t="str">
        <f t="shared" si="0"/>
        <v/>
      </c>
      <c r="G18" s="126"/>
      <c r="H18" s="126"/>
      <c r="I18" s="126"/>
      <c r="J18" s="126"/>
      <c r="AA18" s="961"/>
      <c r="AE18" s="128"/>
      <c r="AU18" s="191" t="str">
        <f t="shared" si="1"/>
        <v/>
      </c>
      <c r="AV18" s="191" t="str">
        <f t="shared" si="2"/>
        <v/>
      </c>
      <c r="BB18" s="127"/>
      <c r="BC18" s="1038">
        <f t="shared" si="3"/>
        <v>0</v>
      </c>
      <c r="BD18" s="1038">
        <f t="shared" si="4"/>
        <v>0</v>
      </c>
    </row>
    <row r="19" spans="1:56" ht="15" customHeight="1" x14ac:dyDescent="0.25">
      <c r="A19" s="1109" t="s">
        <v>71</v>
      </c>
      <c r="B19" s="1297">
        <v>396</v>
      </c>
      <c r="C19" s="1113">
        <v>0</v>
      </c>
      <c r="D19" s="1296">
        <v>69</v>
      </c>
      <c r="E19" s="1296">
        <v>4</v>
      </c>
      <c r="F19" s="35" t="str">
        <f t="shared" si="0"/>
        <v/>
      </c>
      <c r="G19" s="126"/>
      <c r="H19" s="126"/>
      <c r="I19" s="126"/>
      <c r="J19" s="126"/>
      <c r="AA19" s="961"/>
      <c r="AE19" s="128"/>
      <c r="AU19" s="191" t="str">
        <f t="shared" si="1"/>
        <v/>
      </c>
      <c r="AV19" s="191" t="str">
        <f t="shared" si="2"/>
        <v/>
      </c>
      <c r="BB19" s="127"/>
      <c r="BC19" s="1038">
        <f t="shared" si="3"/>
        <v>0</v>
      </c>
      <c r="BD19" s="1038">
        <f t="shared" si="4"/>
        <v>0</v>
      </c>
    </row>
    <row r="20" spans="1:56" ht="15" customHeight="1" x14ac:dyDescent="0.25">
      <c r="A20" s="1109" t="s">
        <v>72</v>
      </c>
      <c r="B20" s="1297">
        <v>89</v>
      </c>
      <c r="C20" s="1113">
        <v>0</v>
      </c>
      <c r="D20" s="1296">
        <v>7</v>
      </c>
      <c r="E20" s="1296">
        <v>1</v>
      </c>
      <c r="F20" s="35" t="str">
        <f t="shared" si="0"/>
        <v/>
      </c>
      <c r="G20" s="126"/>
      <c r="H20" s="126"/>
      <c r="I20" s="126"/>
      <c r="J20" s="126"/>
      <c r="AA20" s="961"/>
      <c r="AE20" s="128"/>
      <c r="AU20" s="191" t="str">
        <f t="shared" si="1"/>
        <v/>
      </c>
      <c r="AV20" s="191" t="str">
        <f t="shared" si="2"/>
        <v/>
      </c>
      <c r="BB20" s="127"/>
      <c r="BC20" s="1038">
        <f t="shared" si="3"/>
        <v>0</v>
      </c>
      <c r="BD20" s="1038">
        <f t="shared" si="4"/>
        <v>0</v>
      </c>
    </row>
    <row r="21" spans="1:56" ht="15" customHeight="1" x14ac:dyDescent="0.25">
      <c r="A21" s="1109" t="s">
        <v>411</v>
      </c>
      <c r="B21" s="1297">
        <v>6</v>
      </c>
      <c r="C21" s="1113">
        <v>0</v>
      </c>
      <c r="D21" s="1296">
        <v>2</v>
      </c>
      <c r="E21" s="1296">
        <v>0</v>
      </c>
      <c r="F21" s="35" t="str">
        <f t="shared" si="0"/>
        <v/>
      </c>
      <c r="G21" s="126"/>
      <c r="H21" s="126"/>
      <c r="I21" s="126"/>
      <c r="J21" s="126"/>
      <c r="AA21" s="961"/>
      <c r="AE21" s="128"/>
      <c r="AU21" s="191" t="str">
        <f t="shared" si="1"/>
        <v/>
      </c>
      <c r="AV21" s="191" t="str">
        <f t="shared" si="2"/>
        <v/>
      </c>
      <c r="BB21" s="127"/>
      <c r="BC21" s="1038">
        <f t="shared" si="3"/>
        <v>0</v>
      </c>
      <c r="BD21" s="1038">
        <f t="shared" si="4"/>
        <v>0</v>
      </c>
    </row>
    <row r="22" spans="1:56" ht="15" customHeight="1" x14ac:dyDescent="0.25">
      <c r="A22" s="1109" t="s">
        <v>412</v>
      </c>
      <c r="B22" s="1297">
        <v>2</v>
      </c>
      <c r="C22" s="1113">
        <v>0</v>
      </c>
      <c r="D22" s="1296">
        <v>1</v>
      </c>
      <c r="E22" s="1296">
        <v>0</v>
      </c>
      <c r="F22" s="35" t="str">
        <f t="shared" si="0"/>
        <v/>
      </c>
      <c r="G22" s="126"/>
      <c r="H22" s="126"/>
      <c r="I22" s="126"/>
      <c r="J22" s="126"/>
      <c r="AA22" s="961"/>
      <c r="AE22" s="128"/>
      <c r="AU22" s="191" t="str">
        <f t="shared" si="1"/>
        <v/>
      </c>
      <c r="AV22" s="191" t="str">
        <f t="shared" si="2"/>
        <v/>
      </c>
      <c r="BB22" s="127"/>
      <c r="BC22" s="1038">
        <f t="shared" si="3"/>
        <v>0</v>
      </c>
      <c r="BD22" s="1038">
        <f t="shared" si="4"/>
        <v>0</v>
      </c>
    </row>
    <row r="23" spans="1:56" ht="15" customHeight="1" x14ac:dyDescent="0.25">
      <c r="A23" s="1109" t="s">
        <v>413</v>
      </c>
      <c r="B23" s="1297">
        <v>2</v>
      </c>
      <c r="C23" s="1113">
        <v>0</v>
      </c>
      <c r="D23" s="1296">
        <v>0</v>
      </c>
      <c r="E23" s="1296">
        <v>0</v>
      </c>
      <c r="F23" s="35" t="str">
        <f t="shared" si="0"/>
        <v/>
      </c>
      <c r="G23" s="126"/>
      <c r="H23" s="126"/>
      <c r="I23" s="126"/>
      <c r="J23" s="126"/>
      <c r="AA23" s="961"/>
      <c r="AE23" s="128"/>
      <c r="AU23" s="191" t="str">
        <f t="shared" si="1"/>
        <v/>
      </c>
      <c r="AV23" s="191" t="str">
        <f t="shared" si="2"/>
        <v/>
      </c>
      <c r="BB23" s="127"/>
      <c r="BC23" s="1038">
        <f t="shared" si="3"/>
        <v>0</v>
      </c>
      <c r="BD23" s="1038">
        <f t="shared" si="4"/>
        <v>0</v>
      </c>
    </row>
    <row r="24" spans="1:56" ht="15" customHeight="1" x14ac:dyDescent="0.25">
      <c r="A24" s="1569" t="s">
        <v>54</v>
      </c>
      <c r="B24" s="1570">
        <f>SUM(B11:B23)</f>
        <v>3887</v>
      </c>
      <c r="C24" s="1571">
        <f>SUM(C11:C23)</f>
        <v>0</v>
      </c>
      <c r="D24" s="1571">
        <f>SUM(D11:D23)</f>
        <v>705</v>
      </c>
      <c r="E24" s="1572">
        <f>SUM(E11:E23)</f>
        <v>187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1" t="s">
        <v>852</v>
      </c>
      <c r="B25" s="2241"/>
      <c r="C25" s="2241"/>
      <c r="D25" s="1117"/>
      <c r="E25" s="1117"/>
      <c r="F25" s="1117"/>
      <c r="G25" s="1117"/>
      <c r="H25" s="957"/>
      <c r="I25" s="95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3" t="s">
        <v>853</v>
      </c>
      <c r="B26" s="2243"/>
      <c r="C26" s="2243"/>
      <c r="D26" s="1117"/>
      <c r="E26" s="1117"/>
      <c r="F26" s="1117"/>
      <c r="G26" s="1117"/>
      <c r="H26" s="95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68" t="s">
        <v>854</v>
      </c>
      <c r="B27" s="1566" t="s">
        <v>855</v>
      </c>
      <c r="C27" s="1335" t="s">
        <v>856</v>
      </c>
      <c r="D27" s="1567" t="s">
        <v>56</v>
      </c>
      <c r="E27" s="1568" t="s">
        <v>113</v>
      </c>
      <c r="F27" s="1117"/>
      <c r="G27" s="1117"/>
      <c r="H27" s="95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0" t="s">
        <v>65</v>
      </c>
      <c r="B28" s="1299">
        <v>97</v>
      </c>
      <c r="C28" s="1336">
        <v>0</v>
      </c>
      <c r="D28" s="1296">
        <v>22</v>
      </c>
      <c r="E28" s="1296">
        <v>7</v>
      </c>
      <c r="F28" s="35" t="str">
        <f t="shared" ref="F28:F34" si="5">AU28&amp;AV28</f>
        <v/>
      </c>
      <c r="G28" s="1117"/>
      <c r="H28" s="95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8">
        <f t="shared" ref="BC28:BC34" si="6">IF(AND($B28+$C28&gt;0,OR(D28="")),1,IF(D28&gt;$B28+$C28,1,0))</f>
        <v>0</v>
      </c>
      <c r="BD28" s="1038">
        <f t="shared" ref="BD28:BD34" si="7">IF(AND($B28+$C28&gt;0,OR(E28="")),1,IF(E28&gt;$B28+$C28,1,0))</f>
        <v>0</v>
      </c>
    </row>
    <row r="29" spans="1:56" s="125" customFormat="1" ht="15" customHeight="1" x14ac:dyDescent="0.15">
      <c r="A29" s="1109" t="s">
        <v>66</v>
      </c>
      <c r="B29" s="1299">
        <v>93</v>
      </c>
      <c r="C29" s="1336">
        <v>0</v>
      </c>
      <c r="D29" s="1296">
        <v>14</v>
      </c>
      <c r="E29" s="1296">
        <v>13</v>
      </c>
      <c r="F29" s="35" t="str">
        <f t="shared" si="5"/>
        <v/>
      </c>
      <c r="G29" s="1117"/>
      <c r="H29" s="95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8">
        <f t="shared" si="6"/>
        <v>0</v>
      </c>
      <c r="BD29" s="1038">
        <f t="shared" si="7"/>
        <v>0</v>
      </c>
    </row>
    <row r="30" spans="1:56" s="125" customFormat="1" ht="15" customHeight="1" x14ac:dyDescent="0.15">
      <c r="A30" s="1109" t="s">
        <v>67</v>
      </c>
      <c r="B30" s="1299">
        <v>104</v>
      </c>
      <c r="C30" s="1336">
        <v>0</v>
      </c>
      <c r="D30" s="1296">
        <v>16</v>
      </c>
      <c r="E30" s="1296">
        <v>9</v>
      </c>
      <c r="F30" s="35" t="str">
        <f t="shared" si="5"/>
        <v/>
      </c>
      <c r="G30" s="1117"/>
      <c r="H30" s="95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8">
        <f t="shared" si="6"/>
        <v>0</v>
      </c>
      <c r="BD30" s="1038">
        <f t="shared" si="7"/>
        <v>0</v>
      </c>
    </row>
    <row r="31" spans="1:56" s="125" customFormat="1" ht="15" customHeight="1" x14ac:dyDescent="0.15">
      <c r="A31" s="1109" t="s">
        <v>68</v>
      </c>
      <c r="B31" s="1299">
        <v>81</v>
      </c>
      <c r="C31" s="1336">
        <v>0</v>
      </c>
      <c r="D31" s="1296">
        <v>19</v>
      </c>
      <c r="E31" s="1296">
        <v>4</v>
      </c>
      <c r="F31" s="35" t="str">
        <f t="shared" si="5"/>
        <v/>
      </c>
      <c r="G31" s="1117"/>
      <c r="H31" s="95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8">
        <f t="shared" si="6"/>
        <v>0</v>
      </c>
      <c r="BD31" s="1038">
        <f t="shared" si="7"/>
        <v>0</v>
      </c>
    </row>
    <row r="32" spans="1:56" s="125" customFormat="1" ht="15" customHeight="1" x14ac:dyDescent="0.15">
      <c r="A32" s="1109" t="s">
        <v>69</v>
      </c>
      <c r="B32" s="1299">
        <v>78</v>
      </c>
      <c r="C32" s="1336">
        <v>0</v>
      </c>
      <c r="D32" s="1296">
        <v>8</v>
      </c>
      <c r="E32" s="1296">
        <v>2</v>
      </c>
      <c r="F32" s="35" t="str">
        <f t="shared" si="5"/>
        <v/>
      </c>
      <c r="G32" s="1117"/>
      <c r="H32" s="95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8">
        <f t="shared" si="6"/>
        <v>0</v>
      </c>
      <c r="BD32" s="1038">
        <f t="shared" si="7"/>
        <v>0</v>
      </c>
    </row>
    <row r="33" spans="1:56" s="125" customFormat="1" ht="15" customHeight="1" x14ac:dyDescent="0.15">
      <c r="A33" s="1109" t="s">
        <v>70</v>
      </c>
      <c r="B33" s="1299">
        <v>82</v>
      </c>
      <c r="C33" s="1336">
        <v>0</v>
      </c>
      <c r="D33" s="1296">
        <v>12</v>
      </c>
      <c r="E33" s="1296">
        <v>3</v>
      </c>
      <c r="F33" s="35" t="str">
        <f t="shared" si="5"/>
        <v/>
      </c>
      <c r="G33" s="1117"/>
      <c r="H33" s="95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8">
        <f t="shared" si="6"/>
        <v>0</v>
      </c>
      <c r="BD33" s="1038">
        <f t="shared" si="7"/>
        <v>0</v>
      </c>
    </row>
    <row r="34" spans="1:56" ht="15" customHeight="1" x14ac:dyDescent="0.25">
      <c r="A34" s="1109" t="s">
        <v>71</v>
      </c>
      <c r="B34" s="1300">
        <v>52</v>
      </c>
      <c r="C34" s="1337">
        <v>0</v>
      </c>
      <c r="D34" s="1298">
        <v>7</v>
      </c>
      <c r="E34" s="1298">
        <v>1</v>
      </c>
      <c r="F34" s="35" t="str">
        <f t="shared" si="5"/>
        <v/>
      </c>
      <c r="G34" s="1117"/>
      <c r="H34" s="957"/>
      <c r="I34" s="126"/>
      <c r="J34" s="126"/>
      <c r="AU34" s="191" t="str">
        <f t="shared" si="8"/>
        <v/>
      </c>
      <c r="AV34" s="191" t="str">
        <f t="shared" si="9"/>
        <v/>
      </c>
      <c r="BC34" s="1038">
        <f t="shared" si="6"/>
        <v>0</v>
      </c>
      <c r="BD34" s="1038">
        <f t="shared" si="7"/>
        <v>0</v>
      </c>
    </row>
    <row r="35" spans="1:56" ht="15" customHeight="1" x14ac:dyDescent="0.25">
      <c r="A35" s="1569" t="s">
        <v>54</v>
      </c>
      <c r="B35" s="1570">
        <f>SUM(B28:B34)</f>
        <v>587</v>
      </c>
      <c r="C35" s="1338">
        <f>SUM(C28:C34)</f>
        <v>0</v>
      </c>
      <c r="D35" s="1573">
        <f>SUM(D28:D34)</f>
        <v>98</v>
      </c>
      <c r="E35" s="1574">
        <f>SUM(E28:E34)</f>
        <v>39</v>
      </c>
      <c r="F35" s="1117"/>
      <c r="G35" s="1117"/>
      <c r="H35" s="957"/>
      <c r="I35" s="126"/>
      <c r="J35" s="126"/>
    </row>
    <row r="36" spans="1:56" ht="15" customHeight="1" x14ac:dyDescent="0.25">
      <c r="A36" s="2237" t="s">
        <v>857</v>
      </c>
      <c r="B36" s="2237"/>
      <c r="I36" s="126"/>
      <c r="J36" s="126"/>
    </row>
    <row r="37" spans="1:56" ht="15" customHeight="1" x14ac:dyDescent="0.25">
      <c r="A37" s="2238" t="s">
        <v>858</v>
      </c>
      <c r="B37" s="2238"/>
      <c r="C37" s="2238"/>
      <c r="D37" s="2238"/>
      <c r="I37" s="126"/>
      <c r="J37" s="126"/>
    </row>
    <row r="38" spans="1:56" ht="42" x14ac:dyDescent="0.25">
      <c r="A38" s="1575" t="s">
        <v>859</v>
      </c>
      <c r="B38" s="1566" t="s">
        <v>860</v>
      </c>
      <c r="C38" s="1567" t="s">
        <v>861</v>
      </c>
      <c r="D38" s="1567" t="s">
        <v>56</v>
      </c>
      <c r="E38" s="1568" t="s">
        <v>113</v>
      </c>
      <c r="F38" s="126"/>
      <c r="G38" s="126"/>
      <c r="H38" s="126"/>
      <c r="J38" s="126"/>
    </row>
    <row r="39" spans="1:56" ht="17.100000000000001" customHeight="1" x14ac:dyDescent="0.25">
      <c r="A39" s="1115" t="s">
        <v>862</v>
      </c>
      <c r="B39" s="1297">
        <v>3</v>
      </c>
      <c r="C39" s="1296">
        <v>0</v>
      </c>
      <c r="D39" s="1296">
        <v>0</v>
      </c>
      <c r="E39" s="1296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8">
        <f t="shared" ref="BC39" si="11">IF(AND($B39+$C39&gt;0,OR(D39="")),1,IF(D39&gt;$B39+$C39,1,0))</f>
        <v>0</v>
      </c>
      <c r="BD39" s="1038">
        <f t="shared" ref="BD39" si="12">IF(AND($B39+$C39&gt;0,OR(E39="")),1,IF(E39&gt;$B39+$C39,1,0))</f>
        <v>0</v>
      </c>
    </row>
    <row r="40" spans="1:56" x14ac:dyDescent="0.25">
      <c r="A40" s="1114" t="s">
        <v>863</v>
      </c>
      <c r="B40" s="1297">
        <v>481</v>
      </c>
      <c r="C40" s="1296">
        <v>0</v>
      </c>
      <c r="D40" s="1296">
        <v>81</v>
      </c>
      <c r="E40" s="1296">
        <v>21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8">
        <f t="shared" ref="BC40:BC46" si="15">IF(AND($B40+$C40&gt;0,OR(D40="")),1,IF(D40&gt;$B40+$C40,1,0))</f>
        <v>0</v>
      </c>
      <c r="BD40" s="1038">
        <f t="shared" ref="BD40:BD47" si="16">IF(AND($B40+$C40&gt;0,OR(E40="")),1,IF(E40&gt;$B40+$C40,1,0))</f>
        <v>0</v>
      </c>
    </row>
    <row r="41" spans="1:56" ht="15" customHeight="1" x14ac:dyDescent="0.25">
      <c r="A41" s="1109" t="s">
        <v>69</v>
      </c>
      <c r="B41" s="1297">
        <v>322</v>
      </c>
      <c r="C41" s="1296">
        <v>0</v>
      </c>
      <c r="D41" s="1296">
        <v>52</v>
      </c>
      <c r="E41" s="1296">
        <v>4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8">
        <f t="shared" si="15"/>
        <v>0</v>
      </c>
      <c r="BD41" s="1038">
        <f t="shared" si="16"/>
        <v>0</v>
      </c>
    </row>
    <row r="42" spans="1:56" ht="15" customHeight="1" x14ac:dyDescent="0.25">
      <c r="A42" s="1109" t="s">
        <v>70</v>
      </c>
      <c r="B42" s="1297">
        <v>334</v>
      </c>
      <c r="C42" s="1296">
        <v>0</v>
      </c>
      <c r="D42" s="1296">
        <v>55</v>
      </c>
      <c r="E42" s="1296">
        <v>8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8">
        <f t="shared" si="15"/>
        <v>0</v>
      </c>
      <c r="BD42" s="1038">
        <f t="shared" si="16"/>
        <v>0</v>
      </c>
    </row>
    <row r="43" spans="1:56" ht="15" customHeight="1" x14ac:dyDescent="0.25">
      <c r="A43" s="1109" t="s">
        <v>71</v>
      </c>
      <c r="B43" s="1297">
        <v>302</v>
      </c>
      <c r="C43" s="1296">
        <v>0</v>
      </c>
      <c r="D43" s="1296">
        <v>54</v>
      </c>
      <c r="E43" s="1296">
        <v>3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8">
        <f t="shared" si="15"/>
        <v>0</v>
      </c>
      <c r="BD43" s="1038">
        <f t="shared" si="16"/>
        <v>0</v>
      </c>
    </row>
    <row r="44" spans="1:56" ht="15" customHeight="1" x14ac:dyDescent="0.25">
      <c r="A44" s="1109" t="s">
        <v>72</v>
      </c>
      <c r="B44" s="1297">
        <v>192</v>
      </c>
      <c r="C44" s="1296">
        <v>0</v>
      </c>
      <c r="D44" s="1296">
        <v>29</v>
      </c>
      <c r="E44" s="1296">
        <v>1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8">
        <f t="shared" si="15"/>
        <v>0</v>
      </c>
      <c r="BD44" s="1038">
        <f t="shared" si="16"/>
        <v>0</v>
      </c>
    </row>
    <row r="45" spans="1:56" ht="15" customHeight="1" x14ac:dyDescent="0.25">
      <c r="A45" s="1109" t="s">
        <v>411</v>
      </c>
      <c r="B45" s="1297">
        <v>55</v>
      </c>
      <c r="C45" s="1296">
        <v>0</v>
      </c>
      <c r="D45" s="1296">
        <v>10</v>
      </c>
      <c r="E45" s="1296">
        <v>1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8">
        <f t="shared" si="15"/>
        <v>0</v>
      </c>
      <c r="BD45" s="1038">
        <f t="shared" si="16"/>
        <v>0</v>
      </c>
    </row>
    <row r="46" spans="1:56" ht="15" customHeight="1" x14ac:dyDescent="0.25">
      <c r="A46" s="1109" t="s">
        <v>412</v>
      </c>
      <c r="B46" s="1297">
        <v>22</v>
      </c>
      <c r="C46" s="1296">
        <v>0</v>
      </c>
      <c r="D46" s="1296">
        <v>5</v>
      </c>
      <c r="E46" s="1296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8">
        <f t="shared" si="15"/>
        <v>0</v>
      </c>
      <c r="BD46" s="1038">
        <f t="shared" si="16"/>
        <v>0</v>
      </c>
    </row>
    <row r="47" spans="1:56" ht="15" customHeight="1" x14ac:dyDescent="0.25">
      <c r="A47" s="1109" t="s">
        <v>413</v>
      </c>
      <c r="B47" s="1297">
        <v>17</v>
      </c>
      <c r="C47" s="1296">
        <v>0</v>
      </c>
      <c r="D47" s="1296">
        <v>3</v>
      </c>
      <c r="E47" s="1296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8">
        <f>IF(AND($B47+$C47&gt;0,OR(D47="")),1,IF(D47&gt;$B47+$C47,1,0))</f>
        <v>0</v>
      </c>
      <c r="BD47" s="1038">
        <f t="shared" si="16"/>
        <v>0</v>
      </c>
    </row>
    <row r="48" spans="1:56" ht="15" customHeight="1" x14ac:dyDescent="0.25">
      <c r="A48" s="1576" t="s">
        <v>54</v>
      </c>
      <c r="B48" s="1577">
        <f>SUM(B39:B47)</f>
        <v>1728</v>
      </c>
      <c r="C48" s="1578">
        <f>SUM(C39:C47)</f>
        <v>0</v>
      </c>
      <c r="D48" s="1578">
        <f t="shared" ref="D48:E48" si="17">SUM(D39:D47)</f>
        <v>289</v>
      </c>
      <c r="E48" s="1579">
        <f t="shared" si="17"/>
        <v>38</v>
      </c>
      <c r="F48" s="126"/>
      <c r="G48" s="126"/>
      <c r="H48" s="126"/>
      <c r="I48" s="126"/>
      <c r="J48" s="126"/>
    </row>
    <row r="49" spans="1:56" ht="15" customHeight="1" x14ac:dyDescent="0.25">
      <c r="A49" s="1112" t="s">
        <v>864</v>
      </c>
      <c r="B49" s="1111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39" t="s">
        <v>865</v>
      </c>
      <c r="B50" s="2239"/>
      <c r="C50" s="2239"/>
      <c r="D50" s="2239"/>
      <c r="E50" s="1116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5" t="s">
        <v>859</v>
      </c>
      <c r="B51" s="1566" t="s">
        <v>866</v>
      </c>
      <c r="C51" s="1567" t="s">
        <v>867</v>
      </c>
      <c r="D51" s="1567" t="s">
        <v>56</v>
      </c>
      <c r="E51" s="1568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5" t="s">
        <v>862</v>
      </c>
      <c r="B52" s="1297">
        <v>294</v>
      </c>
      <c r="C52" s="1296">
        <v>0</v>
      </c>
      <c r="D52" s="1296">
        <v>52</v>
      </c>
      <c r="E52" s="1296">
        <v>5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8">
        <f t="shared" ref="BC52:BC60" si="19">IF(AND($B52+$C52&gt;0,OR(D52="")),1,IF(D52&gt;$B52+$C52,1,0))</f>
        <v>0</v>
      </c>
      <c r="BD52" s="1038">
        <f t="shared" ref="BD52:BD60" si="20">IF(AND($B52+$C52&gt;0,OR(E52="")),1,IF(E52&gt;$B52+$C52,1,0))</f>
        <v>0</v>
      </c>
    </row>
    <row r="53" spans="1:56" x14ac:dyDescent="0.25">
      <c r="A53" s="1114" t="s">
        <v>863</v>
      </c>
      <c r="B53" s="1297">
        <v>291</v>
      </c>
      <c r="C53" s="1296">
        <v>0</v>
      </c>
      <c r="D53" s="1296">
        <v>46</v>
      </c>
      <c r="E53" s="1296">
        <v>5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8">
        <f t="shared" si="19"/>
        <v>0</v>
      </c>
      <c r="BD53" s="1038">
        <f t="shared" si="20"/>
        <v>0</v>
      </c>
    </row>
    <row r="54" spans="1:56" s="131" customFormat="1" ht="15" customHeight="1" x14ac:dyDescent="0.15">
      <c r="A54" s="1109" t="s">
        <v>69</v>
      </c>
      <c r="B54" s="1297">
        <v>247</v>
      </c>
      <c r="C54" s="1296">
        <v>0</v>
      </c>
      <c r="D54" s="1296">
        <v>38</v>
      </c>
      <c r="E54" s="1296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8">
        <f t="shared" si="19"/>
        <v>0</v>
      </c>
      <c r="BD54" s="1038">
        <f t="shared" si="20"/>
        <v>0</v>
      </c>
    </row>
    <row r="55" spans="1:56" ht="15" customHeight="1" x14ac:dyDescent="0.25">
      <c r="A55" s="1109" t="s">
        <v>70</v>
      </c>
      <c r="B55" s="1297">
        <v>149</v>
      </c>
      <c r="C55" s="1296">
        <v>0</v>
      </c>
      <c r="D55" s="1296">
        <v>22</v>
      </c>
      <c r="E55" s="1296">
        <v>1</v>
      </c>
      <c r="F55" s="35" t="str">
        <f t="shared" si="18"/>
        <v/>
      </c>
      <c r="G55" s="126"/>
      <c r="H55" s="126"/>
      <c r="AA55" s="961"/>
      <c r="AU55" s="191" t="str">
        <f t="shared" si="21"/>
        <v/>
      </c>
      <c r="AV55" s="191" t="str">
        <f t="shared" si="22"/>
        <v/>
      </c>
      <c r="BC55" s="1038">
        <f t="shared" si="19"/>
        <v>0</v>
      </c>
      <c r="BD55" s="1038">
        <f t="shared" si="20"/>
        <v>0</v>
      </c>
    </row>
    <row r="56" spans="1:56" ht="15" customHeight="1" x14ac:dyDescent="0.25">
      <c r="A56" s="1109" t="s">
        <v>71</v>
      </c>
      <c r="B56" s="1297">
        <v>49</v>
      </c>
      <c r="C56" s="1296">
        <v>0</v>
      </c>
      <c r="D56" s="1296">
        <v>11</v>
      </c>
      <c r="E56" s="1296">
        <v>1</v>
      </c>
      <c r="F56" s="35" t="str">
        <f t="shared" si="18"/>
        <v/>
      </c>
      <c r="G56" s="126"/>
      <c r="H56" s="126"/>
      <c r="AA56" s="961"/>
      <c r="AU56" s="191" t="str">
        <f t="shared" si="21"/>
        <v/>
      </c>
      <c r="AV56" s="191" t="str">
        <f t="shared" si="22"/>
        <v/>
      </c>
      <c r="BC56" s="1038">
        <f t="shared" si="19"/>
        <v>0</v>
      </c>
      <c r="BD56" s="1038">
        <f t="shared" si="20"/>
        <v>0</v>
      </c>
    </row>
    <row r="57" spans="1:56" ht="15" customHeight="1" x14ac:dyDescent="0.25">
      <c r="A57" s="1109" t="s">
        <v>72</v>
      </c>
      <c r="B57" s="1297">
        <v>21</v>
      </c>
      <c r="C57" s="1296">
        <v>0</v>
      </c>
      <c r="D57" s="1296">
        <v>4</v>
      </c>
      <c r="E57" s="1296">
        <v>0</v>
      </c>
      <c r="F57" s="35" t="str">
        <f t="shared" si="18"/>
        <v/>
      </c>
      <c r="G57" s="126"/>
      <c r="H57" s="126"/>
      <c r="AA57" s="961"/>
      <c r="AU57" s="191" t="str">
        <f t="shared" si="21"/>
        <v/>
      </c>
      <c r="AV57" s="191" t="str">
        <f t="shared" si="22"/>
        <v/>
      </c>
      <c r="BC57" s="1038">
        <f t="shared" si="19"/>
        <v>0</v>
      </c>
      <c r="BD57" s="1038">
        <f t="shared" si="20"/>
        <v>0</v>
      </c>
    </row>
    <row r="58" spans="1:56" ht="15" customHeight="1" x14ac:dyDescent="0.25">
      <c r="A58" s="1109" t="s">
        <v>411</v>
      </c>
      <c r="B58" s="1297">
        <v>15</v>
      </c>
      <c r="C58" s="1296">
        <v>0</v>
      </c>
      <c r="D58" s="1296">
        <v>3</v>
      </c>
      <c r="E58" s="1296">
        <v>0</v>
      </c>
      <c r="F58" s="35" t="str">
        <f t="shared" si="18"/>
        <v/>
      </c>
      <c r="G58" s="126"/>
      <c r="H58" s="126"/>
      <c r="AA58" s="961"/>
      <c r="AU58" s="191" t="str">
        <f t="shared" si="21"/>
        <v/>
      </c>
      <c r="AV58" s="191" t="str">
        <f t="shared" si="22"/>
        <v/>
      </c>
      <c r="BC58" s="1038">
        <f t="shared" si="19"/>
        <v>0</v>
      </c>
      <c r="BD58" s="1038">
        <f t="shared" si="20"/>
        <v>0</v>
      </c>
    </row>
    <row r="59" spans="1:56" ht="15" customHeight="1" x14ac:dyDescent="0.25">
      <c r="A59" s="1109" t="s">
        <v>412</v>
      </c>
      <c r="B59" s="1297">
        <v>2924</v>
      </c>
      <c r="C59" s="1296">
        <v>0</v>
      </c>
      <c r="D59" s="1296">
        <v>548</v>
      </c>
      <c r="E59" s="1296">
        <v>117</v>
      </c>
      <c r="F59" s="35" t="str">
        <f t="shared" si="18"/>
        <v/>
      </c>
      <c r="G59" s="126"/>
      <c r="H59" s="126"/>
      <c r="AA59" s="961"/>
      <c r="AU59" s="191" t="str">
        <f t="shared" si="21"/>
        <v/>
      </c>
      <c r="AV59" s="191" t="str">
        <f t="shared" si="22"/>
        <v/>
      </c>
      <c r="BC59" s="1038">
        <f t="shared" si="19"/>
        <v>0</v>
      </c>
      <c r="BD59" s="1038">
        <f t="shared" si="20"/>
        <v>0</v>
      </c>
    </row>
    <row r="60" spans="1:56" ht="15" customHeight="1" x14ac:dyDescent="0.25">
      <c r="A60" s="1109" t="s">
        <v>413</v>
      </c>
      <c r="B60" s="1297">
        <v>0</v>
      </c>
      <c r="C60" s="1296">
        <v>0</v>
      </c>
      <c r="D60" s="1296">
        <v>0</v>
      </c>
      <c r="E60" s="1296">
        <v>0</v>
      </c>
      <c r="F60" s="35" t="str">
        <f t="shared" si="18"/>
        <v/>
      </c>
      <c r="G60" s="126"/>
      <c r="H60" s="126"/>
      <c r="AA60" s="961"/>
      <c r="AU60" s="191" t="str">
        <f t="shared" si="21"/>
        <v/>
      </c>
      <c r="AV60" s="191" t="str">
        <f t="shared" si="22"/>
        <v/>
      </c>
      <c r="BC60" s="1038">
        <f t="shared" si="19"/>
        <v>0</v>
      </c>
      <c r="BD60" s="1038">
        <f t="shared" si="20"/>
        <v>0</v>
      </c>
    </row>
    <row r="61" spans="1:56" ht="15" customHeight="1" x14ac:dyDescent="0.25">
      <c r="A61" s="1576" t="s">
        <v>54</v>
      </c>
      <c r="B61" s="1577">
        <f>SUM(B52:B60)</f>
        <v>3990</v>
      </c>
      <c r="C61" s="1578">
        <f>SUM(C52:C60)</f>
        <v>0</v>
      </c>
      <c r="D61" s="1578">
        <f t="shared" ref="D61:E61" si="23">SUM(D52:D60)</f>
        <v>724</v>
      </c>
      <c r="E61" s="1579">
        <f t="shared" si="23"/>
        <v>131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2" t="s">
        <v>864</v>
      </c>
      <c r="B62" s="1111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9">
        <f>SUM(B11:C23,B28:C34,B39:C47,B52:C60)</f>
        <v>10192</v>
      </c>
      <c r="B80" s="590" t="s">
        <v>210</v>
      </c>
    </row>
    <row r="81" spans="1:2" hidden="1" x14ac:dyDescent="0.25">
      <c r="A81" s="1419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6" zoomScale="78" zoomScaleNormal="78" workbookViewId="0">
      <selection activeCell="K35" sqref="K35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PEDRO DE VALDIVIA   ( 121347 )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2" t="s">
        <v>868</v>
      </c>
      <c r="B7" s="2142"/>
      <c r="C7" s="2142"/>
      <c r="D7" s="2142"/>
      <c r="E7" s="2142"/>
      <c r="F7" s="2142"/>
      <c r="G7" s="2142"/>
      <c r="H7" s="2142"/>
      <c r="I7" s="2142"/>
      <c r="J7" s="2142"/>
      <c r="K7" s="2142"/>
      <c r="L7" s="2142"/>
      <c r="M7" s="2142"/>
      <c r="N7" s="2142"/>
      <c r="O7" s="2142"/>
      <c r="P7" s="2142"/>
      <c r="Q7" s="2142"/>
      <c r="R7" s="2142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7" t="s">
        <v>870</v>
      </c>
      <c r="B9" s="2248" t="s">
        <v>54</v>
      </c>
      <c r="C9" s="2249"/>
      <c r="D9" s="2250"/>
      <c r="E9" s="2254" t="s">
        <v>381</v>
      </c>
      <c r="F9" s="2255"/>
      <c r="G9" s="2255"/>
      <c r="H9" s="2255"/>
      <c r="I9" s="2255"/>
      <c r="J9" s="2255"/>
      <c r="K9" s="2255"/>
      <c r="L9" s="2255"/>
      <c r="M9" s="2255"/>
      <c r="N9" s="2255"/>
      <c r="O9" s="2255"/>
      <c r="P9" s="2256"/>
      <c r="Q9" s="2250" t="s">
        <v>113</v>
      </c>
      <c r="R9" s="1613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47"/>
      <c r="B10" s="2251"/>
      <c r="C10" s="2252"/>
      <c r="D10" s="2253"/>
      <c r="E10" s="1635" t="s">
        <v>871</v>
      </c>
      <c r="F10" s="2245"/>
      <c r="G10" s="1635" t="s">
        <v>872</v>
      </c>
      <c r="H10" s="2245"/>
      <c r="I10" s="1635" t="s">
        <v>873</v>
      </c>
      <c r="J10" s="2245"/>
      <c r="K10" s="1635" t="s">
        <v>62</v>
      </c>
      <c r="L10" s="2245"/>
      <c r="M10" s="1635" t="s">
        <v>874</v>
      </c>
      <c r="N10" s="2245"/>
      <c r="O10" s="1635" t="s">
        <v>875</v>
      </c>
      <c r="P10" s="2246"/>
      <c r="Q10" s="2257"/>
      <c r="R10" s="1614"/>
      <c r="BA10" s="1655" t="s">
        <v>113</v>
      </c>
      <c r="BB10" s="1655" t="s">
        <v>56</v>
      </c>
      <c r="BC10" s="1992"/>
      <c r="BD10" s="1992"/>
      <c r="BI10" s="1655" t="s">
        <v>113</v>
      </c>
      <c r="BJ10" s="1655" t="s">
        <v>56</v>
      </c>
      <c r="BK10" s="1992"/>
      <c r="BL10" s="1992"/>
    </row>
    <row r="11" spans="1:78" ht="18" customHeight="1" x14ac:dyDescent="0.15">
      <c r="A11" s="2247"/>
      <c r="B11" s="1411" t="s">
        <v>230</v>
      </c>
      <c r="C11" s="1582" t="s">
        <v>775</v>
      </c>
      <c r="D11" s="955" t="s">
        <v>90</v>
      </c>
      <c r="E11" s="1230" t="s">
        <v>775</v>
      </c>
      <c r="F11" s="955" t="s">
        <v>90</v>
      </c>
      <c r="G11" s="1230" t="s">
        <v>775</v>
      </c>
      <c r="H11" s="955" t="s">
        <v>90</v>
      </c>
      <c r="I11" s="1230" t="s">
        <v>775</v>
      </c>
      <c r="J11" s="1580" t="s">
        <v>90</v>
      </c>
      <c r="K11" s="1230" t="s">
        <v>775</v>
      </c>
      <c r="L11" s="1580" t="s">
        <v>90</v>
      </c>
      <c r="M11" s="1230" t="s">
        <v>775</v>
      </c>
      <c r="N11" s="1580" t="s">
        <v>90</v>
      </c>
      <c r="O11" s="1582" t="s">
        <v>775</v>
      </c>
      <c r="P11" s="1581" t="s">
        <v>90</v>
      </c>
      <c r="Q11" s="2253"/>
      <c r="R11" s="1615"/>
      <c r="BA11" s="1930"/>
      <c r="BB11" s="1930"/>
      <c r="BC11" s="1992"/>
      <c r="BD11" s="1992"/>
      <c r="BI11" s="1930"/>
      <c r="BJ11" s="1930"/>
      <c r="BK11" s="1992"/>
      <c r="BL11" s="1992"/>
    </row>
    <row r="12" spans="1:78" ht="15" customHeight="1" x14ac:dyDescent="0.15">
      <c r="A12" s="710" t="s">
        <v>54</v>
      </c>
      <c r="B12" s="266">
        <f>SUM(C12:D12)</f>
        <v>114</v>
      </c>
      <c r="C12" s="306">
        <f>SUM(C13:C16)</f>
        <v>58</v>
      </c>
      <c r="D12" s="575">
        <f>SUM(D13:D16)</f>
        <v>56</v>
      </c>
      <c r="E12" s="711">
        <f>SUM(E13:E16)</f>
        <v>5</v>
      </c>
      <c r="F12" s="742">
        <f>SUM(F13:F15)</f>
        <v>5</v>
      </c>
      <c r="G12" s="711">
        <f>SUM(G13:G15)</f>
        <v>12</v>
      </c>
      <c r="H12" s="742">
        <f>SUM(H13:H15)</f>
        <v>16</v>
      </c>
      <c r="I12" s="711">
        <f t="shared" ref="I12:P12" si="0">SUM(I13:I16)</f>
        <v>20</v>
      </c>
      <c r="J12" s="956">
        <f t="shared" si="0"/>
        <v>15</v>
      </c>
      <c r="K12" s="711">
        <f t="shared" si="0"/>
        <v>20</v>
      </c>
      <c r="L12" s="956">
        <f t="shared" si="0"/>
        <v>20</v>
      </c>
      <c r="M12" s="711">
        <f t="shared" si="0"/>
        <v>1</v>
      </c>
      <c r="N12" s="956">
        <f t="shared" si="0"/>
        <v>0</v>
      </c>
      <c r="O12" s="306">
        <f t="shared" si="0"/>
        <v>0</v>
      </c>
      <c r="P12" s="712">
        <f t="shared" si="0"/>
        <v>0</v>
      </c>
      <c r="Q12" s="575">
        <f t="shared" ref="Q12" si="1">SUM(Q13:Q16)</f>
        <v>0</v>
      </c>
      <c r="R12" s="575">
        <f t="shared" ref="R12" si="2">SUM(R13:R16)</f>
        <v>21</v>
      </c>
      <c r="BA12" s="1656"/>
      <c r="BB12" s="1656"/>
      <c r="BC12" s="1992"/>
      <c r="BD12" s="1992"/>
      <c r="BI12" s="1656"/>
      <c r="BJ12" s="1656"/>
      <c r="BK12" s="1992"/>
      <c r="BL12" s="1992"/>
    </row>
    <row r="13" spans="1:78" ht="15" customHeight="1" x14ac:dyDescent="0.15">
      <c r="A13" s="610" t="s">
        <v>876</v>
      </c>
      <c r="B13" s="260">
        <f>SUM(C13:D13)</f>
        <v>107</v>
      </c>
      <c r="C13" s="713">
        <f t="shared" ref="C13:D15" si="3">+E13+G13+I13+K13+M13+O13</f>
        <v>51</v>
      </c>
      <c r="D13" s="576">
        <f t="shared" si="3"/>
        <v>56</v>
      </c>
      <c r="E13" s="288">
        <v>5</v>
      </c>
      <c r="F13" s="684">
        <v>5</v>
      </c>
      <c r="G13" s="288">
        <v>12</v>
      </c>
      <c r="H13" s="684">
        <v>16</v>
      </c>
      <c r="I13" s="288">
        <v>20</v>
      </c>
      <c r="J13" s="684">
        <v>15</v>
      </c>
      <c r="K13" s="288">
        <v>14</v>
      </c>
      <c r="L13" s="684">
        <v>20</v>
      </c>
      <c r="M13" s="288">
        <v>0</v>
      </c>
      <c r="N13" s="684">
        <v>0</v>
      </c>
      <c r="O13" s="274">
        <v>0</v>
      </c>
      <c r="P13" s="717">
        <v>0</v>
      </c>
      <c r="Q13" s="276">
        <v>0</v>
      </c>
      <c r="R13" s="276">
        <v>19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8">
        <f>IF(AND($B13&gt;0,OR($Q13="")),1,IF($Q13&gt;$B13,1,0))</f>
        <v>0</v>
      </c>
      <c r="BJ13" s="1038">
        <f>IF(AND($B13&gt;0,OR($R13="")),1,IF($R13&gt;$B13,1,0))</f>
        <v>0</v>
      </c>
      <c r="BP13" s="35"/>
      <c r="BR13" s="35"/>
    </row>
    <row r="14" spans="1:78" ht="15" customHeight="1" x14ac:dyDescent="0.15">
      <c r="A14" s="714" t="s">
        <v>877</v>
      </c>
      <c r="B14" s="273">
        <f>SUM(C14:D14)</f>
        <v>7</v>
      </c>
      <c r="C14" s="715">
        <f t="shared" si="3"/>
        <v>7</v>
      </c>
      <c r="D14" s="716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6</v>
      </c>
      <c r="L14" s="276">
        <v>0</v>
      </c>
      <c r="M14" s="288">
        <v>1</v>
      </c>
      <c r="N14" s="276">
        <v>0</v>
      </c>
      <c r="O14" s="274">
        <v>0</v>
      </c>
      <c r="P14" s="717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8">
        <f>IF(AND($B14&gt;0,OR($Q14="")),1,IF($Q14&gt;$B14,1,0))</f>
        <v>0</v>
      </c>
      <c r="BJ14" s="1038">
        <f>IF(AND($B14&gt;0,OR($R14="")),1,IF($R14&gt;$B14,1,0))</f>
        <v>0</v>
      </c>
      <c r="BP14" s="35"/>
      <c r="BR14" s="35"/>
    </row>
    <row r="15" spans="1:78" ht="15" customHeight="1" x14ac:dyDescent="0.15">
      <c r="A15" s="714" t="s">
        <v>878</v>
      </c>
      <c r="B15" s="273">
        <f>SUM(C15:D15)</f>
        <v>0</v>
      </c>
      <c r="C15" s="715">
        <f t="shared" si="3"/>
        <v>0</v>
      </c>
      <c r="D15" s="716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7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8">
        <f>IF(AND($B15&gt;0,OR($Q15="")),1,IF($Q15&gt;$B15,1,0))</f>
        <v>0</v>
      </c>
      <c r="BJ15" s="1038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879</v>
      </c>
      <c r="B16" s="371">
        <f>SUM(C16:D16)</f>
        <v>0</v>
      </c>
      <c r="C16" s="718">
        <f>I16+K16+M16+O16</f>
        <v>0</v>
      </c>
      <c r="D16" s="719">
        <f>+J16+L16+N16+P16</f>
        <v>0</v>
      </c>
      <c r="E16" s="836"/>
      <c r="F16" s="451"/>
      <c r="G16" s="836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0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8">
        <f>IF(AND($B16&gt;0,OR($Q16="")),1,IF($Q16&gt;$B16,1,0))</f>
        <v>0</v>
      </c>
      <c r="BJ16" s="103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4" t="s">
        <v>880</v>
      </c>
      <c r="BW17" s="107"/>
      <c r="BX17" s="107"/>
    </row>
    <row r="18" spans="1:78" ht="17.100000000000001" customHeight="1" x14ac:dyDescent="0.25">
      <c r="A18" s="2247" t="s">
        <v>881</v>
      </c>
      <c r="B18" s="2248" t="s">
        <v>54</v>
      </c>
      <c r="C18" s="2249"/>
      <c r="D18" s="2250"/>
      <c r="E18" s="2254" t="s">
        <v>381</v>
      </c>
      <c r="F18" s="2255"/>
      <c r="G18" s="2255"/>
      <c r="H18" s="2255"/>
      <c r="I18" s="2255"/>
      <c r="J18" s="2255"/>
      <c r="K18" s="2255"/>
      <c r="L18" s="2255"/>
      <c r="M18" s="2255"/>
      <c r="N18" s="2255"/>
      <c r="O18" s="2255"/>
      <c r="P18" s="2256"/>
      <c r="Q18" s="2250" t="s">
        <v>113</v>
      </c>
      <c r="R18" s="1613" t="s">
        <v>56</v>
      </c>
      <c r="S18" s="2128" t="s">
        <v>624</v>
      </c>
      <c r="T18" s="2128" t="s">
        <v>383</v>
      </c>
      <c r="Y18" s="604"/>
      <c r="AB18" s="604"/>
      <c r="BA18" s="1655" t="s">
        <v>113</v>
      </c>
      <c r="BB18" s="1655" t="s">
        <v>56</v>
      </c>
      <c r="BC18" s="1655" t="s">
        <v>828</v>
      </c>
      <c r="BD18" s="1655" t="s">
        <v>829</v>
      </c>
      <c r="BI18" s="1655" t="s">
        <v>113</v>
      </c>
      <c r="BJ18" s="1655" t="s">
        <v>56</v>
      </c>
      <c r="BK18" s="1655" t="s">
        <v>828</v>
      </c>
      <c r="BL18" s="1710" t="s">
        <v>829</v>
      </c>
      <c r="BW18" s="107"/>
      <c r="BX18" s="107"/>
    </row>
    <row r="19" spans="1:78" ht="17.100000000000001" customHeight="1" x14ac:dyDescent="0.15">
      <c r="A19" s="2247"/>
      <c r="B19" s="2251"/>
      <c r="C19" s="2252"/>
      <c r="D19" s="2253"/>
      <c r="E19" s="1635" t="s">
        <v>871</v>
      </c>
      <c r="F19" s="2245"/>
      <c r="G19" s="1635" t="s">
        <v>872</v>
      </c>
      <c r="H19" s="2245"/>
      <c r="I19" s="1635" t="s">
        <v>873</v>
      </c>
      <c r="J19" s="2245"/>
      <c r="K19" s="1635" t="s">
        <v>62</v>
      </c>
      <c r="L19" s="2245"/>
      <c r="M19" s="1635" t="s">
        <v>874</v>
      </c>
      <c r="N19" s="2245"/>
      <c r="O19" s="1635" t="s">
        <v>875</v>
      </c>
      <c r="P19" s="2246"/>
      <c r="Q19" s="2257"/>
      <c r="R19" s="1614"/>
      <c r="S19" s="2137"/>
      <c r="T19" s="2137"/>
      <c r="BA19" s="1930"/>
      <c r="BB19" s="1930"/>
      <c r="BC19" s="1930"/>
      <c r="BD19" s="1930"/>
      <c r="BI19" s="1930"/>
      <c r="BJ19" s="1930"/>
      <c r="BK19" s="1930"/>
      <c r="BL19" s="2236"/>
      <c r="BW19" s="107"/>
      <c r="BX19" s="107"/>
    </row>
    <row r="20" spans="1:78" ht="17.100000000000001" customHeight="1" x14ac:dyDescent="0.15">
      <c r="A20" s="2247"/>
      <c r="B20" s="1411" t="s">
        <v>230</v>
      </c>
      <c r="C20" s="1582" t="s">
        <v>775</v>
      </c>
      <c r="D20" s="1580" t="s">
        <v>90</v>
      </c>
      <c r="E20" s="1230" t="s">
        <v>775</v>
      </c>
      <c r="F20" s="1580" t="s">
        <v>90</v>
      </c>
      <c r="G20" s="1582" t="s">
        <v>775</v>
      </c>
      <c r="H20" s="1580" t="s">
        <v>90</v>
      </c>
      <c r="I20" s="1582" t="s">
        <v>775</v>
      </c>
      <c r="J20" s="1580" t="s">
        <v>90</v>
      </c>
      <c r="K20" s="1582" t="s">
        <v>775</v>
      </c>
      <c r="L20" s="1580" t="s">
        <v>90</v>
      </c>
      <c r="M20" s="1582" t="s">
        <v>775</v>
      </c>
      <c r="N20" s="1580" t="s">
        <v>90</v>
      </c>
      <c r="O20" s="1582" t="s">
        <v>775</v>
      </c>
      <c r="P20" s="1581" t="s">
        <v>90</v>
      </c>
      <c r="Q20" s="2253"/>
      <c r="R20" s="1615"/>
      <c r="S20" s="2130"/>
      <c r="T20" s="2130"/>
      <c r="BA20" s="1656"/>
      <c r="BB20" s="1656"/>
      <c r="BC20" s="1656"/>
      <c r="BD20" s="1656"/>
      <c r="BI20" s="1656"/>
      <c r="BJ20" s="1656"/>
      <c r="BK20" s="1656"/>
      <c r="BL20" s="1711"/>
      <c r="BW20" s="107"/>
      <c r="BX20" s="107"/>
      <c r="BY20" s="107"/>
    </row>
    <row r="21" spans="1:78" ht="15" customHeight="1" x14ac:dyDescent="0.15">
      <c r="A21" s="721" t="s">
        <v>882</v>
      </c>
      <c r="B21" s="260">
        <f t="shared" ref="B21:B26" si="5">SUM(C21:D21)</f>
        <v>7</v>
      </c>
      <c r="C21" s="713">
        <f>+I21+K21+M21+O21</f>
        <v>0</v>
      </c>
      <c r="D21" s="576">
        <f>+J21+L21+N21+P21</f>
        <v>7</v>
      </c>
      <c r="E21" s="837"/>
      <c r="F21" s="838"/>
      <c r="G21" s="837"/>
      <c r="H21" s="838"/>
      <c r="I21" s="261">
        <v>0</v>
      </c>
      <c r="J21" s="262">
        <v>1</v>
      </c>
      <c r="K21" s="261">
        <v>0</v>
      </c>
      <c r="L21" s="262">
        <v>6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2</v>
      </c>
      <c r="S21" s="265">
        <v>0</v>
      </c>
      <c r="T21" s="265">
        <v>7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8">
        <f t="shared" ref="BI21:BI28" si="10">IF(AND($B21&gt;0,OR($Q21="")),1,IF($Q21&gt;$B21,1,0))</f>
        <v>0</v>
      </c>
      <c r="BJ21" s="1038">
        <f t="shared" ref="BJ21:BL28" si="11">IF(AND($B21&gt;0,OR(R21="")),1,IF(R21&gt;$B21,1,0))</f>
        <v>0</v>
      </c>
      <c r="BK21" s="1038">
        <f t="shared" si="11"/>
        <v>0</v>
      </c>
      <c r="BL21" s="103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2" t="s">
        <v>883</v>
      </c>
      <c r="B22" s="300">
        <f t="shared" si="5"/>
        <v>0</v>
      </c>
      <c r="C22" s="723">
        <f>+I22+K22+M22+O22</f>
        <v>0</v>
      </c>
      <c r="D22" s="724">
        <f>+J22+L22+N22+P22</f>
        <v>0</v>
      </c>
      <c r="E22" s="839"/>
      <c r="F22" s="840"/>
      <c r="G22" s="839"/>
      <c r="H22" s="840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8">
        <f t="shared" si="10"/>
        <v>0</v>
      </c>
      <c r="BJ22" s="1038">
        <f t="shared" si="11"/>
        <v>0</v>
      </c>
      <c r="BK22" s="1038">
        <f t="shared" si="11"/>
        <v>0</v>
      </c>
      <c r="BL22" s="103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2" t="s">
        <v>884</v>
      </c>
      <c r="B23" s="300">
        <f t="shared" si="5"/>
        <v>17</v>
      </c>
      <c r="C23" s="723">
        <f>+E23+G23</f>
        <v>10</v>
      </c>
      <c r="D23" s="724">
        <f>+F23+H23</f>
        <v>7</v>
      </c>
      <c r="E23" s="288">
        <v>2</v>
      </c>
      <c r="F23" s="274">
        <v>3</v>
      </c>
      <c r="G23" s="288">
        <v>8</v>
      </c>
      <c r="H23" s="274">
        <v>4</v>
      </c>
      <c r="I23" s="839"/>
      <c r="J23" s="840"/>
      <c r="K23" s="839"/>
      <c r="L23" s="840"/>
      <c r="M23" s="839"/>
      <c r="N23" s="840"/>
      <c r="O23" s="839"/>
      <c r="P23" s="841"/>
      <c r="Q23" s="280">
        <v>0</v>
      </c>
      <c r="R23" s="280">
        <v>4</v>
      </c>
      <c r="S23" s="280">
        <v>0</v>
      </c>
      <c r="T23" s="280">
        <v>17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8">
        <f t="shared" si="10"/>
        <v>0</v>
      </c>
      <c r="BJ23" s="1038">
        <f t="shared" si="11"/>
        <v>0</v>
      </c>
      <c r="BK23" s="1038">
        <f t="shared" si="11"/>
        <v>0</v>
      </c>
      <c r="BL23" s="103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2" t="s">
        <v>885</v>
      </c>
      <c r="B24" s="300">
        <f t="shared" si="5"/>
        <v>16</v>
      </c>
      <c r="C24" s="723">
        <f>+I24+K24+M24+O24</f>
        <v>8</v>
      </c>
      <c r="D24" s="724">
        <f>+J24+L24+N24+P24</f>
        <v>8</v>
      </c>
      <c r="E24" s="839"/>
      <c r="F24" s="840"/>
      <c r="G24" s="839"/>
      <c r="H24" s="840"/>
      <c r="I24" s="309">
        <v>5</v>
      </c>
      <c r="J24" s="277">
        <v>7</v>
      </c>
      <c r="K24" s="309">
        <v>3</v>
      </c>
      <c r="L24" s="277">
        <v>1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5</v>
      </c>
      <c r="S24" s="280">
        <v>2</v>
      </c>
      <c r="T24" s="280">
        <v>14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8">
        <f t="shared" si="10"/>
        <v>0</v>
      </c>
      <c r="BJ24" s="1038">
        <f t="shared" si="11"/>
        <v>0</v>
      </c>
      <c r="BK24" s="1038">
        <f t="shared" si="11"/>
        <v>0</v>
      </c>
      <c r="BL24" s="103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2" t="s">
        <v>886</v>
      </c>
      <c r="B25" s="300">
        <f t="shared" si="5"/>
        <v>0</v>
      </c>
      <c r="C25" s="723">
        <f>M25+O25</f>
        <v>0</v>
      </c>
      <c r="D25" s="724">
        <f>N25+P25</f>
        <v>0</v>
      </c>
      <c r="E25" s="839"/>
      <c r="F25" s="1090"/>
      <c r="G25" s="839"/>
      <c r="H25" s="1090"/>
      <c r="I25" s="839"/>
      <c r="J25" s="840"/>
      <c r="K25" s="839"/>
      <c r="L25" s="840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8">
        <f t="shared" si="10"/>
        <v>0</v>
      </c>
      <c r="BJ25" s="1038">
        <f t="shared" si="11"/>
        <v>0</v>
      </c>
      <c r="BK25" s="1038">
        <f t="shared" si="11"/>
        <v>0</v>
      </c>
      <c r="BL25" s="103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2" t="s">
        <v>887</v>
      </c>
      <c r="B26" s="300">
        <f t="shared" si="5"/>
        <v>21</v>
      </c>
      <c r="C26" s="723">
        <f>+E26+G26+I26+K26+M26+O26</f>
        <v>15</v>
      </c>
      <c r="D26" s="724">
        <f>+F26+H26+J26+L26+N26+P26</f>
        <v>6</v>
      </c>
      <c r="E26" s="309">
        <v>0</v>
      </c>
      <c r="F26" s="277">
        <v>0</v>
      </c>
      <c r="G26" s="309">
        <v>5</v>
      </c>
      <c r="H26" s="277">
        <v>0</v>
      </c>
      <c r="I26" s="309">
        <v>4</v>
      </c>
      <c r="J26" s="277">
        <v>2</v>
      </c>
      <c r="K26" s="309">
        <v>6</v>
      </c>
      <c r="L26" s="277">
        <v>4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6</v>
      </c>
      <c r="S26" s="280">
        <v>1</v>
      </c>
      <c r="T26" s="280">
        <v>20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8">
        <f t="shared" si="10"/>
        <v>0</v>
      </c>
      <c r="BJ26" s="1038">
        <f t="shared" si="11"/>
        <v>0</v>
      </c>
      <c r="BK26" s="1038">
        <f t="shared" si="11"/>
        <v>0</v>
      </c>
      <c r="BL26" s="1038">
        <f t="shared" si="11"/>
        <v>0</v>
      </c>
      <c r="BP26" s="35"/>
      <c r="BR26" s="35"/>
      <c r="BT26" s="35"/>
    </row>
    <row r="27" spans="1:78" ht="15" customHeight="1" x14ac:dyDescent="0.15">
      <c r="A27" s="722" t="s">
        <v>888</v>
      </c>
      <c r="B27" s="300">
        <f>SUM(C27:D27)</f>
        <v>3</v>
      </c>
      <c r="C27" s="723">
        <f>+E27+G27+I27+K27+M27</f>
        <v>1</v>
      </c>
      <c r="D27" s="724">
        <f>+F27+H27+J27+L27+N27</f>
        <v>2</v>
      </c>
      <c r="E27" s="309">
        <v>0</v>
      </c>
      <c r="F27" s="277">
        <v>0</v>
      </c>
      <c r="G27" s="309">
        <v>0</v>
      </c>
      <c r="H27" s="277">
        <v>0</v>
      </c>
      <c r="I27" s="309">
        <v>1</v>
      </c>
      <c r="J27" s="277">
        <v>0</v>
      </c>
      <c r="K27" s="309">
        <v>0</v>
      </c>
      <c r="L27" s="277">
        <v>2</v>
      </c>
      <c r="M27" s="309">
        <v>0</v>
      </c>
      <c r="N27" s="277">
        <v>0</v>
      </c>
      <c r="O27" s="986"/>
      <c r="P27" s="822"/>
      <c r="Q27" s="280">
        <v>0</v>
      </c>
      <c r="R27" s="280">
        <v>1</v>
      </c>
      <c r="S27" s="280">
        <v>0</v>
      </c>
      <c r="T27" s="299">
        <v>3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8">
        <f t="shared" si="10"/>
        <v>0</v>
      </c>
      <c r="BJ27" s="1038">
        <f t="shared" si="11"/>
        <v>0</v>
      </c>
      <c r="BK27" s="1038">
        <f t="shared" si="11"/>
        <v>0</v>
      </c>
      <c r="BL27" s="103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301" t="s">
        <v>889</v>
      </c>
      <c r="B28" s="266">
        <f t="shared" ref="B28" si="13">SUM(C28:D28)</f>
        <v>28</v>
      </c>
      <c r="C28" s="306">
        <f>+E28+G28+I28+K28+M28+O28</f>
        <v>17</v>
      </c>
      <c r="D28" s="575">
        <f>+F28+H28+J28+L28+N28+P28</f>
        <v>11</v>
      </c>
      <c r="E28" s="745">
        <v>1</v>
      </c>
      <c r="F28" s="267">
        <v>1</v>
      </c>
      <c r="G28" s="745">
        <v>7</v>
      </c>
      <c r="H28" s="267">
        <v>3</v>
      </c>
      <c r="I28" s="745">
        <v>6</v>
      </c>
      <c r="J28" s="267">
        <v>5</v>
      </c>
      <c r="K28" s="745">
        <v>3</v>
      </c>
      <c r="L28" s="267">
        <v>2</v>
      </c>
      <c r="M28" s="745">
        <v>0</v>
      </c>
      <c r="N28" s="267">
        <v>0</v>
      </c>
      <c r="O28" s="745">
        <v>0</v>
      </c>
      <c r="P28" s="1026">
        <v>0</v>
      </c>
      <c r="Q28" s="272">
        <v>0</v>
      </c>
      <c r="R28" s="272">
        <v>8</v>
      </c>
      <c r="S28" s="272">
        <v>1</v>
      </c>
      <c r="T28" s="272">
        <v>27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8">
        <f t="shared" si="10"/>
        <v>0</v>
      </c>
      <c r="BJ28" s="1038">
        <f t="shared" si="11"/>
        <v>0</v>
      </c>
      <c r="BK28" s="1038">
        <f t="shared" si="11"/>
        <v>0</v>
      </c>
      <c r="BL28" s="1038">
        <f t="shared" si="11"/>
        <v>0</v>
      </c>
    </row>
    <row r="41" spans="1:78" ht="13.15" hidden="1" customHeight="1" x14ac:dyDescent="0.15">
      <c r="A41" s="1486">
        <f>SUM(B13:B16,B21:B28)</f>
        <v>206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86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3" zoomScaleNormal="100" workbookViewId="0">
      <selection activeCell="D8" sqref="D8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8" t="s">
        <v>890</v>
      </c>
      <c r="D1" s="2259"/>
      <c r="E1" s="2260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PEDRO DE VALDIVIA - ( 121347 )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3" t="s">
        <v>891</v>
      </c>
      <c r="D3" s="1583" t="s">
        <v>892</v>
      </c>
      <c r="E3" s="1583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4" t="s">
        <v>894</v>
      </c>
      <c r="D4" s="1585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4" t="s">
        <v>895</v>
      </c>
      <c r="D5" s="1586">
        <f>+'P1'!$A173</f>
        <v>0</v>
      </c>
      <c r="E5" s="1587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84" t="s">
        <v>897</v>
      </c>
      <c r="D6" s="1586">
        <f>+'P2'!A221</f>
        <v>0</v>
      </c>
      <c r="E6" s="1587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84" t="s">
        <v>899</v>
      </c>
      <c r="D7" s="1586">
        <f>+'P3'!A94</f>
        <v>0</v>
      </c>
      <c r="E7" s="1587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84" t="s">
        <v>901</v>
      </c>
      <c r="D8" s="1586">
        <f>+'P4'!A111</f>
        <v>0</v>
      </c>
      <c r="E8" s="1587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84" t="s">
        <v>903</v>
      </c>
      <c r="D9" s="1586">
        <f>+'P5'!A82</f>
        <v>0</v>
      </c>
      <c r="E9" s="1587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84" t="s">
        <v>905</v>
      </c>
      <c r="D10" s="1586">
        <f>+'P6'!A147</f>
        <v>0</v>
      </c>
      <c r="E10" s="1587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4" t="s">
        <v>906</v>
      </c>
      <c r="D11" s="1586">
        <f>+'P7'!A50</f>
        <v>0</v>
      </c>
      <c r="E11" s="1587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4" t="s">
        <v>907</v>
      </c>
      <c r="D12" s="1586">
        <f>+'P9'!A110</f>
        <v>0</v>
      </c>
      <c r="E12" s="1587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4" t="s">
        <v>908</v>
      </c>
      <c r="D13" s="1586">
        <f>+'P11'!A34</f>
        <v>0</v>
      </c>
      <c r="E13" s="1587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4" t="s">
        <v>909</v>
      </c>
      <c r="D14" s="1586">
        <f>+'P12'!A81</f>
        <v>0</v>
      </c>
      <c r="E14" s="1587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4" t="s">
        <v>910</v>
      </c>
      <c r="D15" s="1586">
        <f>+'P13'!A42</f>
        <v>0</v>
      </c>
      <c r="E15" s="1587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8" t="s">
        <v>54</v>
      </c>
      <c r="D17" s="1585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1" t="s">
        <v>911</v>
      </c>
      <c r="B1" s="2262"/>
      <c r="C1" s="2262"/>
      <c r="D1" s="2262"/>
      <c r="E1" s="2262"/>
      <c r="F1" s="2262"/>
      <c r="G1" s="2262"/>
      <c r="H1" s="2262"/>
      <c r="I1" s="2262"/>
      <c r="J1" s="2262"/>
      <c r="K1" s="2262"/>
      <c r="L1" s="2262"/>
      <c r="M1" s="2262"/>
      <c r="N1" s="2263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64" t="str">
        <f>IF(Control!D17&gt;0,"REVISE LA HOJA CONTROL, EXISTEN ERRORES","")</f>
        <v/>
      </c>
      <c r="C10" s="2265"/>
      <c r="D10" s="2265"/>
      <c r="E10" s="2265"/>
      <c r="F10" s="2265"/>
      <c r="G10" s="2265"/>
      <c r="H10" s="2266"/>
    </row>
    <row r="11" spans="1:24" ht="16.5" customHeight="1" thickBot="1" x14ac:dyDescent="0.25">
      <c r="B11" s="2267"/>
      <c r="C11" s="2268"/>
      <c r="D11" s="2268"/>
      <c r="E11" s="2268"/>
      <c r="F11" s="2268"/>
      <c r="G11" s="2268"/>
      <c r="H11" s="2269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Muñoz Muñoz</cp:lastModifiedBy>
  <cp:revision/>
  <dcterms:created xsi:type="dcterms:W3CDTF">2013-12-18T19:51:11Z</dcterms:created>
  <dcterms:modified xsi:type="dcterms:W3CDTF">2026-01-15T18:18:35Z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